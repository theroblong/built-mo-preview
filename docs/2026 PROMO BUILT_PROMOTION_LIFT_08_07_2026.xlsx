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builtbar.sharepoint.com/sites/analytics/Shared Documents/General/Sales Team Reports/Trade Promotions/"/>
    </mc:Choice>
  </mc:AlternateContent>
  <xr:revisionPtr revIDLastSave="209" documentId="8_{D23E5796-AEB0-4C8A-AB35-A83D110A5905}" xr6:coauthVersionLast="47" xr6:coauthVersionMax="47" xr10:uidLastSave="{28CB4ADE-A700-40AC-A483-6A90B04F8012}"/>
  <bookViews>
    <workbookView xWindow="-110" yWindow="-110" windowWidth="38620" windowHeight="21100" tabRatio="599" firstSheet="2" activeTab="3" xr2:uid="{00000000-000D-0000-FFFF-FFFF00000000}"/>
  </bookViews>
  <sheets>
    <sheet name="Summary Page" sheetId="5" r:id="rId1"/>
    <sheet name="Promotion Insights" sheetId="4" r:id="rId2"/>
    <sheet name="How It Works" sheetId="7" r:id="rId3"/>
    <sheet name="Events" sheetId="1" r:id="rId4"/>
    <sheet name="Reference" sheetId="2" r:id="rId5"/>
    <sheet name="Prompt Catalog" sheetId="3" r:id="rId6"/>
    <sheet name="Discount Calculations" sheetId="6" state="hidden" r:id="rId7"/>
    <sheet name="Planning Diagnostics" sheetId="8" r:id="rId8"/>
  </sheets>
  <definedNames>
    <definedName name="_xlnm._FilterDatabase" localSheetId="3" hidden="1">Events!$A$1:$U$597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597" i="1" l="1"/>
  <c r="AJ596" i="1"/>
  <c r="AJ595" i="1"/>
  <c r="AJ594" i="1"/>
  <c r="AJ593" i="1"/>
  <c r="AJ592" i="1"/>
  <c r="AJ591" i="1"/>
  <c r="AJ590" i="1"/>
  <c r="AJ589" i="1"/>
  <c r="AJ588" i="1"/>
  <c r="AJ587" i="1"/>
  <c r="AJ586" i="1"/>
  <c r="AJ585" i="1"/>
  <c r="AJ583" i="1"/>
  <c r="AJ582" i="1"/>
  <c r="AJ580" i="1"/>
  <c r="AJ579" i="1"/>
  <c r="AJ578" i="1"/>
  <c r="AJ577" i="1"/>
  <c r="AJ576" i="1"/>
  <c r="AJ575" i="1"/>
  <c r="AJ574" i="1"/>
  <c r="AJ573" i="1"/>
  <c r="AJ572" i="1"/>
  <c r="AJ569" i="1"/>
  <c r="AJ568" i="1"/>
  <c r="AJ565" i="1"/>
  <c r="AJ564" i="1"/>
  <c r="AJ560" i="1"/>
  <c r="AJ559" i="1"/>
  <c r="AJ558" i="1"/>
  <c r="AJ557" i="1"/>
  <c r="AJ556" i="1"/>
  <c r="AJ555" i="1"/>
  <c r="AJ554" i="1"/>
  <c r="AJ553" i="1"/>
  <c r="AJ552" i="1"/>
  <c r="AJ551" i="1"/>
  <c r="AJ550" i="1"/>
  <c r="AJ549" i="1"/>
  <c r="AJ548" i="1"/>
  <c r="AJ547" i="1"/>
  <c r="AJ546" i="1"/>
  <c r="AJ545" i="1"/>
  <c r="AJ544" i="1"/>
  <c r="AJ543" i="1"/>
  <c r="AJ542" i="1"/>
  <c r="AJ541" i="1"/>
  <c r="AJ540" i="1"/>
  <c r="AJ537" i="1"/>
  <c r="AJ536" i="1"/>
  <c r="AJ535" i="1"/>
  <c r="AJ534" i="1"/>
  <c r="AJ533" i="1"/>
  <c r="AJ532" i="1"/>
  <c r="AJ531" i="1"/>
  <c r="AJ530" i="1"/>
  <c r="AJ529" i="1"/>
  <c r="AJ524" i="1"/>
  <c r="AJ520" i="1"/>
  <c r="AJ519" i="1"/>
  <c r="AJ518" i="1"/>
  <c r="AJ517" i="1"/>
  <c r="AJ516" i="1"/>
  <c r="AJ511" i="1"/>
  <c r="AJ510" i="1"/>
  <c r="AJ509" i="1"/>
  <c r="AJ508" i="1"/>
  <c r="AJ507" i="1"/>
  <c r="AJ506" i="1"/>
  <c r="AJ505" i="1"/>
  <c r="AJ504" i="1"/>
  <c r="AJ499" i="1"/>
  <c r="AJ498" i="1"/>
  <c r="AJ495" i="1"/>
  <c r="AJ494" i="1"/>
  <c r="AJ493" i="1"/>
  <c r="AJ491" i="1"/>
  <c r="AJ488" i="1"/>
  <c r="AJ487" i="1"/>
  <c r="AJ486" i="1"/>
  <c r="AJ485" i="1"/>
  <c r="AJ484" i="1"/>
  <c r="AJ483" i="1"/>
  <c r="AJ482" i="1"/>
  <c r="AJ481" i="1"/>
  <c r="AJ480" i="1"/>
  <c r="AJ479" i="1"/>
  <c r="AJ478" i="1"/>
  <c r="AJ477" i="1"/>
  <c r="AJ476" i="1"/>
  <c r="AJ475" i="1"/>
  <c r="AJ474" i="1"/>
  <c r="AJ473" i="1"/>
  <c r="AJ472" i="1"/>
  <c r="AJ471" i="1"/>
  <c r="AJ470" i="1"/>
  <c r="AJ469" i="1"/>
  <c r="AJ468" i="1"/>
  <c r="AJ467" i="1"/>
  <c r="AJ466" i="1"/>
  <c r="AJ465" i="1"/>
  <c r="AJ464" i="1"/>
  <c r="AJ463" i="1"/>
  <c r="AJ455" i="1"/>
  <c r="AJ454" i="1"/>
  <c r="AJ453" i="1"/>
  <c r="AJ452" i="1"/>
  <c r="AJ451" i="1"/>
  <c r="AJ449" i="1"/>
  <c r="AJ446" i="1"/>
  <c r="AJ445" i="1"/>
  <c r="AJ443" i="1"/>
  <c r="AJ442" i="1"/>
  <c r="AJ441" i="1"/>
  <c r="AJ440" i="1"/>
  <c r="AJ439" i="1"/>
  <c r="AJ438" i="1"/>
  <c r="AJ437" i="1"/>
  <c r="AJ436" i="1"/>
  <c r="AJ435" i="1"/>
  <c r="AJ432" i="1"/>
  <c r="AJ430" i="1"/>
  <c r="AJ426" i="1"/>
  <c r="AJ425" i="1"/>
  <c r="AJ424" i="1"/>
  <c r="AJ423" i="1"/>
  <c r="AJ422" i="1"/>
  <c r="AJ421" i="1"/>
  <c r="AJ420" i="1"/>
  <c r="AJ419" i="1"/>
  <c r="AJ418" i="1"/>
  <c r="AJ417" i="1"/>
  <c r="AJ416" i="1"/>
  <c r="AJ415" i="1"/>
  <c r="AJ414" i="1"/>
  <c r="AJ413" i="1"/>
  <c r="AJ412" i="1"/>
  <c r="AJ411" i="1"/>
  <c r="AJ410" i="1"/>
  <c r="AJ409" i="1"/>
  <c r="AJ405" i="1"/>
  <c r="AJ404" i="1"/>
  <c r="AJ403" i="1"/>
  <c r="AJ400" i="1"/>
  <c r="AJ399" i="1"/>
  <c r="AJ398" i="1"/>
  <c r="AJ397" i="1"/>
  <c r="AJ393" i="1"/>
  <c r="AJ392" i="1"/>
  <c r="AJ391" i="1"/>
  <c r="AJ388" i="1"/>
  <c r="AJ387" i="1"/>
  <c r="AJ386" i="1"/>
  <c r="AJ385" i="1"/>
  <c r="AJ384" i="1"/>
  <c r="AJ383" i="1"/>
  <c r="AJ380" i="1"/>
  <c r="AJ378" i="1"/>
  <c r="AJ377" i="1"/>
  <c r="AJ375" i="1"/>
  <c r="AJ374" i="1"/>
  <c r="AJ373" i="1"/>
  <c r="AJ371" i="1"/>
  <c r="AJ367" i="1"/>
  <c r="AJ366" i="1"/>
  <c r="AJ365" i="1"/>
  <c r="AJ364" i="1"/>
  <c r="AJ363" i="1"/>
  <c r="AJ362" i="1"/>
  <c r="AJ361" i="1"/>
  <c r="AJ360" i="1"/>
  <c r="AJ359" i="1"/>
  <c r="AJ358" i="1"/>
  <c r="AJ357" i="1"/>
  <c r="AJ356" i="1"/>
  <c r="AJ355" i="1"/>
  <c r="AJ354" i="1"/>
  <c r="AJ353" i="1"/>
  <c r="AJ352" i="1"/>
  <c r="AJ351" i="1"/>
  <c r="AJ350" i="1"/>
  <c r="AJ349" i="1"/>
  <c r="AJ348" i="1"/>
  <c r="AJ347" i="1"/>
  <c r="AJ346" i="1"/>
  <c r="AJ345" i="1"/>
  <c r="AJ344" i="1"/>
  <c r="AJ343" i="1"/>
  <c r="AJ342" i="1"/>
  <c r="AJ341" i="1"/>
  <c r="AJ340" i="1"/>
  <c r="AJ339" i="1"/>
  <c r="AJ338" i="1"/>
  <c r="AJ333" i="1"/>
  <c r="AJ332" i="1"/>
  <c r="AJ330" i="1"/>
  <c r="AJ327" i="1"/>
  <c r="AJ326" i="1"/>
  <c r="AJ324" i="1"/>
  <c r="AJ321" i="1"/>
  <c r="AJ320" i="1"/>
  <c r="AJ319" i="1"/>
  <c r="AJ316" i="1"/>
  <c r="AJ315" i="1"/>
  <c r="AJ314" i="1"/>
  <c r="AJ313" i="1"/>
  <c r="AJ312" i="1"/>
  <c r="AJ311" i="1"/>
  <c r="AJ310" i="1"/>
  <c r="AJ309" i="1"/>
  <c r="AJ308" i="1"/>
  <c r="AJ307" i="1"/>
  <c r="AJ306" i="1"/>
  <c r="AJ305" i="1"/>
  <c r="AJ304" i="1"/>
  <c r="AJ303" i="1"/>
  <c r="AJ302" i="1"/>
  <c r="AJ301" i="1"/>
  <c r="AJ300" i="1"/>
  <c r="AJ299" i="1"/>
  <c r="AJ298" i="1"/>
  <c r="AJ297" i="1"/>
  <c r="AJ296" i="1"/>
  <c r="AJ295" i="1"/>
  <c r="AJ294" i="1"/>
  <c r="AJ291" i="1"/>
  <c r="AJ290" i="1"/>
  <c r="AJ289" i="1"/>
  <c r="AJ286" i="1"/>
  <c r="AJ285" i="1"/>
  <c r="AJ284" i="1"/>
  <c r="AJ283" i="1"/>
  <c r="AJ282" i="1"/>
  <c r="AJ281" i="1"/>
  <c r="AJ280" i="1"/>
  <c r="AJ279" i="1"/>
  <c r="AJ276" i="1"/>
  <c r="AJ273" i="1"/>
  <c r="AJ272" i="1"/>
  <c r="AJ271" i="1"/>
  <c r="AJ270" i="1"/>
  <c r="AJ269" i="1"/>
  <c r="AJ268" i="1"/>
  <c r="AJ267" i="1"/>
  <c r="AJ264" i="1"/>
  <c r="AJ262" i="1"/>
  <c r="AJ261" i="1"/>
  <c r="AJ260" i="1"/>
  <c r="AJ257" i="1"/>
  <c r="AJ256" i="1"/>
  <c r="AJ255" i="1"/>
  <c r="AJ254" i="1"/>
  <c r="AJ253" i="1"/>
  <c r="AJ252" i="1"/>
  <c r="AJ251" i="1"/>
  <c r="AJ250" i="1"/>
  <c r="AJ249" i="1"/>
  <c r="AJ248" i="1"/>
  <c r="AJ247" i="1"/>
  <c r="AJ246" i="1"/>
  <c r="AJ245" i="1"/>
  <c r="AJ244" i="1"/>
  <c r="AJ243" i="1"/>
  <c r="AJ242" i="1"/>
  <c r="AJ241" i="1"/>
  <c r="AJ240" i="1"/>
  <c r="AJ239" i="1"/>
  <c r="AJ238" i="1"/>
  <c r="AJ237" i="1"/>
  <c r="AJ236" i="1"/>
  <c r="AJ235" i="1"/>
  <c r="AJ234" i="1"/>
  <c r="AJ233" i="1"/>
  <c r="AJ231" i="1"/>
  <c r="AJ229" i="1"/>
  <c r="AJ228" i="1"/>
  <c r="AJ227" i="1"/>
  <c r="AJ226" i="1"/>
  <c r="AJ225" i="1"/>
  <c r="AJ223" i="1"/>
  <c r="AJ222" i="1"/>
  <c r="AJ221" i="1"/>
  <c r="AJ220" i="1"/>
  <c r="AJ219" i="1"/>
  <c r="AJ218" i="1"/>
  <c r="AJ217" i="1"/>
  <c r="AJ212" i="1"/>
  <c r="AJ211" i="1"/>
  <c r="AJ210" i="1"/>
  <c r="AJ209" i="1"/>
  <c r="AJ208" i="1"/>
  <c r="AJ207" i="1"/>
  <c r="AJ206" i="1"/>
  <c r="AJ205" i="1"/>
  <c r="AJ204" i="1"/>
  <c r="AJ203" i="1"/>
  <c r="AJ201" i="1"/>
  <c r="AJ200" i="1"/>
  <c r="AJ194" i="1"/>
  <c r="AJ193" i="1"/>
  <c r="AJ192" i="1"/>
  <c r="AJ191" i="1"/>
  <c r="AJ190" i="1"/>
  <c r="AJ189" i="1"/>
  <c r="AJ188" i="1"/>
  <c r="AJ187" i="1"/>
  <c r="AJ186" i="1"/>
  <c r="AJ185" i="1"/>
  <c r="AJ184" i="1"/>
  <c r="AJ183" i="1"/>
  <c r="AJ182" i="1"/>
  <c r="AJ181" i="1"/>
  <c r="AJ180" i="1"/>
  <c r="AJ179" i="1"/>
  <c r="AJ178" i="1"/>
  <c r="AJ177" i="1"/>
  <c r="AJ176" i="1"/>
  <c r="AJ175" i="1"/>
  <c r="AJ174" i="1"/>
  <c r="AJ173" i="1"/>
  <c r="AJ172" i="1"/>
  <c r="AJ169" i="1"/>
  <c r="AJ166" i="1"/>
  <c r="AJ165" i="1"/>
  <c r="AJ164" i="1"/>
  <c r="AJ163" i="1"/>
  <c r="AJ162" i="1"/>
  <c r="AJ161" i="1"/>
  <c r="AJ160" i="1"/>
  <c r="AJ159" i="1"/>
  <c r="AJ158" i="1"/>
  <c r="AJ157" i="1"/>
  <c r="AJ156" i="1"/>
  <c r="AJ155" i="1"/>
  <c r="AJ154" i="1"/>
  <c r="AJ151" i="1"/>
  <c r="AJ150" i="1"/>
  <c r="AJ144" i="1"/>
  <c r="AJ143" i="1"/>
  <c r="AJ142" i="1"/>
  <c r="AJ141" i="1"/>
  <c r="AJ140" i="1"/>
  <c r="AJ139" i="1"/>
  <c r="AJ134" i="1"/>
  <c r="AJ133" i="1"/>
  <c r="AJ132" i="1"/>
  <c r="AJ131" i="1"/>
  <c r="AJ130" i="1"/>
  <c r="AJ129" i="1"/>
  <c r="AJ128" i="1"/>
  <c r="AJ127" i="1"/>
  <c r="AJ126" i="1"/>
  <c r="AJ125" i="1"/>
  <c r="AJ124" i="1"/>
  <c r="AJ123" i="1"/>
  <c r="AJ122" i="1"/>
  <c r="AJ121" i="1"/>
  <c r="AJ120" i="1"/>
  <c r="AJ119" i="1"/>
  <c r="AJ118" i="1"/>
  <c r="AJ117" i="1"/>
  <c r="AJ116" i="1"/>
  <c r="AJ115" i="1"/>
  <c r="AJ114" i="1"/>
  <c r="AJ113" i="1"/>
  <c r="AJ112" i="1"/>
  <c r="AJ111" i="1"/>
  <c r="AJ110" i="1"/>
  <c r="AJ109" i="1"/>
  <c r="AJ108" i="1"/>
  <c r="AJ107" i="1"/>
  <c r="AJ106" i="1"/>
  <c r="AJ105" i="1"/>
  <c r="AJ104" i="1"/>
  <c r="AJ103" i="1"/>
  <c r="AJ102" i="1"/>
  <c r="AJ101" i="1"/>
  <c r="AJ100" i="1"/>
  <c r="AJ99" i="1"/>
  <c r="AJ98" i="1"/>
  <c r="AJ97" i="1"/>
  <c r="AJ96" i="1"/>
  <c r="AJ95" i="1"/>
  <c r="AJ94" i="1"/>
  <c r="AJ93" i="1"/>
  <c r="AJ92" i="1"/>
  <c r="AJ91" i="1"/>
  <c r="AJ90" i="1"/>
  <c r="AJ89" i="1"/>
  <c r="AJ87" i="1"/>
  <c r="AJ86" i="1"/>
  <c r="AJ85" i="1"/>
  <c r="AJ84" i="1"/>
  <c r="AJ83" i="1"/>
  <c r="AJ82" i="1"/>
  <c r="AJ81" i="1"/>
  <c r="AJ80" i="1"/>
  <c r="AJ77" i="1"/>
  <c r="AJ76" i="1"/>
  <c r="AJ75" i="1"/>
  <c r="AJ73" i="1"/>
  <c r="AJ71" i="1"/>
  <c r="AJ67" i="1"/>
  <c r="AJ66" i="1"/>
  <c r="AJ65" i="1"/>
  <c r="AJ62" i="1"/>
  <c r="AJ61" i="1"/>
  <c r="AJ60" i="1"/>
  <c r="AJ57" i="1"/>
  <c r="AJ56" i="1"/>
  <c r="AJ55" i="1"/>
  <c r="AJ52" i="1"/>
  <c r="AJ50" i="1"/>
  <c r="AJ49" i="1"/>
  <c r="AJ48" i="1"/>
  <c r="AJ47" i="1"/>
  <c r="AJ46" i="1"/>
  <c r="AJ45" i="1"/>
  <c r="AJ44" i="1"/>
  <c r="AJ43" i="1"/>
  <c r="AJ42" i="1"/>
  <c r="AJ41" i="1"/>
  <c r="AJ40" i="1"/>
  <c r="AJ39" i="1"/>
  <c r="AJ38" i="1"/>
  <c r="AJ37" i="1"/>
  <c r="AJ36" i="1"/>
  <c r="AJ33" i="1"/>
  <c r="AJ32" i="1"/>
  <c r="AJ28" i="1"/>
  <c r="AJ27" i="1"/>
  <c r="AJ26" i="1"/>
  <c r="AJ25" i="1"/>
  <c r="AJ24" i="1"/>
  <c r="AJ23" i="1"/>
  <c r="AJ22" i="1"/>
  <c r="AJ21" i="1"/>
  <c r="AJ20" i="1"/>
  <c r="AJ19" i="1"/>
  <c r="AJ13" i="1"/>
  <c r="AJ12" i="1"/>
  <c r="AJ11" i="1"/>
  <c r="AJ10" i="1"/>
  <c r="AJ2" i="1"/>
  <c r="AI88" i="1"/>
  <c r="AJ88" i="1" s="1"/>
  <c r="AI79" i="1"/>
  <c r="AJ79" i="1" s="1"/>
  <c r="U1367" i="2"/>
  <c r="T1367" i="2"/>
  <c r="AI78" i="1"/>
  <c r="AJ78" i="1" s="1"/>
  <c r="H1367" i="2"/>
  <c r="G1367" i="2"/>
  <c r="AI372" i="1"/>
  <c r="AJ372" i="1" s="1"/>
  <c r="AC1320" i="2"/>
  <c r="AB1320" i="2"/>
  <c r="AI370" i="1"/>
  <c r="AJ370" i="1" s="1"/>
  <c r="U1320" i="2"/>
  <c r="T1320" i="2"/>
  <c r="AI368" i="1"/>
  <c r="AJ368" i="1" s="1"/>
  <c r="AI369" i="1"/>
  <c r="AJ369" i="1" s="1"/>
  <c r="L1320" i="2"/>
  <c r="K1320" i="2"/>
  <c r="D1320" i="2"/>
  <c r="C1320" i="2"/>
  <c r="AI331" i="1"/>
  <c r="AJ331" i="1" s="1"/>
  <c r="W1309" i="2"/>
  <c r="X1307" i="2"/>
  <c r="Y1307" i="2"/>
  <c r="Z1307" i="2"/>
  <c r="W1307" i="2"/>
  <c r="AI329" i="1"/>
  <c r="AJ329" i="1" s="1"/>
  <c r="G1309" i="2"/>
  <c r="AI328" i="1"/>
  <c r="AJ328" i="1" s="1"/>
  <c r="C1309" i="2"/>
  <c r="D1307" i="2"/>
  <c r="E1307" i="2"/>
  <c r="F1307" i="2"/>
  <c r="G1307" i="2"/>
  <c r="H1307" i="2"/>
  <c r="I1307" i="2"/>
  <c r="C1307" i="2"/>
  <c r="B1306" i="2"/>
  <c r="AI153" i="1"/>
  <c r="AJ153" i="1" s="1"/>
  <c r="U1285" i="2"/>
  <c r="T1285" i="2"/>
  <c r="AI152" i="1"/>
  <c r="AJ152" i="1" s="1"/>
  <c r="D1285" i="2"/>
  <c r="C1285" i="2"/>
  <c r="AI72" i="1"/>
  <c r="AJ72" i="1" s="1"/>
  <c r="AI74" i="1"/>
  <c r="AJ74" i="1" s="1"/>
  <c r="AB1266" i="2"/>
  <c r="AA1266" i="2"/>
  <c r="T1266" i="2"/>
  <c r="S1266" i="2"/>
  <c r="AI70" i="1"/>
  <c r="AJ70" i="1" s="1"/>
  <c r="P1266" i="2"/>
  <c r="O1266" i="2"/>
  <c r="AI69" i="1"/>
  <c r="AJ69" i="1" s="1"/>
  <c r="L1266" i="2"/>
  <c r="K1266" i="2"/>
  <c r="F1266" i="2"/>
  <c r="E1266" i="2"/>
  <c r="AI68" i="1"/>
  <c r="AJ68" i="1" s="1"/>
  <c r="AI396" i="1"/>
  <c r="AJ396" i="1" s="1"/>
  <c r="AD1232" i="2"/>
  <c r="AC1232" i="2"/>
  <c r="AI395" i="1"/>
  <c r="AJ395" i="1" s="1"/>
  <c r="V1232" i="2"/>
  <c r="U1232" i="2"/>
  <c r="AI394" i="1"/>
  <c r="AJ394" i="1" s="1"/>
  <c r="H1232" i="2"/>
  <c r="G1232" i="2"/>
  <c r="AI434" i="1"/>
  <c r="AJ434" i="1" s="1"/>
  <c r="Y1213" i="2"/>
  <c r="X1213" i="2"/>
  <c r="AI433" i="1"/>
  <c r="AJ433" i="1" s="1"/>
  <c r="T1198" i="2"/>
  <c r="S1198" i="2"/>
  <c r="X1309" i="2" l="1"/>
  <c r="D1309" i="2"/>
  <c r="G1310" i="2"/>
  <c r="AI431" i="1"/>
  <c r="AJ431" i="1" s="1"/>
  <c r="G1198" i="2"/>
  <c r="F1198" i="2"/>
  <c r="AI429" i="1"/>
  <c r="AJ429" i="1" s="1"/>
  <c r="AB1178" i="2"/>
  <c r="AA1178" i="2"/>
  <c r="AI428" i="1"/>
  <c r="AJ428" i="1" s="1"/>
  <c r="S1178" i="2"/>
  <c r="R1178" i="2"/>
  <c r="AI427" i="1"/>
  <c r="AJ427" i="1" s="1"/>
  <c r="G1178" i="2"/>
  <c r="F1178" i="2"/>
  <c r="AI232" i="1"/>
  <c r="AJ232" i="1" s="1"/>
  <c r="AI230" i="1"/>
  <c r="AJ230" i="1" s="1"/>
  <c r="AI224" i="1"/>
  <c r="AJ224" i="1" s="1"/>
  <c r="AA225" i="1"/>
  <c r="AA226" i="1"/>
  <c r="AA227" i="1"/>
  <c r="AA228" i="1"/>
  <c r="AA229" i="1"/>
  <c r="AA230" i="1"/>
  <c r="AA231" i="1"/>
  <c r="AA232" i="1"/>
  <c r="AA233" i="1"/>
  <c r="L1160" i="2"/>
  <c r="K1160" i="2"/>
  <c r="AI515" i="1"/>
  <c r="AJ515" i="1" s="1"/>
  <c r="U1122" i="2"/>
  <c r="T1122" i="2"/>
  <c r="AI514" i="1"/>
  <c r="AJ514" i="1" s="1"/>
  <c r="F1122" i="2"/>
  <c r="E1122" i="2"/>
  <c r="AI513" i="1"/>
  <c r="AJ513" i="1" s="1"/>
  <c r="C1123" i="2"/>
  <c r="B1123" i="2"/>
  <c r="C1122" i="2"/>
  <c r="B1122" i="2"/>
  <c r="AI512" i="1"/>
  <c r="AJ512" i="1" s="1"/>
  <c r="AA65" i="1"/>
  <c r="AA66" i="1"/>
  <c r="AA67" i="1"/>
  <c r="AA68" i="1"/>
  <c r="AA69" i="1"/>
  <c r="AA64" i="1"/>
  <c r="AI64" i="1"/>
  <c r="AJ64" i="1" s="1"/>
  <c r="Y1087" i="2"/>
  <c r="X1087" i="2"/>
  <c r="AI63" i="1"/>
  <c r="AJ63" i="1" s="1"/>
  <c r="AE1071" i="2"/>
  <c r="AD1071" i="2"/>
  <c r="O1087" i="2"/>
  <c r="P1087" i="2" s="1"/>
  <c r="AI59" i="1"/>
  <c r="AJ59" i="1" s="1"/>
  <c r="N1087" i="2"/>
  <c r="M1087" i="2"/>
  <c r="AI58" i="1"/>
  <c r="AJ58" i="1" s="1"/>
  <c r="G1087" i="2"/>
  <c r="F1087" i="2"/>
  <c r="AI54" i="1"/>
  <c r="AJ54" i="1" s="1"/>
  <c r="AB1052" i="2"/>
  <c r="AA1052" i="2"/>
  <c r="AI53" i="1"/>
  <c r="AJ53" i="1" s="1"/>
  <c r="T1052" i="2"/>
  <c r="S1052" i="2"/>
  <c r="AI51" i="1"/>
  <c r="AJ51" i="1" s="1"/>
  <c r="L1052" i="2"/>
  <c r="K1052" i="2"/>
  <c r="T1034" i="2"/>
  <c r="S1034" i="2"/>
  <c r="AI170" i="1"/>
  <c r="AJ170" i="1" s="1"/>
  <c r="AI171" i="1"/>
  <c r="AJ171" i="1" s="1"/>
  <c r="T1017" i="2"/>
  <c r="S1017" i="2"/>
  <c r="AI168" i="1"/>
  <c r="AJ168" i="1" s="1"/>
  <c r="G1034" i="2"/>
  <c r="F1034" i="2"/>
  <c r="AI167" i="1"/>
  <c r="AJ167" i="1" s="1"/>
  <c r="G1017" i="2"/>
  <c r="F1017" i="2"/>
  <c r="AA19" i="1"/>
  <c r="AI408" i="1"/>
  <c r="AJ408" i="1" s="1"/>
  <c r="H997" i="2"/>
  <c r="I997" i="2" s="1"/>
  <c r="AI407" i="1"/>
  <c r="AJ407" i="1" s="1"/>
  <c r="F967" i="2"/>
  <c r="E967" i="2"/>
  <c r="AI406" i="1"/>
  <c r="AJ406" i="1" s="1"/>
  <c r="D982" i="2"/>
  <c r="C982" i="2"/>
  <c r="AI18" i="1"/>
  <c r="AJ18" i="1" s="1"/>
  <c r="AC948" i="2"/>
  <c r="AB948" i="2"/>
  <c r="AI17" i="1"/>
  <c r="AJ17" i="1" s="1"/>
  <c r="X948" i="2"/>
  <c r="W948" i="2"/>
  <c r="T948" i="2"/>
  <c r="S948" i="2"/>
  <c r="AI16" i="1"/>
  <c r="AJ16" i="1" s="1"/>
  <c r="P948" i="2"/>
  <c r="O948" i="2"/>
  <c r="AI15" i="1"/>
  <c r="AJ15" i="1" s="1"/>
  <c r="AI4" i="1"/>
  <c r="AJ4" i="1" s="1"/>
  <c r="AI5" i="1"/>
  <c r="AJ5" i="1" s="1"/>
  <c r="AI6" i="1"/>
  <c r="AJ6" i="1" s="1"/>
  <c r="AI7" i="1"/>
  <c r="AJ7" i="1" s="1"/>
  <c r="AI8" i="1"/>
  <c r="AJ8" i="1" s="1"/>
  <c r="AI9" i="1"/>
  <c r="AJ9" i="1" s="1"/>
  <c r="AI3" i="1"/>
  <c r="AJ3" i="1" s="1"/>
  <c r="AI14" i="1"/>
  <c r="AJ14" i="1" s="1"/>
  <c r="G948" i="2"/>
  <c r="F948" i="2"/>
  <c r="AA41" i="1"/>
  <c r="AA42" i="1"/>
  <c r="AA43" i="1"/>
  <c r="AA44" i="1"/>
  <c r="AA45" i="1"/>
  <c r="AA46" i="1"/>
  <c r="AA47" i="1"/>
  <c r="AA48" i="1"/>
  <c r="AA49" i="1"/>
  <c r="AA50" i="1"/>
  <c r="AA51" i="1"/>
  <c r="AA52" i="1"/>
  <c r="AA53" i="1"/>
  <c r="AA54" i="1"/>
  <c r="AA55" i="1"/>
  <c r="AA56" i="1"/>
  <c r="AA57" i="1"/>
  <c r="AA58" i="1"/>
  <c r="AA59" i="1"/>
  <c r="AA60" i="1"/>
  <c r="AA61" i="1"/>
  <c r="AA62" i="1"/>
  <c r="AA63" i="1"/>
  <c r="AA70" i="1"/>
  <c r="AA71" i="1"/>
  <c r="AA72" i="1"/>
  <c r="AA73" i="1"/>
  <c r="AA74" i="1"/>
  <c r="AA75" i="1"/>
  <c r="AA76" i="1"/>
  <c r="AA77" i="1"/>
  <c r="AA78" i="1"/>
  <c r="AA79" i="1"/>
  <c r="AA81" i="1"/>
  <c r="AA80"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8" i="1"/>
  <c r="AA119" i="1"/>
  <c r="AA120" i="1"/>
  <c r="AA121" i="1"/>
  <c r="AA122" i="1"/>
  <c r="AA123" i="1"/>
  <c r="AA124" i="1"/>
  <c r="AA125" i="1"/>
  <c r="AA126" i="1"/>
  <c r="AA127" i="1"/>
  <c r="AA128" i="1"/>
  <c r="AA129" i="1"/>
  <c r="AA130" i="1"/>
  <c r="AA131" i="1"/>
  <c r="AA132" i="1"/>
  <c r="AA133" i="1"/>
  <c r="AA134" i="1"/>
  <c r="AA117" i="1"/>
  <c r="AA135" i="1"/>
  <c r="AA136" i="1"/>
  <c r="AA137" i="1"/>
  <c r="AA138" i="1"/>
  <c r="AA139" i="1"/>
  <c r="AA140" i="1"/>
  <c r="AA141" i="1"/>
  <c r="AA142" i="1"/>
  <c r="AA143" i="1"/>
  <c r="AA144" i="1"/>
  <c r="AA145" i="1"/>
  <c r="AA147" i="1"/>
  <c r="AA146" i="1"/>
  <c r="AA148" i="1"/>
  <c r="AA149" i="1"/>
  <c r="AA150" i="1"/>
  <c r="AA151" i="1"/>
  <c r="AA152" i="1"/>
  <c r="AA153" i="1"/>
  <c r="AA154" i="1"/>
  <c r="AA155" i="1"/>
  <c r="AA156" i="1"/>
  <c r="AA157" i="1"/>
  <c r="AA158" i="1"/>
  <c r="AA159" i="1"/>
  <c r="AA160" i="1"/>
  <c r="AA161" i="1"/>
  <c r="AA162" i="1"/>
  <c r="AA163" i="1"/>
  <c r="AA164" i="1"/>
  <c r="AA165" i="1"/>
  <c r="AA166" i="1"/>
  <c r="AA167" i="1"/>
  <c r="AA168" i="1"/>
  <c r="AA170" i="1"/>
  <c r="AA171" i="1"/>
  <c r="AA169"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5" i="1"/>
  <c r="AA204" i="1"/>
  <c r="AA206" i="1"/>
  <c r="AA207" i="1"/>
  <c r="AA208" i="1"/>
  <c r="AA209" i="1"/>
  <c r="AA210" i="1"/>
  <c r="AA211" i="1"/>
  <c r="AA212" i="1"/>
  <c r="AA213" i="1"/>
  <c r="AA214" i="1"/>
  <c r="AA215" i="1"/>
  <c r="AA216" i="1"/>
  <c r="AA217" i="1"/>
  <c r="AA218" i="1"/>
  <c r="AA219" i="1"/>
  <c r="AA220" i="1"/>
  <c r="AA221" i="1"/>
  <c r="AA222" i="1"/>
  <c r="AA223" i="1"/>
  <c r="AA224" i="1"/>
  <c r="AA234" i="1"/>
  <c r="AA235" i="1"/>
  <c r="AA236" i="1"/>
  <c r="AA237" i="1"/>
  <c r="AA238" i="1"/>
  <c r="AA239" i="1"/>
  <c r="AA240" i="1"/>
  <c r="AA241" i="1"/>
  <c r="AA242" i="1"/>
  <c r="AA243" i="1"/>
  <c r="AA244" i="1"/>
  <c r="AA245" i="1"/>
  <c r="AA246" i="1"/>
  <c r="AA247" i="1"/>
  <c r="AA248" i="1"/>
  <c r="AA249" i="1"/>
  <c r="AA251" i="1"/>
  <c r="AA250" i="1"/>
  <c r="AA252" i="1"/>
  <c r="AA253" i="1"/>
  <c r="AA255" i="1"/>
  <c r="AA254"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6" i="1"/>
  <c r="AA297" i="1"/>
  <c r="AA298" i="1"/>
  <c r="AA301" i="1"/>
  <c r="AA302" i="1"/>
  <c r="AA299" i="1"/>
  <c r="AA300"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2" i="1"/>
  <c r="AA371"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6" i="1"/>
  <c r="AA407" i="1"/>
  <c r="AA408" i="1"/>
  <c r="AA409" i="1"/>
  <c r="AA405" i="1"/>
  <c r="AA411" i="1"/>
  <c r="AA412" i="1"/>
  <c r="AA413" i="1"/>
  <c r="AA410" i="1"/>
  <c r="AA414" i="1"/>
  <c r="AA415" i="1"/>
  <c r="AA419" i="1"/>
  <c r="AA418" i="1"/>
  <c r="AA420" i="1"/>
  <c r="AA421" i="1"/>
  <c r="AA422" i="1"/>
  <c r="AA423" i="1"/>
  <c r="AA417" i="1"/>
  <c r="AA425" i="1"/>
  <c r="AA426" i="1"/>
  <c r="AA416" i="1"/>
  <c r="AA424" i="1"/>
  <c r="AA427" i="1"/>
  <c r="AA428" i="1"/>
  <c r="AA429" i="1"/>
  <c r="AA430" i="1"/>
  <c r="AA431" i="1"/>
  <c r="AA433" i="1"/>
  <c r="AA432" i="1"/>
  <c r="AA434" i="1"/>
  <c r="AA435" i="1"/>
  <c r="AA436" i="1"/>
  <c r="AA437" i="1"/>
  <c r="AA438" i="1"/>
  <c r="AA439" i="1"/>
  <c r="AA440" i="1"/>
  <c r="AA441" i="1"/>
  <c r="AA442" i="1"/>
  <c r="AA443" i="1"/>
  <c r="AA445" i="1"/>
  <c r="AA446" i="1"/>
  <c r="AA452" i="1"/>
  <c r="AA454" i="1"/>
  <c r="AA453" i="1"/>
  <c r="AA455" i="1"/>
  <c r="AA464" i="1"/>
  <c r="AA463" i="1"/>
  <c r="AA465" i="1"/>
  <c r="AA466" i="1"/>
  <c r="AA467" i="1"/>
  <c r="AA468" i="1"/>
  <c r="AA469" i="1"/>
  <c r="AA470" i="1"/>
  <c r="AA471" i="1"/>
  <c r="AA472" i="1"/>
  <c r="AA473" i="1"/>
  <c r="AA474" i="1"/>
  <c r="AA475" i="1"/>
  <c r="AA476" i="1"/>
  <c r="AA477" i="1"/>
  <c r="AA478" i="1"/>
  <c r="AA479" i="1"/>
  <c r="AA481" i="1"/>
  <c r="AA480" i="1"/>
  <c r="AA482" i="1"/>
  <c r="AA483" i="1"/>
  <c r="AA484" i="1"/>
  <c r="AA485" i="1"/>
  <c r="AA486" i="1"/>
  <c r="AA487" i="1"/>
  <c r="AA488" i="1"/>
  <c r="AA493" i="1"/>
  <c r="AA494" i="1"/>
  <c r="AA495"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444" i="1"/>
  <c r="AA447" i="1"/>
  <c r="AA448" i="1"/>
  <c r="AA449" i="1"/>
  <c r="AA450" i="1"/>
  <c r="AA451" i="1"/>
  <c r="AA456" i="1"/>
  <c r="AA457" i="1"/>
  <c r="AA458" i="1"/>
  <c r="AA459" i="1"/>
  <c r="AA460" i="1"/>
  <c r="AA461" i="1"/>
  <c r="AA462" i="1"/>
  <c r="AA489" i="1"/>
  <c r="AA490" i="1"/>
  <c r="AA491" i="1"/>
  <c r="AA492" i="1"/>
  <c r="AA496" i="1"/>
  <c r="AA497" i="1"/>
  <c r="AA4" i="1"/>
  <c r="AA5" i="1"/>
  <c r="AA6" i="1"/>
  <c r="AA7" i="1"/>
  <c r="AA8" i="1"/>
  <c r="AA9" i="1"/>
  <c r="AA10" i="1"/>
  <c r="AA11" i="1"/>
  <c r="AA12" i="1"/>
  <c r="AA13" i="1"/>
  <c r="AA14" i="1"/>
  <c r="AA15" i="1"/>
  <c r="AA16" i="1"/>
  <c r="AA17" i="1"/>
  <c r="AA18" i="1"/>
  <c r="AA20" i="1"/>
  <c r="AA21" i="1"/>
  <c r="AA22" i="1"/>
  <c r="AA23" i="1"/>
  <c r="AA24" i="1"/>
  <c r="AA25" i="1"/>
  <c r="AA26" i="1"/>
  <c r="AA27" i="1"/>
  <c r="AA28" i="1"/>
  <c r="AA29" i="1"/>
  <c r="AA31" i="1"/>
  <c r="AA30" i="1"/>
  <c r="AA32" i="1"/>
  <c r="AA33" i="1"/>
  <c r="AA35" i="1"/>
  <c r="AA34" i="1"/>
  <c r="AA36" i="1"/>
  <c r="AA37" i="1"/>
  <c r="AA38" i="1"/>
  <c r="AA39" i="1"/>
  <c r="AA40" i="1"/>
  <c r="AA3" i="1"/>
  <c r="AI584" i="1"/>
  <c r="AJ584" i="1" s="1"/>
  <c r="P928" i="2"/>
  <c r="O928" i="2"/>
  <c r="AI581" i="1"/>
  <c r="AJ581" i="1" s="1"/>
  <c r="D912" i="2"/>
  <c r="C912" i="2"/>
  <c r="AI528" i="1"/>
  <c r="AJ528" i="1" s="1"/>
  <c r="V895" i="2"/>
  <c r="U895" i="2"/>
  <c r="AI527" i="1"/>
  <c r="AJ527" i="1" s="1"/>
  <c r="Q879" i="2"/>
  <c r="P879" i="2"/>
  <c r="AI526" i="1"/>
  <c r="AJ526" i="1" s="1"/>
  <c r="H895" i="2"/>
  <c r="G895" i="2"/>
  <c r="AI525" i="1"/>
  <c r="AJ525" i="1" s="1"/>
  <c r="C879" i="2"/>
  <c r="B879" i="2"/>
  <c r="AI522" i="1"/>
  <c r="AJ522" i="1" s="1"/>
  <c r="AI523" i="1"/>
  <c r="AJ523" i="1" s="1"/>
  <c r="U861" i="2"/>
  <c r="T861" i="2"/>
  <c r="L861" i="2"/>
  <c r="K861" i="2"/>
  <c r="AI521" i="1"/>
  <c r="AJ521" i="1" s="1"/>
  <c r="C861" i="2"/>
  <c r="B861" i="2"/>
  <c r="AI563" i="1"/>
  <c r="AJ563" i="1" s="1"/>
  <c r="U844" i="2"/>
  <c r="T844" i="2"/>
  <c r="AI562" i="1"/>
  <c r="AJ562" i="1" s="1"/>
  <c r="L844" i="2"/>
  <c r="K844" i="2"/>
  <c r="AI561" i="1"/>
  <c r="AJ561" i="1" s="1"/>
  <c r="C844" i="2"/>
  <c r="B844" i="2"/>
  <c r="AI539" i="1"/>
  <c r="AJ539" i="1" s="1"/>
  <c r="T827" i="2"/>
  <c r="S827" i="2"/>
  <c r="AI538" i="1"/>
  <c r="AJ538" i="1" s="1"/>
  <c r="C827" i="2"/>
  <c r="B827" i="2"/>
  <c r="AI570" i="1"/>
  <c r="AJ570" i="1" s="1"/>
  <c r="C806" i="2"/>
  <c r="B806" i="2"/>
  <c r="AI571" i="1"/>
  <c r="AJ571" i="1" s="1"/>
  <c r="L806" i="2"/>
  <c r="K806" i="2"/>
  <c r="AI567" i="1"/>
  <c r="AJ567" i="1" s="1"/>
  <c r="U787" i="2"/>
  <c r="T787" i="2"/>
  <c r="AI566" i="1"/>
  <c r="AJ566" i="1" s="1"/>
  <c r="M787" i="2"/>
  <c r="L787" i="2"/>
  <c r="V3" i="1"/>
  <c r="W3" i="1"/>
  <c r="X3" i="1"/>
  <c r="Y3" i="1"/>
  <c r="Z3" i="1"/>
  <c r="V4" i="1"/>
  <c r="W4" i="1"/>
  <c r="X4" i="1"/>
  <c r="Y4" i="1"/>
  <c r="Z4" i="1"/>
  <c r="V5" i="1"/>
  <c r="W5" i="1"/>
  <c r="X5" i="1"/>
  <c r="Y5" i="1"/>
  <c r="Z5" i="1"/>
  <c r="V6" i="1"/>
  <c r="W6" i="1"/>
  <c r="X6" i="1"/>
  <c r="Y6" i="1"/>
  <c r="Z6" i="1"/>
  <c r="V7" i="1"/>
  <c r="W7" i="1"/>
  <c r="X7" i="1"/>
  <c r="Y7" i="1"/>
  <c r="Z7" i="1"/>
  <c r="V8" i="1"/>
  <c r="W8" i="1"/>
  <c r="X8" i="1"/>
  <c r="Y8" i="1"/>
  <c r="Z8" i="1"/>
  <c r="V9" i="1"/>
  <c r="W9" i="1"/>
  <c r="X9" i="1"/>
  <c r="Y9" i="1"/>
  <c r="Z9" i="1"/>
  <c r="V10" i="1"/>
  <c r="W10" i="1"/>
  <c r="X10" i="1"/>
  <c r="Y10" i="1"/>
  <c r="Z10" i="1"/>
  <c r="V11" i="1"/>
  <c r="W11" i="1"/>
  <c r="X11" i="1"/>
  <c r="Y11" i="1"/>
  <c r="Z11" i="1"/>
  <c r="V12" i="1"/>
  <c r="W12" i="1"/>
  <c r="X12" i="1"/>
  <c r="Y12" i="1"/>
  <c r="Z12" i="1"/>
  <c r="V13" i="1"/>
  <c r="W13" i="1"/>
  <c r="X13" i="1"/>
  <c r="Y13" i="1"/>
  <c r="Z13" i="1"/>
  <c r="V14" i="1"/>
  <c r="W14" i="1"/>
  <c r="X14" i="1"/>
  <c r="Y14" i="1"/>
  <c r="Z14" i="1"/>
  <c r="V15" i="1"/>
  <c r="W15" i="1"/>
  <c r="X15" i="1"/>
  <c r="Y15" i="1"/>
  <c r="Z15" i="1"/>
  <c r="V16" i="1"/>
  <c r="W16" i="1"/>
  <c r="X16" i="1"/>
  <c r="Y16" i="1"/>
  <c r="Z16" i="1"/>
  <c r="V17" i="1"/>
  <c r="W17" i="1"/>
  <c r="X17" i="1"/>
  <c r="Y17" i="1"/>
  <c r="Z17" i="1"/>
  <c r="V18" i="1"/>
  <c r="W18" i="1"/>
  <c r="X18" i="1"/>
  <c r="Y18" i="1"/>
  <c r="Z18" i="1"/>
  <c r="V19" i="1"/>
  <c r="W19" i="1"/>
  <c r="X19" i="1"/>
  <c r="Y19" i="1"/>
  <c r="Z19" i="1"/>
  <c r="V20" i="1"/>
  <c r="W20" i="1"/>
  <c r="X20" i="1"/>
  <c r="Y20" i="1"/>
  <c r="Z20" i="1"/>
  <c r="V21" i="1"/>
  <c r="W21" i="1"/>
  <c r="X21" i="1"/>
  <c r="Y21" i="1"/>
  <c r="Z21" i="1"/>
  <c r="V22" i="1"/>
  <c r="W22" i="1"/>
  <c r="X22" i="1"/>
  <c r="Y22" i="1"/>
  <c r="Z22" i="1"/>
  <c r="V23" i="1"/>
  <c r="W23" i="1"/>
  <c r="X23" i="1"/>
  <c r="Y23" i="1"/>
  <c r="Z23" i="1"/>
  <c r="V24" i="1"/>
  <c r="W24" i="1"/>
  <c r="X24" i="1"/>
  <c r="Y24" i="1"/>
  <c r="Z24" i="1"/>
  <c r="V25" i="1"/>
  <c r="W25" i="1"/>
  <c r="X25" i="1"/>
  <c r="Y25" i="1"/>
  <c r="Z25" i="1"/>
  <c r="V26" i="1"/>
  <c r="W26" i="1"/>
  <c r="X26" i="1"/>
  <c r="Y26" i="1"/>
  <c r="Z26" i="1"/>
  <c r="V27" i="1"/>
  <c r="W27" i="1"/>
  <c r="X27" i="1"/>
  <c r="Y27" i="1"/>
  <c r="Z27" i="1"/>
  <c r="V28" i="1"/>
  <c r="W28" i="1"/>
  <c r="X28" i="1"/>
  <c r="Y28" i="1"/>
  <c r="Z28" i="1"/>
  <c r="V29" i="1"/>
  <c r="W29" i="1"/>
  <c r="X29" i="1"/>
  <c r="Y29" i="1"/>
  <c r="Z29" i="1"/>
  <c r="V31" i="1"/>
  <c r="W31" i="1"/>
  <c r="X31" i="1"/>
  <c r="Y31" i="1"/>
  <c r="Z31" i="1"/>
  <c r="V30" i="1"/>
  <c r="W30" i="1"/>
  <c r="X30" i="1"/>
  <c r="Y30" i="1"/>
  <c r="Z30" i="1"/>
  <c r="V32" i="1"/>
  <c r="W32" i="1"/>
  <c r="X32" i="1"/>
  <c r="Y32" i="1"/>
  <c r="Z32" i="1"/>
  <c r="V33" i="1"/>
  <c r="W33" i="1"/>
  <c r="X33" i="1"/>
  <c r="Y33" i="1"/>
  <c r="Z33" i="1"/>
  <c r="V35" i="1"/>
  <c r="W35" i="1"/>
  <c r="X35" i="1"/>
  <c r="Y35" i="1"/>
  <c r="Z35" i="1"/>
  <c r="V34" i="1"/>
  <c r="W34" i="1"/>
  <c r="X34" i="1"/>
  <c r="Y34" i="1"/>
  <c r="Z34" i="1"/>
  <c r="V36" i="1"/>
  <c r="W36" i="1"/>
  <c r="X36" i="1"/>
  <c r="Y36" i="1"/>
  <c r="Z36" i="1"/>
  <c r="V37" i="1"/>
  <c r="W37" i="1"/>
  <c r="X37" i="1"/>
  <c r="Y37" i="1"/>
  <c r="Z37" i="1"/>
  <c r="V38" i="1"/>
  <c r="W38" i="1"/>
  <c r="X38" i="1"/>
  <c r="Y38" i="1"/>
  <c r="Z38" i="1"/>
  <c r="V39" i="1"/>
  <c r="W39" i="1"/>
  <c r="X39" i="1"/>
  <c r="Y39" i="1"/>
  <c r="Z39" i="1"/>
  <c r="V40" i="1"/>
  <c r="W40" i="1"/>
  <c r="X40" i="1"/>
  <c r="Y40" i="1"/>
  <c r="Z40" i="1"/>
  <c r="V41" i="1"/>
  <c r="W41" i="1"/>
  <c r="X41" i="1"/>
  <c r="Y41" i="1"/>
  <c r="Z41" i="1"/>
  <c r="V42" i="1"/>
  <c r="W42" i="1"/>
  <c r="X42" i="1"/>
  <c r="Y42" i="1"/>
  <c r="Z42" i="1"/>
  <c r="V43" i="1"/>
  <c r="W43" i="1"/>
  <c r="X43" i="1"/>
  <c r="Y43" i="1"/>
  <c r="Z43" i="1"/>
  <c r="V44" i="1"/>
  <c r="W44" i="1"/>
  <c r="X44" i="1"/>
  <c r="Y44" i="1"/>
  <c r="Z44" i="1"/>
  <c r="V45" i="1"/>
  <c r="W45" i="1"/>
  <c r="X45" i="1"/>
  <c r="Y45" i="1"/>
  <c r="Z45" i="1"/>
  <c r="V46" i="1"/>
  <c r="W46" i="1"/>
  <c r="X46" i="1"/>
  <c r="Y46" i="1"/>
  <c r="Z46" i="1"/>
  <c r="V47" i="1"/>
  <c r="W47" i="1"/>
  <c r="X47" i="1"/>
  <c r="Y47" i="1"/>
  <c r="Z47" i="1"/>
  <c r="V48" i="1"/>
  <c r="W48" i="1"/>
  <c r="X48" i="1"/>
  <c r="Y48" i="1"/>
  <c r="Z48" i="1"/>
  <c r="V49" i="1"/>
  <c r="W49" i="1"/>
  <c r="X49" i="1"/>
  <c r="Y49" i="1"/>
  <c r="Z49" i="1"/>
  <c r="V50" i="1"/>
  <c r="W50" i="1"/>
  <c r="X50" i="1"/>
  <c r="Y50" i="1"/>
  <c r="Z50" i="1"/>
  <c r="V51" i="1"/>
  <c r="W51" i="1"/>
  <c r="X51" i="1"/>
  <c r="Y51" i="1"/>
  <c r="Z51" i="1"/>
  <c r="V52" i="1"/>
  <c r="W52" i="1"/>
  <c r="X52" i="1"/>
  <c r="Y52" i="1"/>
  <c r="Z52" i="1"/>
  <c r="V53" i="1"/>
  <c r="W53" i="1"/>
  <c r="X53" i="1"/>
  <c r="Y53" i="1"/>
  <c r="Z53" i="1"/>
  <c r="V54" i="1"/>
  <c r="W54" i="1"/>
  <c r="X54" i="1"/>
  <c r="Y54" i="1"/>
  <c r="Z54" i="1"/>
  <c r="V55" i="1"/>
  <c r="W55" i="1"/>
  <c r="X55" i="1"/>
  <c r="Y55" i="1"/>
  <c r="Z55" i="1"/>
  <c r="V56" i="1"/>
  <c r="W56" i="1"/>
  <c r="X56" i="1"/>
  <c r="Y56" i="1"/>
  <c r="Z56" i="1"/>
  <c r="V57" i="1"/>
  <c r="W57" i="1"/>
  <c r="X57" i="1"/>
  <c r="Y57" i="1"/>
  <c r="Z57" i="1"/>
  <c r="V58" i="1"/>
  <c r="W58" i="1"/>
  <c r="X58" i="1"/>
  <c r="Y58" i="1"/>
  <c r="Z58" i="1"/>
  <c r="V59" i="1"/>
  <c r="W59" i="1"/>
  <c r="X59" i="1"/>
  <c r="Y59" i="1"/>
  <c r="Z59" i="1"/>
  <c r="V60" i="1"/>
  <c r="W60" i="1"/>
  <c r="X60" i="1"/>
  <c r="Y60" i="1"/>
  <c r="Z60" i="1"/>
  <c r="V61" i="1"/>
  <c r="W61" i="1"/>
  <c r="X61" i="1"/>
  <c r="Y61" i="1"/>
  <c r="Z61" i="1"/>
  <c r="V62" i="1"/>
  <c r="W62" i="1"/>
  <c r="X62" i="1"/>
  <c r="Y62" i="1"/>
  <c r="Z62" i="1"/>
  <c r="V63" i="1"/>
  <c r="W63" i="1"/>
  <c r="X63" i="1"/>
  <c r="Y63" i="1"/>
  <c r="Z63" i="1"/>
  <c r="V64" i="1"/>
  <c r="W64" i="1"/>
  <c r="X64" i="1"/>
  <c r="Y64" i="1"/>
  <c r="Z64" i="1"/>
  <c r="V65" i="1"/>
  <c r="W65" i="1"/>
  <c r="X65" i="1"/>
  <c r="Y65" i="1"/>
  <c r="Z65" i="1"/>
  <c r="V66" i="1"/>
  <c r="W66" i="1"/>
  <c r="X66" i="1"/>
  <c r="Y66" i="1"/>
  <c r="Z66" i="1"/>
  <c r="V67" i="1"/>
  <c r="W67" i="1"/>
  <c r="X67" i="1"/>
  <c r="Y67" i="1"/>
  <c r="Z67" i="1"/>
  <c r="V68" i="1"/>
  <c r="W68" i="1"/>
  <c r="X68" i="1"/>
  <c r="Y68" i="1"/>
  <c r="Z68" i="1"/>
  <c r="V69" i="1"/>
  <c r="W69" i="1"/>
  <c r="X69" i="1"/>
  <c r="Y69" i="1"/>
  <c r="Z69" i="1"/>
  <c r="V70" i="1"/>
  <c r="W70" i="1"/>
  <c r="X70" i="1"/>
  <c r="Y70" i="1"/>
  <c r="Z70" i="1"/>
  <c r="V71" i="1"/>
  <c r="W71" i="1"/>
  <c r="X71" i="1"/>
  <c r="Y71" i="1"/>
  <c r="Z71" i="1"/>
  <c r="V72" i="1"/>
  <c r="W72" i="1"/>
  <c r="X72" i="1"/>
  <c r="Y72" i="1"/>
  <c r="Z72" i="1"/>
  <c r="V73" i="1"/>
  <c r="W73" i="1"/>
  <c r="X73" i="1"/>
  <c r="Y73" i="1"/>
  <c r="Z73" i="1"/>
  <c r="V74" i="1"/>
  <c r="W74" i="1"/>
  <c r="X74" i="1"/>
  <c r="Y74" i="1"/>
  <c r="Z74" i="1"/>
  <c r="V75" i="1"/>
  <c r="W75" i="1"/>
  <c r="X75" i="1"/>
  <c r="Y75" i="1"/>
  <c r="Z75" i="1"/>
  <c r="V76" i="1"/>
  <c r="W76" i="1"/>
  <c r="X76" i="1"/>
  <c r="Y76" i="1"/>
  <c r="Z76" i="1"/>
  <c r="V77" i="1"/>
  <c r="W77" i="1"/>
  <c r="X77" i="1"/>
  <c r="Y77" i="1"/>
  <c r="Z77" i="1"/>
  <c r="V78" i="1"/>
  <c r="W78" i="1"/>
  <c r="X78" i="1"/>
  <c r="Y78" i="1"/>
  <c r="Z78" i="1"/>
  <c r="V79" i="1"/>
  <c r="W79" i="1"/>
  <c r="X79" i="1"/>
  <c r="Y79" i="1"/>
  <c r="Z79" i="1"/>
  <c r="V81" i="1"/>
  <c r="W81" i="1"/>
  <c r="X81" i="1"/>
  <c r="Y81" i="1"/>
  <c r="Z81" i="1"/>
  <c r="V80" i="1"/>
  <c r="W80" i="1"/>
  <c r="X80" i="1"/>
  <c r="Y80" i="1"/>
  <c r="Z80" i="1"/>
  <c r="V82" i="1"/>
  <c r="W82" i="1"/>
  <c r="X82" i="1"/>
  <c r="Y82" i="1"/>
  <c r="Z82" i="1"/>
  <c r="V83" i="1"/>
  <c r="W83" i="1"/>
  <c r="X83" i="1"/>
  <c r="Y83" i="1"/>
  <c r="Z83" i="1"/>
  <c r="V84" i="1"/>
  <c r="W84" i="1"/>
  <c r="X84" i="1"/>
  <c r="Y84" i="1"/>
  <c r="Z84" i="1"/>
  <c r="V85" i="1"/>
  <c r="W85" i="1"/>
  <c r="X85" i="1"/>
  <c r="Y85" i="1"/>
  <c r="Z85" i="1"/>
  <c r="V86" i="1"/>
  <c r="W86" i="1"/>
  <c r="X86" i="1"/>
  <c r="Y86" i="1"/>
  <c r="Z86" i="1"/>
  <c r="V87" i="1"/>
  <c r="W87" i="1"/>
  <c r="X87" i="1"/>
  <c r="Y87" i="1"/>
  <c r="Z87" i="1"/>
  <c r="V88" i="1"/>
  <c r="W88" i="1"/>
  <c r="X88" i="1"/>
  <c r="Y88" i="1"/>
  <c r="Z88" i="1"/>
  <c r="V89" i="1"/>
  <c r="W89" i="1"/>
  <c r="X89" i="1"/>
  <c r="Y89" i="1"/>
  <c r="Z89" i="1"/>
  <c r="V90" i="1"/>
  <c r="W90" i="1"/>
  <c r="X90" i="1"/>
  <c r="Y90" i="1"/>
  <c r="Z90" i="1"/>
  <c r="V91" i="1"/>
  <c r="W91" i="1"/>
  <c r="X91" i="1"/>
  <c r="Y91" i="1"/>
  <c r="Z91" i="1"/>
  <c r="V92" i="1"/>
  <c r="W92" i="1"/>
  <c r="X92" i="1"/>
  <c r="Y92" i="1"/>
  <c r="Z92" i="1"/>
  <c r="V93" i="1"/>
  <c r="W93" i="1"/>
  <c r="X93" i="1"/>
  <c r="Y93" i="1"/>
  <c r="Z93" i="1"/>
  <c r="V94" i="1"/>
  <c r="W94" i="1"/>
  <c r="X94" i="1"/>
  <c r="Y94" i="1"/>
  <c r="Z94" i="1"/>
  <c r="V95" i="1"/>
  <c r="W95" i="1"/>
  <c r="X95" i="1"/>
  <c r="Y95" i="1"/>
  <c r="Z95" i="1"/>
  <c r="V96" i="1"/>
  <c r="W96" i="1"/>
  <c r="X96" i="1"/>
  <c r="Y96" i="1"/>
  <c r="Z96" i="1"/>
  <c r="V97" i="1"/>
  <c r="W97" i="1"/>
  <c r="X97" i="1"/>
  <c r="Y97" i="1"/>
  <c r="Z97" i="1"/>
  <c r="V98" i="1"/>
  <c r="W98" i="1"/>
  <c r="X98" i="1"/>
  <c r="Y98" i="1"/>
  <c r="Z98" i="1"/>
  <c r="V99" i="1"/>
  <c r="W99" i="1"/>
  <c r="X99" i="1"/>
  <c r="Y99" i="1"/>
  <c r="Z99" i="1"/>
  <c r="V100" i="1"/>
  <c r="W100" i="1"/>
  <c r="X100" i="1"/>
  <c r="Y100" i="1"/>
  <c r="Z100" i="1"/>
  <c r="V101" i="1"/>
  <c r="W101" i="1"/>
  <c r="X101" i="1"/>
  <c r="Y101" i="1"/>
  <c r="Z101" i="1"/>
  <c r="V102" i="1"/>
  <c r="W102" i="1"/>
  <c r="X102" i="1"/>
  <c r="Y102" i="1"/>
  <c r="Z102" i="1"/>
  <c r="V103" i="1"/>
  <c r="W103" i="1"/>
  <c r="X103" i="1"/>
  <c r="Y103" i="1"/>
  <c r="Z103" i="1"/>
  <c r="V104" i="1"/>
  <c r="W104" i="1"/>
  <c r="X104" i="1"/>
  <c r="Y104" i="1"/>
  <c r="Z104" i="1"/>
  <c r="V105" i="1"/>
  <c r="W105" i="1"/>
  <c r="X105" i="1"/>
  <c r="Y105" i="1"/>
  <c r="Z105" i="1"/>
  <c r="V106" i="1"/>
  <c r="W106" i="1"/>
  <c r="X106" i="1"/>
  <c r="Y106" i="1"/>
  <c r="Z106" i="1"/>
  <c r="V107" i="1"/>
  <c r="W107" i="1"/>
  <c r="X107" i="1"/>
  <c r="Y107" i="1"/>
  <c r="Z107" i="1"/>
  <c r="V108" i="1"/>
  <c r="W108" i="1"/>
  <c r="X108" i="1"/>
  <c r="Y108" i="1"/>
  <c r="Z108" i="1"/>
  <c r="V109" i="1"/>
  <c r="W109" i="1"/>
  <c r="X109" i="1"/>
  <c r="Y109" i="1"/>
  <c r="Z109" i="1"/>
  <c r="V110" i="1"/>
  <c r="W110" i="1"/>
  <c r="X110" i="1"/>
  <c r="Y110" i="1"/>
  <c r="Z110" i="1"/>
  <c r="V111" i="1"/>
  <c r="W111" i="1"/>
  <c r="X111" i="1"/>
  <c r="Y111" i="1"/>
  <c r="Z111" i="1"/>
  <c r="V112" i="1"/>
  <c r="W112" i="1"/>
  <c r="X112" i="1"/>
  <c r="Y112" i="1"/>
  <c r="Z112" i="1"/>
  <c r="V113" i="1"/>
  <c r="W113" i="1"/>
  <c r="X113" i="1"/>
  <c r="Y113" i="1"/>
  <c r="Z113" i="1"/>
  <c r="V114" i="1"/>
  <c r="W114" i="1"/>
  <c r="X114" i="1"/>
  <c r="Y114" i="1"/>
  <c r="Z114" i="1"/>
  <c r="V115" i="1"/>
  <c r="W115" i="1"/>
  <c r="X115" i="1"/>
  <c r="Y115" i="1"/>
  <c r="Z115" i="1"/>
  <c r="V116" i="1"/>
  <c r="W116" i="1"/>
  <c r="X116" i="1"/>
  <c r="Y116" i="1"/>
  <c r="Z116" i="1"/>
  <c r="V118" i="1"/>
  <c r="W118" i="1"/>
  <c r="X118" i="1"/>
  <c r="Y118" i="1"/>
  <c r="Z118" i="1"/>
  <c r="V119" i="1"/>
  <c r="W119" i="1"/>
  <c r="X119" i="1"/>
  <c r="Y119" i="1"/>
  <c r="Z119" i="1"/>
  <c r="V120" i="1"/>
  <c r="W120" i="1"/>
  <c r="X120" i="1"/>
  <c r="Y120" i="1"/>
  <c r="Z120" i="1"/>
  <c r="V121" i="1"/>
  <c r="W121" i="1"/>
  <c r="X121" i="1"/>
  <c r="Y121" i="1"/>
  <c r="Z121" i="1"/>
  <c r="V122" i="1"/>
  <c r="W122" i="1"/>
  <c r="X122" i="1"/>
  <c r="Y122" i="1"/>
  <c r="Z122" i="1"/>
  <c r="V123" i="1"/>
  <c r="W123" i="1"/>
  <c r="X123" i="1"/>
  <c r="Y123" i="1"/>
  <c r="Z123" i="1"/>
  <c r="V124" i="1"/>
  <c r="W124" i="1"/>
  <c r="X124" i="1"/>
  <c r="Y124" i="1"/>
  <c r="Z124" i="1"/>
  <c r="V125" i="1"/>
  <c r="W125" i="1"/>
  <c r="X125" i="1"/>
  <c r="Y125" i="1"/>
  <c r="Z125" i="1"/>
  <c r="V126" i="1"/>
  <c r="W126" i="1"/>
  <c r="X126" i="1"/>
  <c r="Y126" i="1"/>
  <c r="Z126" i="1"/>
  <c r="V127" i="1"/>
  <c r="W127" i="1"/>
  <c r="X127" i="1"/>
  <c r="Y127" i="1"/>
  <c r="Z127" i="1"/>
  <c r="V128" i="1"/>
  <c r="W128" i="1"/>
  <c r="X128" i="1"/>
  <c r="Y128" i="1"/>
  <c r="Z128" i="1"/>
  <c r="V129" i="1"/>
  <c r="W129" i="1"/>
  <c r="X129" i="1"/>
  <c r="Y129" i="1"/>
  <c r="Z129" i="1"/>
  <c r="V130" i="1"/>
  <c r="W130" i="1"/>
  <c r="X130" i="1"/>
  <c r="Y130" i="1"/>
  <c r="Z130" i="1"/>
  <c r="V131" i="1"/>
  <c r="W131" i="1"/>
  <c r="X131" i="1"/>
  <c r="Y131" i="1"/>
  <c r="Z131" i="1"/>
  <c r="V132" i="1"/>
  <c r="W132" i="1"/>
  <c r="X132" i="1"/>
  <c r="Y132" i="1"/>
  <c r="Z132" i="1"/>
  <c r="V133" i="1"/>
  <c r="W133" i="1"/>
  <c r="X133" i="1"/>
  <c r="Y133" i="1"/>
  <c r="Z133" i="1"/>
  <c r="V134" i="1"/>
  <c r="W134" i="1"/>
  <c r="X134" i="1"/>
  <c r="Y134" i="1"/>
  <c r="Z134" i="1"/>
  <c r="V117" i="1"/>
  <c r="W117" i="1"/>
  <c r="X117" i="1"/>
  <c r="Y117" i="1"/>
  <c r="Z117" i="1"/>
  <c r="V135" i="1"/>
  <c r="W135" i="1"/>
  <c r="X135" i="1"/>
  <c r="Y135" i="1"/>
  <c r="Z135" i="1"/>
  <c r="V136" i="1"/>
  <c r="W136" i="1"/>
  <c r="X136" i="1"/>
  <c r="Y136" i="1"/>
  <c r="Z136" i="1"/>
  <c r="V137" i="1"/>
  <c r="W137" i="1"/>
  <c r="X137" i="1"/>
  <c r="Y137" i="1"/>
  <c r="Z137" i="1"/>
  <c r="V138" i="1"/>
  <c r="W138" i="1"/>
  <c r="X138" i="1"/>
  <c r="Y138" i="1"/>
  <c r="Z138" i="1"/>
  <c r="V139" i="1"/>
  <c r="W139" i="1"/>
  <c r="X139" i="1"/>
  <c r="Y139" i="1"/>
  <c r="Z139" i="1"/>
  <c r="V140" i="1"/>
  <c r="W140" i="1"/>
  <c r="X140" i="1"/>
  <c r="Y140" i="1"/>
  <c r="Z140" i="1"/>
  <c r="V141" i="1"/>
  <c r="W141" i="1"/>
  <c r="X141" i="1"/>
  <c r="Y141" i="1"/>
  <c r="Z141" i="1"/>
  <c r="V142" i="1"/>
  <c r="W142" i="1"/>
  <c r="X142" i="1"/>
  <c r="Y142" i="1"/>
  <c r="Z142" i="1"/>
  <c r="V143" i="1"/>
  <c r="W143" i="1"/>
  <c r="X143" i="1"/>
  <c r="Y143" i="1"/>
  <c r="Z143" i="1"/>
  <c r="V144" i="1"/>
  <c r="W144" i="1"/>
  <c r="X144" i="1"/>
  <c r="Y144" i="1"/>
  <c r="Z144" i="1"/>
  <c r="V145" i="1"/>
  <c r="W145" i="1"/>
  <c r="X145" i="1"/>
  <c r="Y145" i="1"/>
  <c r="Z145" i="1"/>
  <c r="V147" i="1"/>
  <c r="W147" i="1"/>
  <c r="X147" i="1"/>
  <c r="Y147" i="1"/>
  <c r="Z147" i="1"/>
  <c r="V146" i="1"/>
  <c r="W146" i="1"/>
  <c r="X146" i="1"/>
  <c r="Y146" i="1"/>
  <c r="Z146" i="1"/>
  <c r="V148" i="1"/>
  <c r="W148" i="1"/>
  <c r="X148" i="1"/>
  <c r="Y148" i="1"/>
  <c r="Z148" i="1"/>
  <c r="V149" i="1"/>
  <c r="W149" i="1"/>
  <c r="X149" i="1"/>
  <c r="Y149" i="1"/>
  <c r="Z149" i="1"/>
  <c r="V150" i="1"/>
  <c r="W150" i="1"/>
  <c r="X150" i="1"/>
  <c r="Y150" i="1"/>
  <c r="Z150" i="1"/>
  <c r="V151" i="1"/>
  <c r="W151" i="1"/>
  <c r="X151" i="1"/>
  <c r="Y151" i="1"/>
  <c r="Z151" i="1"/>
  <c r="V152" i="1"/>
  <c r="W152" i="1"/>
  <c r="X152" i="1"/>
  <c r="Y152" i="1"/>
  <c r="Z152" i="1"/>
  <c r="V153" i="1"/>
  <c r="W153" i="1"/>
  <c r="X153" i="1"/>
  <c r="Y153" i="1"/>
  <c r="Z153" i="1"/>
  <c r="V154" i="1"/>
  <c r="W154" i="1"/>
  <c r="X154" i="1"/>
  <c r="Y154" i="1"/>
  <c r="Z154" i="1"/>
  <c r="V155" i="1"/>
  <c r="W155" i="1"/>
  <c r="X155" i="1"/>
  <c r="Y155" i="1"/>
  <c r="Z155" i="1"/>
  <c r="V156" i="1"/>
  <c r="W156" i="1"/>
  <c r="X156" i="1"/>
  <c r="Y156" i="1"/>
  <c r="Z156" i="1"/>
  <c r="V157" i="1"/>
  <c r="W157" i="1"/>
  <c r="X157" i="1"/>
  <c r="Y157" i="1"/>
  <c r="Z157" i="1"/>
  <c r="V158" i="1"/>
  <c r="W158" i="1"/>
  <c r="X158" i="1"/>
  <c r="Y158" i="1"/>
  <c r="Z158" i="1"/>
  <c r="V159" i="1"/>
  <c r="W159" i="1"/>
  <c r="X159" i="1"/>
  <c r="Y159" i="1"/>
  <c r="Z159" i="1"/>
  <c r="V160" i="1"/>
  <c r="W160" i="1"/>
  <c r="X160" i="1"/>
  <c r="Y160" i="1"/>
  <c r="Z160" i="1"/>
  <c r="V161" i="1"/>
  <c r="W161" i="1"/>
  <c r="X161" i="1"/>
  <c r="Y161" i="1"/>
  <c r="Z161" i="1"/>
  <c r="V162" i="1"/>
  <c r="W162" i="1"/>
  <c r="X162" i="1"/>
  <c r="Y162" i="1"/>
  <c r="Z162" i="1"/>
  <c r="V163" i="1"/>
  <c r="W163" i="1"/>
  <c r="X163" i="1"/>
  <c r="Y163" i="1"/>
  <c r="Z163" i="1"/>
  <c r="V164" i="1"/>
  <c r="W164" i="1"/>
  <c r="X164" i="1"/>
  <c r="Y164" i="1"/>
  <c r="Z164" i="1"/>
  <c r="V165" i="1"/>
  <c r="W165" i="1"/>
  <c r="X165" i="1"/>
  <c r="Y165" i="1"/>
  <c r="Z165" i="1"/>
  <c r="V166" i="1"/>
  <c r="W166" i="1"/>
  <c r="X166" i="1"/>
  <c r="Y166" i="1"/>
  <c r="Z166" i="1"/>
  <c r="V167" i="1"/>
  <c r="W167" i="1"/>
  <c r="X167" i="1"/>
  <c r="Y167" i="1"/>
  <c r="Z167" i="1"/>
  <c r="V168" i="1"/>
  <c r="W168" i="1"/>
  <c r="X168" i="1"/>
  <c r="Y168" i="1"/>
  <c r="Z168" i="1"/>
  <c r="V170" i="1"/>
  <c r="W170" i="1"/>
  <c r="X170" i="1"/>
  <c r="Y170" i="1"/>
  <c r="Z170" i="1"/>
  <c r="V171" i="1"/>
  <c r="W171" i="1"/>
  <c r="X171" i="1"/>
  <c r="Y171" i="1"/>
  <c r="Z171" i="1"/>
  <c r="V169" i="1"/>
  <c r="W169" i="1"/>
  <c r="X169" i="1"/>
  <c r="Y169" i="1"/>
  <c r="Z169" i="1"/>
  <c r="V172" i="1"/>
  <c r="W172" i="1"/>
  <c r="X172" i="1"/>
  <c r="Y172" i="1"/>
  <c r="Z172" i="1"/>
  <c r="V173" i="1"/>
  <c r="W173" i="1"/>
  <c r="X173" i="1"/>
  <c r="Y173" i="1"/>
  <c r="Z173" i="1"/>
  <c r="V174" i="1"/>
  <c r="W174" i="1"/>
  <c r="X174" i="1"/>
  <c r="Y174" i="1"/>
  <c r="Z174" i="1"/>
  <c r="V175" i="1"/>
  <c r="W175" i="1"/>
  <c r="X175" i="1"/>
  <c r="Y175" i="1"/>
  <c r="Z175" i="1"/>
  <c r="V176" i="1"/>
  <c r="W176" i="1"/>
  <c r="X176" i="1"/>
  <c r="Y176" i="1"/>
  <c r="Z176" i="1"/>
  <c r="V177" i="1"/>
  <c r="W177" i="1"/>
  <c r="X177" i="1"/>
  <c r="Y177" i="1"/>
  <c r="Z177" i="1"/>
  <c r="V178" i="1"/>
  <c r="W178" i="1"/>
  <c r="X178" i="1"/>
  <c r="Y178" i="1"/>
  <c r="Z178" i="1"/>
  <c r="V179" i="1"/>
  <c r="W179" i="1"/>
  <c r="X179" i="1"/>
  <c r="Y179" i="1"/>
  <c r="Z179" i="1"/>
  <c r="V180" i="1"/>
  <c r="W180" i="1"/>
  <c r="X180" i="1"/>
  <c r="Y180" i="1"/>
  <c r="Z180" i="1"/>
  <c r="V181" i="1"/>
  <c r="W181" i="1"/>
  <c r="X181" i="1"/>
  <c r="Y181" i="1"/>
  <c r="Z181" i="1"/>
  <c r="V182" i="1"/>
  <c r="W182" i="1"/>
  <c r="X182" i="1"/>
  <c r="Y182" i="1"/>
  <c r="Z182" i="1"/>
  <c r="V183" i="1"/>
  <c r="W183" i="1"/>
  <c r="X183" i="1"/>
  <c r="Y183" i="1"/>
  <c r="Z183" i="1"/>
  <c r="V184" i="1"/>
  <c r="W184" i="1"/>
  <c r="X184" i="1"/>
  <c r="Y184" i="1"/>
  <c r="Z184" i="1"/>
  <c r="V185" i="1"/>
  <c r="W185" i="1"/>
  <c r="X185" i="1"/>
  <c r="Y185" i="1"/>
  <c r="Z185" i="1"/>
  <c r="V186" i="1"/>
  <c r="W186" i="1"/>
  <c r="X186" i="1"/>
  <c r="Y186" i="1"/>
  <c r="Z186" i="1"/>
  <c r="V187" i="1"/>
  <c r="W187" i="1"/>
  <c r="X187" i="1"/>
  <c r="Y187" i="1"/>
  <c r="Z187" i="1"/>
  <c r="V188" i="1"/>
  <c r="W188" i="1"/>
  <c r="X188" i="1"/>
  <c r="Y188" i="1"/>
  <c r="Z188" i="1"/>
  <c r="V189" i="1"/>
  <c r="W189" i="1"/>
  <c r="X189" i="1"/>
  <c r="Y189" i="1"/>
  <c r="Z189" i="1"/>
  <c r="V190" i="1"/>
  <c r="W190" i="1"/>
  <c r="X190" i="1"/>
  <c r="Y190" i="1"/>
  <c r="Z190" i="1"/>
  <c r="V191" i="1"/>
  <c r="W191" i="1"/>
  <c r="X191" i="1"/>
  <c r="Y191" i="1"/>
  <c r="Z191" i="1"/>
  <c r="V192" i="1"/>
  <c r="W192" i="1"/>
  <c r="X192" i="1"/>
  <c r="Y192" i="1"/>
  <c r="Z192" i="1"/>
  <c r="V193" i="1"/>
  <c r="W193" i="1"/>
  <c r="X193" i="1"/>
  <c r="Y193" i="1"/>
  <c r="Z193" i="1"/>
  <c r="V194" i="1"/>
  <c r="W194" i="1"/>
  <c r="X194" i="1"/>
  <c r="Y194" i="1"/>
  <c r="Z194" i="1"/>
  <c r="V195" i="1"/>
  <c r="W195" i="1"/>
  <c r="X195" i="1"/>
  <c r="Y195" i="1"/>
  <c r="Z195" i="1"/>
  <c r="V196" i="1"/>
  <c r="W196" i="1"/>
  <c r="X196" i="1"/>
  <c r="Y196" i="1"/>
  <c r="Z196" i="1"/>
  <c r="V197" i="1"/>
  <c r="W197" i="1"/>
  <c r="X197" i="1"/>
  <c r="Y197" i="1"/>
  <c r="Z197" i="1"/>
  <c r="V198" i="1"/>
  <c r="W198" i="1"/>
  <c r="X198" i="1"/>
  <c r="Y198" i="1"/>
  <c r="Z198" i="1"/>
  <c r="V199" i="1"/>
  <c r="W199" i="1"/>
  <c r="X199" i="1"/>
  <c r="Y199" i="1"/>
  <c r="Z199" i="1"/>
  <c r="V200" i="1"/>
  <c r="W200" i="1"/>
  <c r="X200" i="1"/>
  <c r="Y200" i="1"/>
  <c r="Z200" i="1"/>
  <c r="V201" i="1"/>
  <c r="W201" i="1"/>
  <c r="X201" i="1"/>
  <c r="Y201" i="1"/>
  <c r="Z201" i="1"/>
  <c r="V202" i="1"/>
  <c r="W202" i="1"/>
  <c r="X202" i="1"/>
  <c r="Y202" i="1"/>
  <c r="Z202" i="1"/>
  <c r="V203" i="1"/>
  <c r="W203" i="1"/>
  <c r="X203" i="1"/>
  <c r="Y203" i="1"/>
  <c r="Z203" i="1"/>
  <c r="V205" i="1"/>
  <c r="W205" i="1"/>
  <c r="X205" i="1"/>
  <c r="Y205" i="1"/>
  <c r="Z205" i="1"/>
  <c r="V204" i="1"/>
  <c r="W204" i="1"/>
  <c r="X204" i="1"/>
  <c r="Y204" i="1"/>
  <c r="Z204" i="1"/>
  <c r="V206" i="1"/>
  <c r="W206" i="1"/>
  <c r="X206" i="1"/>
  <c r="Y206" i="1"/>
  <c r="Z206" i="1"/>
  <c r="V207" i="1"/>
  <c r="W207" i="1"/>
  <c r="X207" i="1"/>
  <c r="Y207" i="1"/>
  <c r="Z207" i="1"/>
  <c r="V208" i="1"/>
  <c r="W208" i="1"/>
  <c r="X208" i="1"/>
  <c r="Y208" i="1"/>
  <c r="Z208" i="1"/>
  <c r="V209" i="1"/>
  <c r="W209" i="1"/>
  <c r="X209" i="1"/>
  <c r="Y209" i="1"/>
  <c r="Z209" i="1"/>
  <c r="V210" i="1"/>
  <c r="W210" i="1"/>
  <c r="X210" i="1"/>
  <c r="Y210" i="1"/>
  <c r="Z210" i="1"/>
  <c r="V211" i="1"/>
  <c r="W211" i="1"/>
  <c r="X211" i="1"/>
  <c r="Y211" i="1"/>
  <c r="Z211" i="1"/>
  <c r="V212" i="1"/>
  <c r="W212" i="1"/>
  <c r="X212" i="1"/>
  <c r="Y212" i="1"/>
  <c r="Z212" i="1"/>
  <c r="V213" i="1"/>
  <c r="W213" i="1"/>
  <c r="X213" i="1"/>
  <c r="Y213" i="1"/>
  <c r="Z213" i="1"/>
  <c r="V214" i="1"/>
  <c r="W214" i="1"/>
  <c r="X214" i="1"/>
  <c r="Y214" i="1"/>
  <c r="Z214" i="1"/>
  <c r="V215" i="1"/>
  <c r="W215" i="1"/>
  <c r="X215" i="1"/>
  <c r="Y215" i="1"/>
  <c r="Z215" i="1"/>
  <c r="V216" i="1"/>
  <c r="W216" i="1"/>
  <c r="X216" i="1"/>
  <c r="Y216" i="1"/>
  <c r="Z216" i="1"/>
  <c r="V217" i="1"/>
  <c r="W217" i="1"/>
  <c r="X217" i="1"/>
  <c r="Y217" i="1"/>
  <c r="Z217" i="1"/>
  <c r="V218" i="1"/>
  <c r="W218" i="1"/>
  <c r="X218" i="1"/>
  <c r="Y218" i="1"/>
  <c r="Z218" i="1"/>
  <c r="V219" i="1"/>
  <c r="W219" i="1"/>
  <c r="X219" i="1"/>
  <c r="Y219" i="1"/>
  <c r="Z219" i="1"/>
  <c r="V220" i="1"/>
  <c r="W220" i="1"/>
  <c r="X220" i="1"/>
  <c r="Y220" i="1"/>
  <c r="Z220" i="1"/>
  <c r="V221" i="1"/>
  <c r="W221" i="1"/>
  <c r="X221" i="1"/>
  <c r="Y221" i="1"/>
  <c r="Z221" i="1"/>
  <c r="V222" i="1"/>
  <c r="W222" i="1"/>
  <c r="X222" i="1"/>
  <c r="Y222" i="1"/>
  <c r="Z222" i="1"/>
  <c r="V223" i="1"/>
  <c r="W223" i="1"/>
  <c r="X223" i="1"/>
  <c r="Y223" i="1"/>
  <c r="Z223" i="1"/>
  <c r="V224" i="1"/>
  <c r="W224" i="1"/>
  <c r="X224" i="1"/>
  <c r="Y224" i="1"/>
  <c r="Z224" i="1"/>
  <c r="V225" i="1"/>
  <c r="W225" i="1"/>
  <c r="X225" i="1"/>
  <c r="Y225" i="1"/>
  <c r="Z225" i="1"/>
  <c r="V226" i="1"/>
  <c r="W226" i="1"/>
  <c r="X226" i="1"/>
  <c r="Y226" i="1"/>
  <c r="Z226" i="1"/>
  <c r="V227" i="1"/>
  <c r="W227" i="1"/>
  <c r="X227" i="1"/>
  <c r="Y227" i="1"/>
  <c r="Z227" i="1"/>
  <c r="V228" i="1"/>
  <c r="W228" i="1"/>
  <c r="X228" i="1"/>
  <c r="Y228" i="1"/>
  <c r="Z228" i="1"/>
  <c r="V229" i="1"/>
  <c r="W229" i="1"/>
  <c r="X229" i="1"/>
  <c r="Y229" i="1"/>
  <c r="Z229" i="1"/>
  <c r="V230" i="1"/>
  <c r="W230" i="1"/>
  <c r="X230" i="1"/>
  <c r="Y230" i="1"/>
  <c r="Z230" i="1"/>
  <c r="V231" i="1"/>
  <c r="W231" i="1"/>
  <c r="X231" i="1"/>
  <c r="Y231" i="1"/>
  <c r="Z231" i="1"/>
  <c r="V232" i="1"/>
  <c r="W232" i="1"/>
  <c r="X232" i="1"/>
  <c r="Y232" i="1"/>
  <c r="Z232" i="1"/>
  <c r="V233" i="1"/>
  <c r="W233" i="1"/>
  <c r="X233" i="1"/>
  <c r="Y233" i="1"/>
  <c r="Z233" i="1"/>
  <c r="V234" i="1"/>
  <c r="W234" i="1"/>
  <c r="X234" i="1"/>
  <c r="Y234" i="1"/>
  <c r="Z234" i="1"/>
  <c r="V235" i="1"/>
  <c r="W235" i="1"/>
  <c r="X235" i="1"/>
  <c r="Y235" i="1"/>
  <c r="Z235" i="1"/>
  <c r="V236" i="1"/>
  <c r="W236" i="1"/>
  <c r="X236" i="1"/>
  <c r="Y236" i="1"/>
  <c r="Z236" i="1"/>
  <c r="V237" i="1"/>
  <c r="W237" i="1"/>
  <c r="X237" i="1"/>
  <c r="Y237" i="1"/>
  <c r="Z237" i="1"/>
  <c r="V238" i="1"/>
  <c r="W238" i="1"/>
  <c r="X238" i="1"/>
  <c r="Y238" i="1"/>
  <c r="Z238" i="1"/>
  <c r="V239" i="1"/>
  <c r="W239" i="1"/>
  <c r="X239" i="1"/>
  <c r="Y239" i="1"/>
  <c r="Z239" i="1"/>
  <c r="V240" i="1"/>
  <c r="W240" i="1"/>
  <c r="X240" i="1"/>
  <c r="Y240" i="1"/>
  <c r="Z240" i="1"/>
  <c r="V241" i="1"/>
  <c r="W241" i="1"/>
  <c r="X241" i="1"/>
  <c r="Y241" i="1"/>
  <c r="Z241" i="1"/>
  <c r="V242" i="1"/>
  <c r="W242" i="1"/>
  <c r="X242" i="1"/>
  <c r="Y242" i="1"/>
  <c r="Z242" i="1"/>
  <c r="V243" i="1"/>
  <c r="W243" i="1"/>
  <c r="X243" i="1"/>
  <c r="Y243" i="1"/>
  <c r="Z243" i="1"/>
  <c r="V244" i="1"/>
  <c r="W244" i="1"/>
  <c r="X244" i="1"/>
  <c r="Y244" i="1"/>
  <c r="Z244" i="1"/>
  <c r="V245" i="1"/>
  <c r="W245" i="1"/>
  <c r="X245" i="1"/>
  <c r="Y245" i="1"/>
  <c r="Z245" i="1"/>
  <c r="V246" i="1"/>
  <c r="W246" i="1"/>
  <c r="X246" i="1"/>
  <c r="Y246" i="1"/>
  <c r="Z246" i="1"/>
  <c r="V247" i="1"/>
  <c r="W247" i="1"/>
  <c r="X247" i="1"/>
  <c r="Y247" i="1"/>
  <c r="Z247" i="1"/>
  <c r="V248" i="1"/>
  <c r="W248" i="1"/>
  <c r="X248" i="1"/>
  <c r="Y248" i="1"/>
  <c r="Z248" i="1"/>
  <c r="V249" i="1"/>
  <c r="W249" i="1"/>
  <c r="X249" i="1"/>
  <c r="Y249" i="1"/>
  <c r="Z249" i="1"/>
  <c r="V251" i="1"/>
  <c r="W251" i="1"/>
  <c r="X251" i="1"/>
  <c r="Y251" i="1"/>
  <c r="Z251" i="1"/>
  <c r="V250" i="1"/>
  <c r="W250" i="1"/>
  <c r="X250" i="1"/>
  <c r="Y250" i="1"/>
  <c r="Z250" i="1"/>
  <c r="V252" i="1"/>
  <c r="W252" i="1"/>
  <c r="X252" i="1"/>
  <c r="Y252" i="1"/>
  <c r="Z252" i="1"/>
  <c r="V253" i="1"/>
  <c r="W253" i="1"/>
  <c r="X253" i="1"/>
  <c r="Y253" i="1"/>
  <c r="Z253" i="1"/>
  <c r="V255" i="1"/>
  <c r="W255" i="1"/>
  <c r="X255" i="1"/>
  <c r="Y255" i="1"/>
  <c r="Z255" i="1"/>
  <c r="V254" i="1"/>
  <c r="W254" i="1"/>
  <c r="X254" i="1"/>
  <c r="Y254" i="1"/>
  <c r="Z254" i="1"/>
  <c r="V256" i="1"/>
  <c r="W256" i="1"/>
  <c r="X256" i="1"/>
  <c r="Y256" i="1"/>
  <c r="Z256" i="1"/>
  <c r="V257" i="1"/>
  <c r="W257" i="1"/>
  <c r="X257" i="1"/>
  <c r="Y257" i="1"/>
  <c r="Z257" i="1"/>
  <c r="V258" i="1"/>
  <c r="W258" i="1"/>
  <c r="X258" i="1"/>
  <c r="Y258" i="1"/>
  <c r="Z258" i="1"/>
  <c r="V259" i="1"/>
  <c r="W259" i="1"/>
  <c r="X259" i="1"/>
  <c r="Y259" i="1"/>
  <c r="Z259" i="1"/>
  <c r="V260" i="1"/>
  <c r="W260" i="1"/>
  <c r="X260" i="1"/>
  <c r="Y260" i="1"/>
  <c r="Z260" i="1"/>
  <c r="V261" i="1"/>
  <c r="W261" i="1"/>
  <c r="X261" i="1"/>
  <c r="Y261" i="1"/>
  <c r="Z261" i="1"/>
  <c r="V262" i="1"/>
  <c r="W262" i="1"/>
  <c r="X262" i="1"/>
  <c r="Y262" i="1"/>
  <c r="Z262" i="1"/>
  <c r="V263" i="1"/>
  <c r="W263" i="1"/>
  <c r="X263" i="1"/>
  <c r="Y263" i="1"/>
  <c r="Z263" i="1"/>
  <c r="V264" i="1"/>
  <c r="W264" i="1"/>
  <c r="X264" i="1"/>
  <c r="Y264" i="1"/>
  <c r="Z264" i="1"/>
  <c r="V265" i="1"/>
  <c r="W265" i="1"/>
  <c r="X265" i="1"/>
  <c r="Y265" i="1"/>
  <c r="Z265" i="1"/>
  <c r="V266" i="1"/>
  <c r="W266" i="1"/>
  <c r="X266" i="1"/>
  <c r="Y266" i="1"/>
  <c r="Z266" i="1"/>
  <c r="V267" i="1"/>
  <c r="W267" i="1"/>
  <c r="X267" i="1"/>
  <c r="Y267" i="1"/>
  <c r="Z267" i="1"/>
  <c r="V268" i="1"/>
  <c r="W268" i="1"/>
  <c r="X268" i="1"/>
  <c r="Y268" i="1"/>
  <c r="Z268" i="1"/>
  <c r="V269" i="1"/>
  <c r="W269" i="1"/>
  <c r="X269" i="1"/>
  <c r="Y269" i="1"/>
  <c r="Z269" i="1"/>
  <c r="V270" i="1"/>
  <c r="W270" i="1"/>
  <c r="X270" i="1"/>
  <c r="Y270" i="1"/>
  <c r="Z270" i="1"/>
  <c r="V271" i="1"/>
  <c r="W271" i="1"/>
  <c r="X271" i="1"/>
  <c r="Y271" i="1"/>
  <c r="Z271" i="1"/>
  <c r="V272" i="1"/>
  <c r="W272" i="1"/>
  <c r="X272" i="1"/>
  <c r="Y272" i="1"/>
  <c r="Z272" i="1"/>
  <c r="V273" i="1"/>
  <c r="W273" i="1"/>
  <c r="X273" i="1"/>
  <c r="Y273" i="1"/>
  <c r="Z273" i="1"/>
  <c r="V274" i="1"/>
  <c r="W274" i="1"/>
  <c r="X274" i="1"/>
  <c r="Y274" i="1"/>
  <c r="Z274" i="1"/>
  <c r="V275" i="1"/>
  <c r="W275" i="1"/>
  <c r="X275" i="1"/>
  <c r="Y275" i="1"/>
  <c r="Z275" i="1"/>
  <c r="V276" i="1"/>
  <c r="W276" i="1"/>
  <c r="X276" i="1"/>
  <c r="Y276" i="1"/>
  <c r="Z276" i="1"/>
  <c r="V277" i="1"/>
  <c r="W277" i="1"/>
  <c r="X277" i="1"/>
  <c r="Y277" i="1"/>
  <c r="Z277" i="1"/>
  <c r="V278" i="1"/>
  <c r="W278" i="1"/>
  <c r="X278" i="1"/>
  <c r="Y278" i="1"/>
  <c r="Z278" i="1"/>
  <c r="V279" i="1"/>
  <c r="W279" i="1"/>
  <c r="X279" i="1"/>
  <c r="Y279" i="1"/>
  <c r="Z279" i="1"/>
  <c r="V280" i="1"/>
  <c r="W280" i="1"/>
  <c r="X280" i="1"/>
  <c r="Y280" i="1"/>
  <c r="Z280" i="1"/>
  <c r="V281" i="1"/>
  <c r="W281" i="1"/>
  <c r="X281" i="1"/>
  <c r="Y281" i="1"/>
  <c r="Z281" i="1"/>
  <c r="V282" i="1"/>
  <c r="W282" i="1"/>
  <c r="X282" i="1"/>
  <c r="Y282" i="1"/>
  <c r="Z282" i="1"/>
  <c r="V283" i="1"/>
  <c r="W283" i="1"/>
  <c r="X283" i="1"/>
  <c r="Y283" i="1"/>
  <c r="Z283" i="1"/>
  <c r="V284" i="1"/>
  <c r="W284" i="1"/>
  <c r="X284" i="1"/>
  <c r="Y284" i="1"/>
  <c r="Z284" i="1"/>
  <c r="V285" i="1"/>
  <c r="W285" i="1"/>
  <c r="X285" i="1"/>
  <c r="Y285" i="1"/>
  <c r="Z285" i="1"/>
  <c r="V286" i="1"/>
  <c r="W286" i="1"/>
  <c r="X286" i="1"/>
  <c r="Y286" i="1"/>
  <c r="Z286" i="1"/>
  <c r="V287" i="1"/>
  <c r="W287" i="1"/>
  <c r="X287" i="1"/>
  <c r="Y287" i="1"/>
  <c r="Z287" i="1"/>
  <c r="V288" i="1"/>
  <c r="W288" i="1"/>
  <c r="X288" i="1"/>
  <c r="Y288" i="1"/>
  <c r="Z288" i="1"/>
  <c r="V289" i="1"/>
  <c r="W289" i="1"/>
  <c r="X289" i="1"/>
  <c r="Y289" i="1"/>
  <c r="Z289" i="1"/>
  <c r="V290" i="1"/>
  <c r="W290" i="1"/>
  <c r="X290" i="1"/>
  <c r="Y290" i="1"/>
  <c r="Z290" i="1"/>
  <c r="V291" i="1"/>
  <c r="W291" i="1"/>
  <c r="X291" i="1"/>
  <c r="Y291" i="1"/>
  <c r="Z291" i="1"/>
  <c r="V292" i="1"/>
  <c r="W292" i="1"/>
  <c r="X292" i="1"/>
  <c r="Y292" i="1"/>
  <c r="Z292" i="1"/>
  <c r="V293" i="1"/>
  <c r="W293" i="1"/>
  <c r="X293" i="1"/>
  <c r="Y293" i="1"/>
  <c r="Z293" i="1"/>
  <c r="V294" i="1"/>
  <c r="W294" i="1"/>
  <c r="X294" i="1"/>
  <c r="Y294" i="1"/>
  <c r="Z294" i="1"/>
  <c r="V295" i="1"/>
  <c r="W295" i="1"/>
  <c r="X295" i="1"/>
  <c r="Y295" i="1"/>
  <c r="Z295" i="1"/>
  <c r="V296" i="1"/>
  <c r="W296" i="1"/>
  <c r="X296" i="1"/>
  <c r="Y296" i="1"/>
  <c r="Z296" i="1"/>
  <c r="V297" i="1"/>
  <c r="W297" i="1"/>
  <c r="X297" i="1"/>
  <c r="Y297" i="1"/>
  <c r="Z297" i="1"/>
  <c r="V298" i="1"/>
  <c r="W298" i="1"/>
  <c r="X298" i="1"/>
  <c r="Y298" i="1"/>
  <c r="Z298" i="1"/>
  <c r="V301" i="1"/>
  <c r="W301" i="1"/>
  <c r="X301" i="1"/>
  <c r="Y301" i="1"/>
  <c r="Z301" i="1"/>
  <c r="V302" i="1"/>
  <c r="W302" i="1"/>
  <c r="X302" i="1"/>
  <c r="Y302" i="1"/>
  <c r="Z302" i="1"/>
  <c r="V299" i="1"/>
  <c r="W299" i="1"/>
  <c r="X299" i="1"/>
  <c r="Y299" i="1"/>
  <c r="Z299" i="1"/>
  <c r="V300" i="1"/>
  <c r="W300" i="1"/>
  <c r="X300" i="1"/>
  <c r="Y300" i="1"/>
  <c r="Z300" i="1"/>
  <c r="V303" i="1"/>
  <c r="W303" i="1"/>
  <c r="X303" i="1"/>
  <c r="Y303" i="1"/>
  <c r="Z303" i="1"/>
  <c r="V304" i="1"/>
  <c r="W304" i="1"/>
  <c r="X304" i="1"/>
  <c r="Y304" i="1"/>
  <c r="Z304" i="1"/>
  <c r="V305" i="1"/>
  <c r="W305" i="1"/>
  <c r="X305" i="1"/>
  <c r="Y305" i="1"/>
  <c r="Z305" i="1"/>
  <c r="V306" i="1"/>
  <c r="W306" i="1"/>
  <c r="X306" i="1"/>
  <c r="Y306" i="1"/>
  <c r="Z306" i="1"/>
  <c r="V307" i="1"/>
  <c r="W307" i="1"/>
  <c r="X307" i="1"/>
  <c r="Y307" i="1"/>
  <c r="Z307" i="1"/>
  <c r="V308" i="1"/>
  <c r="W308" i="1"/>
  <c r="X308" i="1"/>
  <c r="Y308" i="1"/>
  <c r="Z308" i="1"/>
  <c r="V309" i="1"/>
  <c r="W309" i="1"/>
  <c r="X309" i="1"/>
  <c r="Y309" i="1"/>
  <c r="Z309" i="1"/>
  <c r="V310" i="1"/>
  <c r="W310" i="1"/>
  <c r="X310" i="1"/>
  <c r="Y310" i="1"/>
  <c r="Z310" i="1"/>
  <c r="V311" i="1"/>
  <c r="W311" i="1"/>
  <c r="X311" i="1"/>
  <c r="Y311" i="1"/>
  <c r="Z311" i="1"/>
  <c r="V312" i="1"/>
  <c r="W312" i="1"/>
  <c r="X312" i="1"/>
  <c r="Y312" i="1"/>
  <c r="Z312" i="1"/>
  <c r="V313" i="1"/>
  <c r="W313" i="1"/>
  <c r="X313" i="1"/>
  <c r="Y313" i="1"/>
  <c r="Z313" i="1"/>
  <c r="V314" i="1"/>
  <c r="W314" i="1"/>
  <c r="X314" i="1"/>
  <c r="Y314" i="1"/>
  <c r="Z314" i="1"/>
  <c r="V315" i="1"/>
  <c r="W315" i="1"/>
  <c r="X315" i="1"/>
  <c r="Y315" i="1"/>
  <c r="Z315" i="1"/>
  <c r="V316" i="1"/>
  <c r="W316" i="1"/>
  <c r="X316" i="1"/>
  <c r="Y316" i="1"/>
  <c r="Z316" i="1"/>
  <c r="V317" i="1"/>
  <c r="W317" i="1"/>
  <c r="X317" i="1"/>
  <c r="Y317" i="1"/>
  <c r="Z317" i="1"/>
  <c r="V318" i="1"/>
  <c r="W318" i="1"/>
  <c r="X318" i="1"/>
  <c r="Y318" i="1"/>
  <c r="Z318" i="1"/>
  <c r="V319" i="1"/>
  <c r="W319" i="1"/>
  <c r="X319" i="1"/>
  <c r="Y319" i="1"/>
  <c r="Z319" i="1"/>
  <c r="V320" i="1"/>
  <c r="W320" i="1"/>
  <c r="X320" i="1"/>
  <c r="Y320" i="1"/>
  <c r="Z320" i="1"/>
  <c r="V321" i="1"/>
  <c r="W321" i="1"/>
  <c r="X321" i="1"/>
  <c r="Y321" i="1"/>
  <c r="Z321" i="1"/>
  <c r="V322" i="1"/>
  <c r="W322" i="1"/>
  <c r="X322" i="1"/>
  <c r="Y322" i="1"/>
  <c r="Z322" i="1"/>
  <c r="V323" i="1"/>
  <c r="W323" i="1"/>
  <c r="X323" i="1"/>
  <c r="Y323" i="1"/>
  <c r="Z323" i="1"/>
  <c r="V324" i="1"/>
  <c r="W324" i="1"/>
  <c r="X324" i="1"/>
  <c r="Y324" i="1"/>
  <c r="Z324" i="1"/>
  <c r="V325" i="1"/>
  <c r="W325" i="1"/>
  <c r="X325" i="1"/>
  <c r="Y325" i="1"/>
  <c r="Z325" i="1"/>
  <c r="V326" i="1"/>
  <c r="W326" i="1"/>
  <c r="X326" i="1"/>
  <c r="Y326" i="1"/>
  <c r="Z326" i="1"/>
  <c r="V327" i="1"/>
  <c r="W327" i="1"/>
  <c r="X327" i="1"/>
  <c r="Y327" i="1"/>
  <c r="Z327" i="1"/>
  <c r="V328" i="1"/>
  <c r="W328" i="1"/>
  <c r="X328" i="1"/>
  <c r="Y328" i="1"/>
  <c r="Z328" i="1"/>
  <c r="V329" i="1"/>
  <c r="W329" i="1"/>
  <c r="X329" i="1"/>
  <c r="Y329" i="1"/>
  <c r="Z329" i="1"/>
  <c r="V330" i="1"/>
  <c r="W330" i="1"/>
  <c r="X330" i="1"/>
  <c r="Y330" i="1"/>
  <c r="Z330" i="1"/>
  <c r="V331" i="1"/>
  <c r="W331" i="1"/>
  <c r="X331" i="1"/>
  <c r="Y331" i="1"/>
  <c r="Z331" i="1"/>
  <c r="V332" i="1"/>
  <c r="W332" i="1"/>
  <c r="X332" i="1"/>
  <c r="Y332" i="1"/>
  <c r="Z332" i="1"/>
  <c r="V333" i="1"/>
  <c r="W333" i="1"/>
  <c r="X333" i="1"/>
  <c r="Y333" i="1"/>
  <c r="Z333" i="1"/>
  <c r="V334" i="1"/>
  <c r="W334" i="1"/>
  <c r="X334" i="1"/>
  <c r="Y334" i="1"/>
  <c r="Z334" i="1"/>
  <c r="V335" i="1"/>
  <c r="W335" i="1"/>
  <c r="X335" i="1"/>
  <c r="Y335" i="1"/>
  <c r="Z335" i="1"/>
  <c r="V336" i="1"/>
  <c r="W336" i="1"/>
  <c r="X336" i="1"/>
  <c r="Y336" i="1"/>
  <c r="Z336" i="1"/>
  <c r="V337" i="1"/>
  <c r="W337" i="1"/>
  <c r="X337" i="1"/>
  <c r="Y337" i="1"/>
  <c r="Z337" i="1"/>
  <c r="V338" i="1"/>
  <c r="W338" i="1"/>
  <c r="X338" i="1"/>
  <c r="Y338" i="1"/>
  <c r="Z338" i="1"/>
  <c r="V339" i="1"/>
  <c r="W339" i="1"/>
  <c r="X339" i="1"/>
  <c r="Y339" i="1"/>
  <c r="Z339" i="1"/>
  <c r="V340" i="1"/>
  <c r="W340" i="1"/>
  <c r="X340" i="1"/>
  <c r="Y340" i="1"/>
  <c r="Z340" i="1"/>
  <c r="V341" i="1"/>
  <c r="W341" i="1"/>
  <c r="X341" i="1"/>
  <c r="Y341" i="1"/>
  <c r="Z341" i="1"/>
  <c r="V342" i="1"/>
  <c r="W342" i="1"/>
  <c r="X342" i="1"/>
  <c r="Y342" i="1"/>
  <c r="Z342" i="1"/>
  <c r="V343" i="1"/>
  <c r="W343" i="1"/>
  <c r="X343" i="1"/>
  <c r="Y343" i="1"/>
  <c r="Z343" i="1"/>
  <c r="V344" i="1"/>
  <c r="W344" i="1"/>
  <c r="X344" i="1"/>
  <c r="Y344" i="1"/>
  <c r="Z344" i="1"/>
  <c r="V345" i="1"/>
  <c r="W345" i="1"/>
  <c r="X345" i="1"/>
  <c r="Y345" i="1"/>
  <c r="Z345" i="1"/>
  <c r="V346" i="1"/>
  <c r="W346" i="1"/>
  <c r="X346" i="1"/>
  <c r="Y346" i="1"/>
  <c r="Z346" i="1"/>
  <c r="V347" i="1"/>
  <c r="W347" i="1"/>
  <c r="X347" i="1"/>
  <c r="Y347" i="1"/>
  <c r="Z347" i="1"/>
  <c r="V348" i="1"/>
  <c r="W348" i="1"/>
  <c r="X348" i="1"/>
  <c r="Y348" i="1"/>
  <c r="Z348" i="1"/>
  <c r="V349" i="1"/>
  <c r="W349" i="1"/>
  <c r="X349" i="1"/>
  <c r="Y349" i="1"/>
  <c r="Z349" i="1"/>
  <c r="V350" i="1"/>
  <c r="W350" i="1"/>
  <c r="X350" i="1"/>
  <c r="Y350" i="1"/>
  <c r="Z350" i="1"/>
  <c r="V351" i="1"/>
  <c r="W351" i="1"/>
  <c r="X351" i="1"/>
  <c r="Y351" i="1"/>
  <c r="Z351" i="1"/>
  <c r="V352" i="1"/>
  <c r="W352" i="1"/>
  <c r="X352" i="1"/>
  <c r="Y352" i="1"/>
  <c r="Z352" i="1"/>
  <c r="V353" i="1"/>
  <c r="W353" i="1"/>
  <c r="X353" i="1"/>
  <c r="Y353" i="1"/>
  <c r="Z353" i="1"/>
  <c r="V354" i="1"/>
  <c r="W354" i="1"/>
  <c r="X354" i="1"/>
  <c r="Y354" i="1"/>
  <c r="Z354" i="1"/>
  <c r="V355" i="1"/>
  <c r="W355" i="1"/>
  <c r="X355" i="1"/>
  <c r="Y355" i="1"/>
  <c r="Z355" i="1"/>
  <c r="V356" i="1"/>
  <c r="W356" i="1"/>
  <c r="X356" i="1"/>
  <c r="Y356" i="1"/>
  <c r="Z356" i="1"/>
  <c r="V357" i="1"/>
  <c r="W357" i="1"/>
  <c r="X357" i="1"/>
  <c r="Y357" i="1"/>
  <c r="Z357" i="1"/>
  <c r="V358" i="1"/>
  <c r="W358" i="1"/>
  <c r="X358" i="1"/>
  <c r="Y358" i="1"/>
  <c r="Z358" i="1"/>
  <c r="V359" i="1"/>
  <c r="W359" i="1"/>
  <c r="X359" i="1"/>
  <c r="Y359" i="1"/>
  <c r="Z359" i="1"/>
  <c r="V360" i="1"/>
  <c r="W360" i="1"/>
  <c r="X360" i="1"/>
  <c r="Y360" i="1"/>
  <c r="Z360" i="1"/>
  <c r="V361" i="1"/>
  <c r="W361" i="1"/>
  <c r="X361" i="1"/>
  <c r="Y361" i="1"/>
  <c r="Z361" i="1"/>
  <c r="V362" i="1"/>
  <c r="W362" i="1"/>
  <c r="X362" i="1"/>
  <c r="Y362" i="1"/>
  <c r="Z362" i="1"/>
  <c r="V363" i="1"/>
  <c r="W363" i="1"/>
  <c r="X363" i="1"/>
  <c r="Y363" i="1"/>
  <c r="Z363" i="1"/>
  <c r="V364" i="1"/>
  <c r="W364" i="1"/>
  <c r="X364" i="1"/>
  <c r="Y364" i="1"/>
  <c r="Z364" i="1"/>
  <c r="V365" i="1"/>
  <c r="W365" i="1"/>
  <c r="X365" i="1"/>
  <c r="Y365" i="1"/>
  <c r="Z365" i="1"/>
  <c r="V366" i="1"/>
  <c r="W366" i="1"/>
  <c r="X366" i="1"/>
  <c r="Y366" i="1"/>
  <c r="Z366" i="1"/>
  <c r="V367" i="1"/>
  <c r="W367" i="1"/>
  <c r="X367" i="1"/>
  <c r="Y367" i="1"/>
  <c r="Z367" i="1"/>
  <c r="V368" i="1"/>
  <c r="W368" i="1"/>
  <c r="X368" i="1"/>
  <c r="Y368" i="1"/>
  <c r="Z368" i="1"/>
  <c r="V369" i="1"/>
  <c r="W369" i="1"/>
  <c r="X369" i="1"/>
  <c r="Y369" i="1"/>
  <c r="Z369" i="1"/>
  <c r="V370" i="1"/>
  <c r="W370" i="1"/>
  <c r="X370" i="1"/>
  <c r="Y370" i="1"/>
  <c r="Z370" i="1"/>
  <c r="V372" i="1"/>
  <c r="W372" i="1"/>
  <c r="X372" i="1"/>
  <c r="Y372" i="1"/>
  <c r="Z372" i="1"/>
  <c r="V371" i="1"/>
  <c r="W371" i="1"/>
  <c r="X371" i="1"/>
  <c r="Y371" i="1"/>
  <c r="Z371" i="1"/>
  <c r="V373" i="1"/>
  <c r="W373" i="1"/>
  <c r="X373" i="1"/>
  <c r="Y373" i="1"/>
  <c r="Z373" i="1"/>
  <c r="V374" i="1"/>
  <c r="W374" i="1"/>
  <c r="X374" i="1"/>
  <c r="Y374" i="1"/>
  <c r="Z374" i="1"/>
  <c r="V375" i="1"/>
  <c r="W375" i="1"/>
  <c r="X375" i="1"/>
  <c r="Y375" i="1"/>
  <c r="Z375" i="1"/>
  <c r="V376" i="1"/>
  <c r="W376" i="1"/>
  <c r="X376" i="1"/>
  <c r="Y376" i="1"/>
  <c r="Z376" i="1"/>
  <c r="V377" i="1"/>
  <c r="W377" i="1"/>
  <c r="X377" i="1"/>
  <c r="Y377" i="1"/>
  <c r="Z377" i="1"/>
  <c r="V378" i="1"/>
  <c r="W378" i="1"/>
  <c r="X378" i="1"/>
  <c r="Y378" i="1"/>
  <c r="Z378" i="1"/>
  <c r="V379" i="1"/>
  <c r="W379" i="1"/>
  <c r="X379" i="1"/>
  <c r="Y379" i="1"/>
  <c r="Z379" i="1"/>
  <c r="V380" i="1"/>
  <c r="W380" i="1"/>
  <c r="X380" i="1"/>
  <c r="Y380" i="1"/>
  <c r="Z380" i="1"/>
  <c r="V381" i="1"/>
  <c r="W381" i="1"/>
  <c r="X381" i="1"/>
  <c r="Y381" i="1"/>
  <c r="Z381" i="1"/>
  <c r="V382" i="1"/>
  <c r="W382" i="1"/>
  <c r="X382" i="1"/>
  <c r="Y382" i="1"/>
  <c r="Z382" i="1"/>
  <c r="V383" i="1"/>
  <c r="W383" i="1"/>
  <c r="X383" i="1"/>
  <c r="Y383" i="1"/>
  <c r="Z383" i="1"/>
  <c r="V384" i="1"/>
  <c r="W384" i="1"/>
  <c r="X384" i="1"/>
  <c r="Y384" i="1"/>
  <c r="Z384" i="1"/>
  <c r="V385" i="1"/>
  <c r="W385" i="1"/>
  <c r="X385" i="1"/>
  <c r="Y385" i="1"/>
  <c r="Z385" i="1"/>
  <c r="V386" i="1"/>
  <c r="W386" i="1"/>
  <c r="X386" i="1"/>
  <c r="Y386" i="1"/>
  <c r="Z386" i="1"/>
  <c r="V387" i="1"/>
  <c r="W387" i="1"/>
  <c r="X387" i="1"/>
  <c r="Y387" i="1"/>
  <c r="Z387" i="1"/>
  <c r="V388" i="1"/>
  <c r="W388" i="1"/>
  <c r="X388" i="1"/>
  <c r="Y388" i="1"/>
  <c r="Z388" i="1"/>
  <c r="V389" i="1"/>
  <c r="W389" i="1"/>
  <c r="X389" i="1"/>
  <c r="Y389" i="1"/>
  <c r="Z389" i="1"/>
  <c r="V390" i="1"/>
  <c r="W390" i="1"/>
  <c r="X390" i="1"/>
  <c r="Y390" i="1"/>
  <c r="Z390" i="1"/>
  <c r="V391" i="1"/>
  <c r="W391" i="1"/>
  <c r="X391" i="1"/>
  <c r="Y391" i="1"/>
  <c r="Z391" i="1"/>
  <c r="V392" i="1"/>
  <c r="W392" i="1"/>
  <c r="X392" i="1"/>
  <c r="Y392" i="1"/>
  <c r="Z392" i="1"/>
  <c r="V393" i="1"/>
  <c r="W393" i="1"/>
  <c r="X393" i="1"/>
  <c r="Y393" i="1"/>
  <c r="Z393" i="1"/>
  <c r="V394" i="1"/>
  <c r="W394" i="1"/>
  <c r="X394" i="1"/>
  <c r="Y394" i="1"/>
  <c r="Z394" i="1"/>
  <c r="V395" i="1"/>
  <c r="W395" i="1"/>
  <c r="X395" i="1"/>
  <c r="Y395" i="1"/>
  <c r="Z395" i="1"/>
  <c r="V396" i="1"/>
  <c r="W396" i="1"/>
  <c r="X396" i="1"/>
  <c r="Y396" i="1"/>
  <c r="Z396" i="1"/>
  <c r="V397" i="1"/>
  <c r="W397" i="1"/>
  <c r="X397" i="1"/>
  <c r="Y397" i="1"/>
  <c r="Z397" i="1"/>
  <c r="V398" i="1"/>
  <c r="W398" i="1"/>
  <c r="X398" i="1"/>
  <c r="Y398" i="1"/>
  <c r="Z398" i="1"/>
  <c r="V399" i="1"/>
  <c r="W399" i="1"/>
  <c r="X399" i="1"/>
  <c r="Y399" i="1"/>
  <c r="Z399" i="1"/>
  <c r="V400" i="1"/>
  <c r="W400" i="1"/>
  <c r="X400" i="1"/>
  <c r="Y400" i="1"/>
  <c r="Z400" i="1"/>
  <c r="V401" i="1"/>
  <c r="W401" i="1"/>
  <c r="X401" i="1"/>
  <c r="Y401" i="1"/>
  <c r="Z401" i="1"/>
  <c r="V402" i="1"/>
  <c r="W402" i="1"/>
  <c r="X402" i="1"/>
  <c r="Y402" i="1"/>
  <c r="Z402" i="1"/>
  <c r="V403" i="1"/>
  <c r="W403" i="1"/>
  <c r="X403" i="1"/>
  <c r="Y403" i="1"/>
  <c r="Z403" i="1"/>
  <c r="V404" i="1"/>
  <c r="W404" i="1"/>
  <c r="X404" i="1"/>
  <c r="Y404" i="1"/>
  <c r="Z404" i="1"/>
  <c r="V406" i="1"/>
  <c r="W406" i="1"/>
  <c r="X406" i="1"/>
  <c r="Y406" i="1"/>
  <c r="Z406" i="1"/>
  <c r="V407" i="1"/>
  <c r="W407" i="1"/>
  <c r="X407" i="1"/>
  <c r="Y407" i="1"/>
  <c r="Z407" i="1"/>
  <c r="V408" i="1"/>
  <c r="W408" i="1"/>
  <c r="X408" i="1"/>
  <c r="Y408" i="1"/>
  <c r="Z408" i="1"/>
  <c r="V409" i="1"/>
  <c r="W409" i="1"/>
  <c r="X409" i="1"/>
  <c r="Y409" i="1"/>
  <c r="Z409" i="1"/>
  <c r="V405" i="1"/>
  <c r="W405" i="1"/>
  <c r="X405" i="1"/>
  <c r="Y405" i="1"/>
  <c r="Z405" i="1"/>
  <c r="V411" i="1"/>
  <c r="W411" i="1"/>
  <c r="X411" i="1"/>
  <c r="Y411" i="1"/>
  <c r="Z411" i="1"/>
  <c r="V412" i="1"/>
  <c r="W412" i="1"/>
  <c r="X412" i="1"/>
  <c r="Y412" i="1"/>
  <c r="Z412" i="1"/>
  <c r="V413" i="1"/>
  <c r="W413" i="1"/>
  <c r="X413" i="1"/>
  <c r="Y413" i="1"/>
  <c r="Z413" i="1"/>
  <c r="V410" i="1"/>
  <c r="W410" i="1"/>
  <c r="X410" i="1"/>
  <c r="Y410" i="1"/>
  <c r="Z410" i="1"/>
  <c r="V414" i="1"/>
  <c r="W414" i="1"/>
  <c r="X414" i="1"/>
  <c r="Y414" i="1"/>
  <c r="Z414" i="1"/>
  <c r="V415" i="1"/>
  <c r="W415" i="1"/>
  <c r="X415" i="1"/>
  <c r="Y415" i="1"/>
  <c r="Z415" i="1"/>
  <c r="V419" i="1"/>
  <c r="W419" i="1"/>
  <c r="X419" i="1"/>
  <c r="Y419" i="1"/>
  <c r="Z419" i="1"/>
  <c r="V418" i="1"/>
  <c r="W418" i="1"/>
  <c r="X418" i="1"/>
  <c r="Y418" i="1"/>
  <c r="Z418" i="1"/>
  <c r="V420" i="1"/>
  <c r="W420" i="1"/>
  <c r="X420" i="1"/>
  <c r="Y420" i="1"/>
  <c r="Z420" i="1"/>
  <c r="V421" i="1"/>
  <c r="W421" i="1"/>
  <c r="X421" i="1"/>
  <c r="Y421" i="1"/>
  <c r="Z421" i="1"/>
  <c r="V422" i="1"/>
  <c r="W422" i="1"/>
  <c r="X422" i="1"/>
  <c r="Y422" i="1"/>
  <c r="Z422" i="1"/>
  <c r="V423" i="1"/>
  <c r="W423" i="1"/>
  <c r="X423" i="1"/>
  <c r="Y423" i="1"/>
  <c r="Z423" i="1"/>
  <c r="V417" i="1"/>
  <c r="W417" i="1"/>
  <c r="X417" i="1"/>
  <c r="Y417" i="1"/>
  <c r="Z417" i="1"/>
  <c r="V425" i="1"/>
  <c r="W425" i="1"/>
  <c r="X425" i="1"/>
  <c r="Y425" i="1"/>
  <c r="Z425" i="1"/>
  <c r="V426" i="1"/>
  <c r="W426" i="1"/>
  <c r="X426" i="1"/>
  <c r="Y426" i="1"/>
  <c r="Z426" i="1"/>
  <c r="V416" i="1"/>
  <c r="W416" i="1"/>
  <c r="X416" i="1"/>
  <c r="Y416" i="1"/>
  <c r="Z416" i="1"/>
  <c r="V424" i="1"/>
  <c r="W424" i="1"/>
  <c r="X424" i="1"/>
  <c r="Y424" i="1"/>
  <c r="Z424" i="1"/>
  <c r="V427" i="1"/>
  <c r="W427" i="1"/>
  <c r="X427" i="1"/>
  <c r="Y427" i="1"/>
  <c r="Z427" i="1"/>
  <c r="V428" i="1"/>
  <c r="W428" i="1"/>
  <c r="X428" i="1"/>
  <c r="Y428" i="1"/>
  <c r="Z428" i="1"/>
  <c r="V429" i="1"/>
  <c r="W429" i="1"/>
  <c r="X429" i="1"/>
  <c r="Y429" i="1"/>
  <c r="Z429" i="1"/>
  <c r="V430" i="1"/>
  <c r="W430" i="1"/>
  <c r="X430" i="1"/>
  <c r="Y430" i="1"/>
  <c r="Z430" i="1"/>
  <c r="V431" i="1"/>
  <c r="W431" i="1"/>
  <c r="X431" i="1"/>
  <c r="Y431" i="1"/>
  <c r="Z431" i="1"/>
  <c r="V433" i="1"/>
  <c r="W433" i="1"/>
  <c r="X433" i="1"/>
  <c r="Y433" i="1"/>
  <c r="Z433" i="1"/>
  <c r="V432" i="1"/>
  <c r="W432" i="1"/>
  <c r="X432" i="1"/>
  <c r="Y432" i="1"/>
  <c r="Z432" i="1"/>
  <c r="V434" i="1"/>
  <c r="W434" i="1"/>
  <c r="X434" i="1"/>
  <c r="Y434" i="1"/>
  <c r="Z434" i="1"/>
  <c r="V435" i="1"/>
  <c r="W435" i="1"/>
  <c r="X435" i="1"/>
  <c r="Y435" i="1"/>
  <c r="Z435" i="1"/>
  <c r="V436" i="1"/>
  <c r="W436" i="1"/>
  <c r="X436" i="1"/>
  <c r="Y436" i="1"/>
  <c r="Z436" i="1"/>
  <c r="V437" i="1"/>
  <c r="W437" i="1"/>
  <c r="X437" i="1"/>
  <c r="Y437" i="1"/>
  <c r="Z437" i="1"/>
  <c r="V438" i="1"/>
  <c r="W438" i="1"/>
  <c r="X438" i="1"/>
  <c r="Y438" i="1"/>
  <c r="Z438" i="1"/>
  <c r="V439" i="1"/>
  <c r="W439" i="1"/>
  <c r="X439" i="1"/>
  <c r="Y439" i="1"/>
  <c r="Z439" i="1"/>
  <c r="V440" i="1"/>
  <c r="W440" i="1"/>
  <c r="X440" i="1"/>
  <c r="Y440" i="1"/>
  <c r="Z440" i="1"/>
  <c r="V441" i="1"/>
  <c r="W441" i="1"/>
  <c r="X441" i="1"/>
  <c r="Y441" i="1"/>
  <c r="Z441" i="1"/>
  <c r="V442" i="1"/>
  <c r="W442" i="1"/>
  <c r="X442" i="1"/>
  <c r="Y442" i="1"/>
  <c r="Z442" i="1"/>
  <c r="V443" i="1"/>
  <c r="W443" i="1"/>
  <c r="X443" i="1"/>
  <c r="Y443" i="1"/>
  <c r="Z443" i="1"/>
  <c r="V444" i="1"/>
  <c r="W444" i="1"/>
  <c r="X444" i="1"/>
  <c r="Y444" i="1"/>
  <c r="Z444" i="1"/>
  <c r="V445" i="1"/>
  <c r="W445" i="1"/>
  <c r="X445" i="1"/>
  <c r="Y445" i="1"/>
  <c r="Z445" i="1"/>
  <c r="V446" i="1"/>
  <c r="W446" i="1"/>
  <c r="X446" i="1"/>
  <c r="Y446" i="1"/>
  <c r="Z446" i="1"/>
  <c r="V447" i="1"/>
  <c r="W447" i="1"/>
  <c r="X447" i="1"/>
  <c r="Y447" i="1"/>
  <c r="Z447" i="1"/>
  <c r="V448" i="1"/>
  <c r="W448" i="1"/>
  <c r="X448" i="1"/>
  <c r="Y448" i="1"/>
  <c r="Z448" i="1"/>
  <c r="V449" i="1"/>
  <c r="W449" i="1"/>
  <c r="X449" i="1"/>
  <c r="Y449" i="1"/>
  <c r="Z449" i="1"/>
  <c r="V450" i="1"/>
  <c r="W450" i="1"/>
  <c r="X450" i="1"/>
  <c r="Y450" i="1"/>
  <c r="Z450" i="1"/>
  <c r="V451" i="1"/>
  <c r="W451" i="1"/>
  <c r="X451" i="1"/>
  <c r="Y451" i="1"/>
  <c r="Z451" i="1"/>
  <c r="V452" i="1"/>
  <c r="W452" i="1"/>
  <c r="X452" i="1"/>
  <c r="Y452" i="1"/>
  <c r="Z452" i="1"/>
  <c r="V454" i="1"/>
  <c r="W454" i="1"/>
  <c r="X454" i="1"/>
  <c r="Y454" i="1"/>
  <c r="Z454" i="1"/>
  <c r="V453" i="1"/>
  <c r="W453" i="1"/>
  <c r="X453" i="1"/>
  <c r="Y453" i="1"/>
  <c r="Z453" i="1"/>
  <c r="V455" i="1"/>
  <c r="W455" i="1"/>
  <c r="X455" i="1"/>
  <c r="Y455" i="1"/>
  <c r="Z455" i="1"/>
  <c r="V456" i="1"/>
  <c r="W456" i="1"/>
  <c r="X456" i="1"/>
  <c r="Y456" i="1"/>
  <c r="Z456" i="1"/>
  <c r="V457" i="1"/>
  <c r="W457" i="1"/>
  <c r="X457" i="1"/>
  <c r="Y457" i="1"/>
  <c r="Z457" i="1"/>
  <c r="V458" i="1"/>
  <c r="W458" i="1"/>
  <c r="X458" i="1"/>
  <c r="Y458" i="1"/>
  <c r="Z458" i="1"/>
  <c r="V459" i="1"/>
  <c r="W459" i="1"/>
  <c r="X459" i="1"/>
  <c r="Y459" i="1"/>
  <c r="Z459" i="1"/>
  <c r="V460" i="1"/>
  <c r="W460" i="1"/>
  <c r="X460" i="1"/>
  <c r="Y460" i="1"/>
  <c r="Z460" i="1"/>
  <c r="V461" i="1"/>
  <c r="W461" i="1"/>
  <c r="X461" i="1"/>
  <c r="Y461" i="1"/>
  <c r="Z461" i="1"/>
  <c r="V462" i="1"/>
  <c r="W462" i="1"/>
  <c r="X462" i="1"/>
  <c r="Y462" i="1"/>
  <c r="Z462" i="1"/>
  <c r="V464" i="1"/>
  <c r="W464" i="1"/>
  <c r="X464" i="1"/>
  <c r="Y464" i="1"/>
  <c r="Z464" i="1"/>
  <c r="V463" i="1"/>
  <c r="W463" i="1"/>
  <c r="X463" i="1"/>
  <c r="Y463" i="1"/>
  <c r="Z463" i="1"/>
  <c r="V465" i="1"/>
  <c r="W465" i="1"/>
  <c r="X465" i="1"/>
  <c r="Y465" i="1"/>
  <c r="Z465" i="1"/>
  <c r="V466" i="1"/>
  <c r="W466" i="1"/>
  <c r="X466" i="1"/>
  <c r="Y466" i="1"/>
  <c r="Z466" i="1"/>
  <c r="V467" i="1"/>
  <c r="W467" i="1"/>
  <c r="X467" i="1"/>
  <c r="Y467" i="1"/>
  <c r="Z467" i="1"/>
  <c r="V468" i="1"/>
  <c r="W468" i="1"/>
  <c r="X468" i="1"/>
  <c r="Y468" i="1"/>
  <c r="Z468" i="1"/>
  <c r="V469" i="1"/>
  <c r="W469" i="1"/>
  <c r="X469" i="1"/>
  <c r="Y469" i="1"/>
  <c r="Z469" i="1"/>
  <c r="V470" i="1"/>
  <c r="W470" i="1"/>
  <c r="X470" i="1"/>
  <c r="Y470" i="1"/>
  <c r="Z470" i="1"/>
  <c r="V471" i="1"/>
  <c r="W471" i="1"/>
  <c r="X471" i="1"/>
  <c r="Y471" i="1"/>
  <c r="Z471" i="1"/>
  <c r="V472" i="1"/>
  <c r="W472" i="1"/>
  <c r="X472" i="1"/>
  <c r="Y472" i="1"/>
  <c r="Z472" i="1"/>
  <c r="V473" i="1"/>
  <c r="W473" i="1"/>
  <c r="X473" i="1"/>
  <c r="Y473" i="1"/>
  <c r="Z473" i="1"/>
  <c r="V474" i="1"/>
  <c r="W474" i="1"/>
  <c r="X474" i="1"/>
  <c r="Y474" i="1"/>
  <c r="Z474" i="1"/>
  <c r="V475" i="1"/>
  <c r="W475" i="1"/>
  <c r="X475" i="1"/>
  <c r="Y475" i="1"/>
  <c r="Z475" i="1"/>
  <c r="V476" i="1"/>
  <c r="W476" i="1"/>
  <c r="X476" i="1"/>
  <c r="Y476" i="1"/>
  <c r="Z476" i="1"/>
  <c r="V477" i="1"/>
  <c r="W477" i="1"/>
  <c r="X477" i="1"/>
  <c r="Y477" i="1"/>
  <c r="Z477" i="1"/>
  <c r="V478" i="1"/>
  <c r="W478" i="1"/>
  <c r="X478" i="1"/>
  <c r="Y478" i="1"/>
  <c r="Z478" i="1"/>
  <c r="V479" i="1"/>
  <c r="W479" i="1"/>
  <c r="X479" i="1"/>
  <c r="Y479" i="1"/>
  <c r="Z479" i="1"/>
  <c r="V481" i="1"/>
  <c r="W481" i="1"/>
  <c r="X481" i="1"/>
  <c r="Y481" i="1"/>
  <c r="Z481" i="1"/>
  <c r="V480" i="1"/>
  <c r="W480" i="1"/>
  <c r="X480" i="1"/>
  <c r="Y480" i="1"/>
  <c r="Z480" i="1"/>
  <c r="V482" i="1"/>
  <c r="W482" i="1"/>
  <c r="X482" i="1"/>
  <c r="Y482" i="1"/>
  <c r="Z482" i="1"/>
  <c r="V483" i="1"/>
  <c r="W483" i="1"/>
  <c r="X483" i="1"/>
  <c r="Y483" i="1"/>
  <c r="Z483" i="1"/>
  <c r="V484" i="1"/>
  <c r="W484" i="1"/>
  <c r="X484" i="1"/>
  <c r="Y484" i="1"/>
  <c r="Z484" i="1"/>
  <c r="V485" i="1"/>
  <c r="W485" i="1"/>
  <c r="X485" i="1"/>
  <c r="Y485" i="1"/>
  <c r="Z485" i="1"/>
  <c r="V486" i="1"/>
  <c r="W486" i="1"/>
  <c r="X486" i="1"/>
  <c r="Y486" i="1"/>
  <c r="Z486" i="1"/>
  <c r="V487" i="1"/>
  <c r="W487" i="1"/>
  <c r="X487" i="1"/>
  <c r="Y487" i="1"/>
  <c r="Z487" i="1"/>
  <c r="V488" i="1"/>
  <c r="W488" i="1"/>
  <c r="X488" i="1"/>
  <c r="Y488" i="1"/>
  <c r="Z488" i="1"/>
  <c r="V489" i="1"/>
  <c r="W489" i="1"/>
  <c r="X489" i="1"/>
  <c r="Y489" i="1"/>
  <c r="Z489" i="1"/>
  <c r="V490" i="1"/>
  <c r="W490" i="1"/>
  <c r="X490" i="1"/>
  <c r="Y490" i="1"/>
  <c r="Z490" i="1"/>
  <c r="V491" i="1"/>
  <c r="W491" i="1"/>
  <c r="X491" i="1"/>
  <c r="Y491" i="1"/>
  <c r="Z491" i="1"/>
  <c r="V492" i="1"/>
  <c r="W492" i="1"/>
  <c r="X492" i="1"/>
  <c r="Y492" i="1"/>
  <c r="Z492" i="1"/>
  <c r="V493" i="1"/>
  <c r="W493" i="1"/>
  <c r="X493" i="1"/>
  <c r="Y493" i="1"/>
  <c r="Z493" i="1"/>
  <c r="V494" i="1"/>
  <c r="W494" i="1"/>
  <c r="X494" i="1"/>
  <c r="Y494" i="1"/>
  <c r="Z494" i="1"/>
  <c r="V495" i="1"/>
  <c r="W495" i="1"/>
  <c r="X495" i="1"/>
  <c r="Y495" i="1"/>
  <c r="Z495" i="1"/>
  <c r="V496" i="1"/>
  <c r="W496" i="1"/>
  <c r="X496" i="1"/>
  <c r="Y496" i="1"/>
  <c r="Z496" i="1"/>
  <c r="V497" i="1"/>
  <c r="W497" i="1"/>
  <c r="X497" i="1"/>
  <c r="Y497" i="1"/>
  <c r="Z497" i="1"/>
  <c r="V498" i="1"/>
  <c r="W498" i="1"/>
  <c r="X498" i="1"/>
  <c r="Y498" i="1"/>
  <c r="Z498" i="1"/>
  <c r="V499" i="1"/>
  <c r="W499" i="1"/>
  <c r="X499" i="1"/>
  <c r="Y499" i="1"/>
  <c r="Z499" i="1"/>
  <c r="V500" i="1"/>
  <c r="W500" i="1"/>
  <c r="X500" i="1"/>
  <c r="Y500" i="1"/>
  <c r="Z500" i="1"/>
  <c r="V501" i="1"/>
  <c r="W501" i="1"/>
  <c r="X501" i="1"/>
  <c r="Y501" i="1"/>
  <c r="Z501" i="1"/>
  <c r="V502" i="1"/>
  <c r="W502" i="1"/>
  <c r="X502" i="1"/>
  <c r="Y502" i="1"/>
  <c r="Z502" i="1"/>
  <c r="V503" i="1"/>
  <c r="W503" i="1"/>
  <c r="X503" i="1"/>
  <c r="Y503" i="1"/>
  <c r="Z503" i="1"/>
  <c r="V504" i="1"/>
  <c r="W504" i="1"/>
  <c r="X504" i="1"/>
  <c r="Y504" i="1"/>
  <c r="Z504" i="1"/>
  <c r="V505" i="1"/>
  <c r="W505" i="1"/>
  <c r="X505" i="1"/>
  <c r="Y505" i="1"/>
  <c r="Z505" i="1"/>
  <c r="V506" i="1"/>
  <c r="W506" i="1"/>
  <c r="X506" i="1"/>
  <c r="Y506" i="1"/>
  <c r="Z506" i="1"/>
  <c r="V507" i="1"/>
  <c r="W507" i="1"/>
  <c r="X507" i="1"/>
  <c r="Y507" i="1"/>
  <c r="Z507" i="1"/>
  <c r="V508" i="1"/>
  <c r="W508" i="1"/>
  <c r="X508" i="1"/>
  <c r="Y508" i="1"/>
  <c r="Z508" i="1"/>
  <c r="V509" i="1"/>
  <c r="W509" i="1"/>
  <c r="X509" i="1"/>
  <c r="Y509" i="1"/>
  <c r="Z509" i="1"/>
  <c r="V510" i="1"/>
  <c r="W510" i="1"/>
  <c r="X510" i="1"/>
  <c r="Y510" i="1"/>
  <c r="Z510" i="1"/>
  <c r="V511" i="1"/>
  <c r="W511" i="1"/>
  <c r="X511" i="1"/>
  <c r="Y511" i="1"/>
  <c r="Z511" i="1"/>
  <c r="V512" i="1"/>
  <c r="W512" i="1"/>
  <c r="X512" i="1"/>
  <c r="Y512" i="1"/>
  <c r="Z512" i="1"/>
  <c r="V513" i="1"/>
  <c r="W513" i="1"/>
  <c r="X513" i="1"/>
  <c r="Y513" i="1"/>
  <c r="Z513" i="1"/>
  <c r="V514" i="1"/>
  <c r="W514" i="1"/>
  <c r="X514" i="1"/>
  <c r="Y514" i="1"/>
  <c r="Z514" i="1"/>
  <c r="V515" i="1"/>
  <c r="W515" i="1"/>
  <c r="X515" i="1"/>
  <c r="Y515" i="1"/>
  <c r="Z515" i="1"/>
  <c r="V516" i="1"/>
  <c r="W516" i="1"/>
  <c r="X516" i="1"/>
  <c r="Y516" i="1"/>
  <c r="Z516" i="1"/>
  <c r="V517" i="1"/>
  <c r="W517" i="1"/>
  <c r="X517" i="1"/>
  <c r="Y517" i="1"/>
  <c r="Z517" i="1"/>
  <c r="V518" i="1"/>
  <c r="W518" i="1"/>
  <c r="X518" i="1"/>
  <c r="Y518" i="1"/>
  <c r="Z518" i="1"/>
  <c r="V519" i="1"/>
  <c r="W519" i="1"/>
  <c r="X519" i="1"/>
  <c r="Y519" i="1"/>
  <c r="Z519" i="1"/>
  <c r="V520" i="1"/>
  <c r="W520" i="1"/>
  <c r="X520" i="1"/>
  <c r="Y520" i="1"/>
  <c r="Z520" i="1"/>
  <c r="V521" i="1"/>
  <c r="W521" i="1"/>
  <c r="X521" i="1"/>
  <c r="Y521" i="1"/>
  <c r="Z521" i="1"/>
  <c r="V522" i="1"/>
  <c r="W522" i="1"/>
  <c r="X522" i="1"/>
  <c r="Y522" i="1"/>
  <c r="Z522" i="1"/>
  <c r="V523" i="1"/>
  <c r="W523" i="1"/>
  <c r="X523" i="1"/>
  <c r="Y523" i="1"/>
  <c r="Z523" i="1"/>
  <c r="V524" i="1"/>
  <c r="W524" i="1"/>
  <c r="X524" i="1"/>
  <c r="Y524" i="1"/>
  <c r="Z524" i="1"/>
  <c r="V525" i="1"/>
  <c r="W525" i="1"/>
  <c r="X525" i="1"/>
  <c r="Y525" i="1"/>
  <c r="Z525" i="1"/>
  <c r="V526" i="1"/>
  <c r="W526" i="1"/>
  <c r="X526" i="1"/>
  <c r="Y526" i="1"/>
  <c r="Z526" i="1"/>
  <c r="V527" i="1"/>
  <c r="W527" i="1"/>
  <c r="X527" i="1"/>
  <c r="Y527" i="1"/>
  <c r="Z527" i="1"/>
  <c r="V528" i="1"/>
  <c r="W528" i="1"/>
  <c r="X528" i="1"/>
  <c r="Y528" i="1"/>
  <c r="Z528" i="1"/>
  <c r="V529" i="1"/>
  <c r="W529" i="1"/>
  <c r="X529" i="1"/>
  <c r="Y529" i="1"/>
  <c r="Z529" i="1"/>
  <c r="V530" i="1"/>
  <c r="W530" i="1"/>
  <c r="X530" i="1"/>
  <c r="Y530" i="1"/>
  <c r="Z530" i="1"/>
  <c r="V531" i="1"/>
  <c r="W531" i="1"/>
  <c r="X531" i="1"/>
  <c r="Y531" i="1"/>
  <c r="Z531" i="1"/>
  <c r="V532" i="1"/>
  <c r="W532" i="1"/>
  <c r="X532" i="1"/>
  <c r="Y532" i="1"/>
  <c r="Z532" i="1"/>
  <c r="V533" i="1"/>
  <c r="W533" i="1"/>
  <c r="X533" i="1"/>
  <c r="Y533" i="1"/>
  <c r="Z533" i="1"/>
  <c r="V534" i="1"/>
  <c r="W534" i="1"/>
  <c r="X534" i="1"/>
  <c r="Y534" i="1"/>
  <c r="Z534" i="1"/>
  <c r="V535" i="1"/>
  <c r="W535" i="1"/>
  <c r="X535" i="1"/>
  <c r="Y535" i="1"/>
  <c r="Z535" i="1"/>
  <c r="V536" i="1"/>
  <c r="W536" i="1"/>
  <c r="X536" i="1"/>
  <c r="Y536" i="1"/>
  <c r="Z536" i="1"/>
  <c r="V537" i="1"/>
  <c r="W537" i="1"/>
  <c r="X537" i="1"/>
  <c r="Y537" i="1"/>
  <c r="Z537" i="1"/>
  <c r="V538" i="1"/>
  <c r="W538" i="1"/>
  <c r="X538" i="1"/>
  <c r="Y538" i="1"/>
  <c r="Z538" i="1"/>
  <c r="V539" i="1"/>
  <c r="W539" i="1"/>
  <c r="X539" i="1"/>
  <c r="Y539" i="1"/>
  <c r="Z539" i="1"/>
  <c r="V540" i="1"/>
  <c r="W540" i="1"/>
  <c r="X540" i="1"/>
  <c r="Y540" i="1"/>
  <c r="Z540" i="1"/>
  <c r="V541" i="1"/>
  <c r="W541" i="1"/>
  <c r="X541" i="1"/>
  <c r="Y541" i="1"/>
  <c r="Z541" i="1"/>
  <c r="V542" i="1"/>
  <c r="W542" i="1"/>
  <c r="X542" i="1"/>
  <c r="Y542" i="1"/>
  <c r="Z542" i="1"/>
  <c r="V543" i="1"/>
  <c r="W543" i="1"/>
  <c r="X543" i="1"/>
  <c r="Y543" i="1"/>
  <c r="Z543" i="1"/>
  <c r="V544" i="1"/>
  <c r="W544" i="1"/>
  <c r="X544" i="1"/>
  <c r="Y544" i="1"/>
  <c r="Z544" i="1"/>
  <c r="V545" i="1"/>
  <c r="W545" i="1"/>
  <c r="X545" i="1"/>
  <c r="Y545" i="1"/>
  <c r="Z545" i="1"/>
  <c r="V546" i="1"/>
  <c r="W546" i="1"/>
  <c r="X546" i="1"/>
  <c r="Y546" i="1"/>
  <c r="Z546" i="1"/>
  <c r="V547" i="1"/>
  <c r="W547" i="1"/>
  <c r="X547" i="1"/>
  <c r="Y547" i="1"/>
  <c r="Z547" i="1"/>
  <c r="V548" i="1"/>
  <c r="W548" i="1"/>
  <c r="X548" i="1"/>
  <c r="Y548" i="1"/>
  <c r="Z548" i="1"/>
  <c r="V549" i="1"/>
  <c r="W549" i="1"/>
  <c r="X549" i="1"/>
  <c r="Y549" i="1"/>
  <c r="Z549" i="1"/>
  <c r="V550" i="1"/>
  <c r="W550" i="1"/>
  <c r="X550" i="1"/>
  <c r="Y550" i="1"/>
  <c r="Z550" i="1"/>
  <c r="V551" i="1"/>
  <c r="W551" i="1"/>
  <c r="X551" i="1"/>
  <c r="Y551" i="1"/>
  <c r="Z551" i="1"/>
  <c r="V552" i="1"/>
  <c r="W552" i="1"/>
  <c r="X552" i="1"/>
  <c r="Y552" i="1"/>
  <c r="Z552" i="1"/>
  <c r="V553" i="1"/>
  <c r="W553" i="1"/>
  <c r="X553" i="1"/>
  <c r="Y553" i="1"/>
  <c r="Z553" i="1"/>
  <c r="V554" i="1"/>
  <c r="W554" i="1"/>
  <c r="X554" i="1"/>
  <c r="Y554" i="1"/>
  <c r="Z554" i="1"/>
  <c r="V555" i="1"/>
  <c r="W555" i="1"/>
  <c r="X555" i="1"/>
  <c r="Y555" i="1"/>
  <c r="Z555" i="1"/>
  <c r="V556" i="1"/>
  <c r="W556" i="1"/>
  <c r="X556" i="1"/>
  <c r="Y556" i="1"/>
  <c r="Z556" i="1"/>
  <c r="V557" i="1"/>
  <c r="W557" i="1"/>
  <c r="X557" i="1"/>
  <c r="Y557" i="1"/>
  <c r="Z557" i="1"/>
  <c r="V558" i="1"/>
  <c r="W558" i="1"/>
  <c r="X558" i="1"/>
  <c r="Y558" i="1"/>
  <c r="Z558" i="1"/>
  <c r="V559" i="1"/>
  <c r="W559" i="1"/>
  <c r="X559" i="1"/>
  <c r="Y559" i="1"/>
  <c r="Z559" i="1"/>
  <c r="V560" i="1"/>
  <c r="W560" i="1"/>
  <c r="X560" i="1"/>
  <c r="Y560" i="1"/>
  <c r="Z560" i="1"/>
  <c r="V561" i="1"/>
  <c r="W561" i="1"/>
  <c r="X561" i="1"/>
  <c r="Y561" i="1"/>
  <c r="Z561" i="1"/>
  <c r="V562" i="1"/>
  <c r="W562" i="1"/>
  <c r="X562" i="1"/>
  <c r="Y562" i="1"/>
  <c r="Z562" i="1"/>
  <c r="V563" i="1"/>
  <c r="W563" i="1"/>
  <c r="X563" i="1"/>
  <c r="Y563" i="1"/>
  <c r="Z563" i="1"/>
  <c r="V564" i="1"/>
  <c r="W564" i="1"/>
  <c r="X564" i="1"/>
  <c r="Y564" i="1"/>
  <c r="Z564" i="1"/>
  <c r="V565" i="1"/>
  <c r="W565" i="1"/>
  <c r="X565" i="1"/>
  <c r="Y565" i="1"/>
  <c r="Z565" i="1"/>
  <c r="V566" i="1"/>
  <c r="W566" i="1"/>
  <c r="X566" i="1"/>
  <c r="Y566" i="1"/>
  <c r="Z566" i="1"/>
  <c r="V567" i="1"/>
  <c r="W567" i="1"/>
  <c r="X567" i="1"/>
  <c r="Y567" i="1"/>
  <c r="Z567" i="1"/>
  <c r="V568" i="1"/>
  <c r="W568" i="1"/>
  <c r="X568" i="1"/>
  <c r="Y568" i="1"/>
  <c r="Z568" i="1"/>
  <c r="V569" i="1"/>
  <c r="W569" i="1"/>
  <c r="X569" i="1"/>
  <c r="Y569" i="1"/>
  <c r="Z569" i="1"/>
  <c r="V570" i="1"/>
  <c r="W570" i="1"/>
  <c r="X570" i="1"/>
  <c r="Y570" i="1"/>
  <c r="Z570" i="1"/>
  <c r="V571" i="1"/>
  <c r="W571" i="1"/>
  <c r="X571" i="1"/>
  <c r="Y571" i="1"/>
  <c r="Z571" i="1"/>
  <c r="V572" i="1"/>
  <c r="W572" i="1"/>
  <c r="X572" i="1"/>
  <c r="Y572" i="1"/>
  <c r="Z572" i="1"/>
  <c r="V573" i="1"/>
  <c r="W573" i="1"/>
  <c r="X573" i="1"/>
  <c r="Y573" i="1"/>
  <c r="Z573" i="1"/>
  <c r="V574" i="1"/>
  <c r="W574" i="1"/>
  <c r="X574" i="1"/>
  <c r="Y574" i="1"/>
  <c r="Z574" i="1"/>
  <c r="V575" i="1"/>
  <c r="W575" i="1"/>
  <c r="X575" i="1"/>
  <c r="Y575" i="1"/>
  <c r="Z575" i="1"/>
  <c r="V576" i="1"/>
  <c r="W576" i="1"/>
  <c r="X576" i="1"/>
  <c r="Y576" i="1"/>
  <c r="Z576" i="1"/>
  <c r="V577" i="1"/>
  <c r="W577" i="1"/>
  <c r="X577" i="1"/>
  <c r="Y577" i="1"/>
  <c r="Z577" i="1"/>
  <c r="V578" i="1"/>
  <c r="W578" i="1"/>
  <c r="X578" i="1"/>
  <c r="Y578" i="1"/>
  <c r="Z578" i="1"/>
  <c r="V579" i="1"/>
  <c r="W579" i="1"/>
  <c r="X579" i="1"/>
  <c r="Y579" i="1"/>
  <c r="Z579" i="1"/>
  <c r="V580" i="1"/>
  <c r="W580" i="1"/>
  <c r="X580" i="1"/>
  <c r="Y580" i="1"/>
  <c r="Z580" i="1"/>
  <c r="V581" i="1"/>
  <c r="W581" i="1"/>
  <c r="X581" i="1"/>
  <c r="Y581" i="1"/>
  <c r="Z581" i="1"/>
  <c r="V582" i="1"/>
  <c r="W582" i="1"/>
  <c r="X582" i="1"/>
  <c r="Y582" i="1"/>
  <c r="Z582" i="1"/>
  <c r="V583" i="1"/>
  <c r="W583" i="1"/>
  <c r="X583" i="1"/>
  <c r="Y583" i="1"/>
  <c r="Z583" i="1"/>
  <c r="V584" i="1"/>
  <c r="W584" i="1"/>
  <c r="X584" i="1"/>
  <c r="Y584" i="1"/>
  <c r="Z584" i="1"/>
  <c r="V585" i="1"/>
  <c r="W585" i="1"/>
  <c r="X585" i="1"/>
  <c r="Y585" i="1"/>
  <c r="Z585" i="1"/>
  <c r="V586" i="1"/>
  <c r="W586" i="1"/>
  <c r="X586" i="1"/>
  <c r="Y586" i="1"/>
  <c r="Z586" i="1"/>
  <c r="V587" i="1"/>
  <c r="W587" i="1"/>
  <c r="X587" i="1"/>
  <c r="Y587" i="1"/>
  <c r="Z587" i="1"/>
  <c r="V588" i="1"/>
  <c r="W588" i="1"/>
  <c r="X588" i="1"/>
  <c r="Y588" i="1"/>
  <c r="Z588" i="1"/>
  <c r="V589" i="1"/>
  <c r="W589" i="1"/>
  <c r="X589" i="1"/>
  <c r="Y589" i="1"/>
  <c r="Z589" i="1"/>
  <c r="V590" i="1"/>
  <c r="W590" i="1"/>
  <c r="X590" i="1"/>
  <c r="Y590" i="1"/>
  <c r="Z590" i="1"/>
  <c r="V591" i="1"/>
  <c r="W591" i="1"/>
  <c r="X591" i="1"/>
  <c r="Y591" i="1"/>
  <c r="Z591" i="1"/>
  <c r="V592" i="1"/>
  <c r="W592" i="1"/>
  <c r="X592" i="1"/>
  <c r="Y592" i="1"/>
  <c r="Z592" i="1"/>
  <c r="V593" i="1"/>
  <c r="W593" i="1"/>
  <c r="X593" i="1"/>
  <c r="Y593" i="1"/>
  <c r="Z593" i="1"/>
  <c r="V594" i="1"/>
  <c r="W594" i="1"/>
  <c r="X594" i="1"/>
  <c r="Y594" i="1"/>
  <c r="Z594" i="1"/>
  <c r="V595" i="1"/>
  <c r="W595" i="1"/>
  <c r="X595" i="1"/>
  <c r="Y595" i="1"/>
  <c r="Z595" i="1"/>
  <c r="V596" i="1"/>
  <c r="W596" i="1"/>
  <c r="X596" i="1"/>
  <c r="Y596" i="1"/>
  <c r="Z596" i="1"/>
  <c r="V597" i="1"/>
  <c r="W597" i="1"/>
  <c r="X597" i="1"/>
  <c r="Y597" i="1"/>
  <c r="Z597" i="1"/>
  <c r="V2" i="1"/>
  <c r="W2" i="1"/>
  <c r="X2" i="1"/>
  <c r="Y2" i="1"/>
  <c r="Z2" i="1"/>
  <c r="L776" i="2"/>
  <c r="K776" i="2"/>
  <c r="L767" i="2"/>
  <c r="K767" i="2"/>
  <c r="F746" i="2"/>
  <c r="E746" i="2"/>
  <c r="AI492" i="1"/>
  <c r="AJ492" i="1" s="1"/>
  <c r="X710" i="2"/>
  <c r="W710" i="2"/>
  <c r="AI490" i="1"/>
  <c r="AJ490" i="1" s="1"/>
  <c r="P710" i="2"/>
  <c r="O710" i="2"/>
  <c r="AI489" i="1"/>
  <c r="AJ489" i="1" s="1"/>
  <c r="L710" i="2"/>
  <c r="K710" i="2"/>
  <c r="AI503" i="1"/>
  <c r="AJ503" i="1" s="1"/>
  <c r="T691" i="2"/>
  <c r="S691" i="2"/>
  <c r="AI502" i="1"/>
  <c r="AJ502" i="1" s="1"/>
  <c r="R674" i="2"/>
  <c r="Q674" i="2"/>
  <c r="AI501" i="1"/>
  <c r="AJ501" i="1" s="1"/>
  <c r="H691" i="2"/>
  <c r="G691" i="2"/>
  <c r="AI500" i="1"/>
  <c r="AJ500" i="1" s="1"/>
  <c r="D674" i="2"/>
  <c r="C674" i="2"/>
  <c r="AI497" i="1"/>
  <c r="AJ497" i="1" s="1"/>
  <c r="T655" i="2"/>
  <c r="S655" i="2"/>
  <c r="AI496" i="1"/>
  <c r="AJ496" i="1" s="1"/>
  <c r="G655" i="2"/>
  <c r="F655" i="2"/>
  <c r="AI444" i="1"/>
  <c r="AJ444" i="1" s="1"/>
  <c r="D637" i="2"/>
  <c r="C637" i="2"/>
  <c r="AI462" i="1"/>
  <c r="AJ462" i="1" s="1"/>
  <c r="Y602" i="2"/>
  <c r="X602" i="2"/>
  <c r="AI461" i="1"/>
  <c r="AJ461" i="1" s="1"/>
  <c r="Y617" i="2"/>
  <c r="X617" i="2"/>
  <c r="AI460" i="1"/>
  <c r="AJ460" i="1" s="1"/>
  <c r="AI459" i="1"/>
  <c r="AJ459" i="1" s="1"/>
  <c r="S602" i="2"/>
  <c r="R602" i="2"/>
  <c r="AI458" i="1"/>
  <c r="AJ458" i="1" s="1"/>
  <c r="L602" i="2"/>
  <c r="K602" i="2"/>
  <c r="AI457" i="1"/>
  <c r="AJ457" i="1" s="1"/>
  <c r="G617" i="2"/>
  <c r="F617" i="2"/>
  <c r="AI456" i="1"/>
  <c r="AJ456" i="1" s="1"/>
  <c r="C602" i="2"/>
  <c r="B602" i="2"/>
  <c r="AI450" i="1"/>
  <c r="AJ450" i="1" s="1"/>
  <c r="W581" i="2"/>
  <c r="V581" i="2"/>
  <c r="AI448" i="1"/>
  <c r="AJ448" i="1" s="1"/>
  <c r="T581" i="2"/>
  <c r="S581" i="2"/>
  <c r="AI447" i="1"/>
  <c r="AJ447" i="1" s="1"/>
  <c r="AI402" i="1"/>
  <c r="AJ402" i="1" s="1"/>
  <c r="Q561" i="2"/>
  <c r="P561" i="2"/>
  <c r="AI401" i="1"/>
  <c r="AJ401" i="1" s="1"/>
  <c r="AI390" i="1"/>
  <c r="AJ390" i="1" s="1"/>
  <c r="D561" i="2"/>
  <c r="C561" i="2"/>
  <c r="T541" i="2"/>
  <c r="S541" i="2"/>
  <c r="AI389" i="1"/>
  <c r="AJ389" i="1" s="1"/>
  <c r="H541" i="2"/>
  <c r="G541" i="2"/>
  <c r="AI382" i="1"/>
  <c r="AJ382" i="1" s="1"/>
  <c r="V520" i="2"/>
  <c r="U520" i="2"/>
  <c r="AI381" i="1"/>
  <c r="AJ381" i="1" s="1"/>
  <c r="Q520" i="2"/>
  <c r="P520" i="2"/>
  <c r="AI379" i="1"/>
  <c r="AJ379" i="1" s="1"/>
  <c r="H520" i="2"/>
  <c r="G520" i="2"/>
  <c r="AI376" i="1"/>
  <c r="AJ376" i="1" s="1"/>
  <c r="AI337" i="1"/>
  <c r="AJ337" i="1" s="1"/>
  <c r="X482" i="2"/>
  <c r="W482" i="2"/>
  <c r="AI336" i="1"/>
  <c r="AJ336" i="1" s="1"/>
  <c r="J482" i="2"/>
  <c r="K482" i="2"/>
  <c r="AI335" i="1"/>
  <c r="AJ335" i="1" s="1"/>
  <c r="T466" i="2"/>
  <c r="S466" i="2"/>
  <c r="AI334" i="1"/>
  <c r="AJ334" i="1" s="1"/>
  <c r="G466" i="2"/>
  <c r="F466" i="2"/>
  <c r="AI325" i="1"/>
  <c r="AJ325" i="1" s="1"/>
  <c r="AI323" i="1"/>
  <c r="AJ323" i="1" s="1"/>
  <c r="H447" i="2"/>
  <c r="G447" i="2"/>
  <c r="D447" i="2"/>
  <c r="C447" i="2"/>
  <c r="AI322" i="1"/>
  <c r="AJ322" i="1" s="1"/>
  <c r="AI318" i="1"/>
  <c r="AJ318" i="1" s="1"/>
  <c r="AI317" i="1"/>
  <c r="AJ317" i="1" s="1"/>
  <c r="AC294" i="1"/>
  <c r="AC295" i="1" s="1"/>
  <c r="AA295" i="1" s="1"/>
  <c r="AI293" i="1"/>
  <c r="AJ293" i="1" s="1"/>
  <c r="AI292" i="1"/>
  <c r="AJ292" i="1" s="1"/>
  <c r="AI288" i="1"/>
  <c r="AJ288" i="1" s="1"/>
  <c r="AI287" i="1"/>
  <c r="AJ287" i="1" s="1"/>
  <c r="AI278" i="1"/>
  <c r="AJ278" i="1" s="1"/>
  <c r="AI277" i="1"/>
  <c r="AJ277" i="1" s="1"/>
  <c r="AI216" i="1"/>
  <c r="AJ216" i="1" s="1"/>
  <c r="AI214" i="1"/>
  <c r="AJ214" i="1" s="1"/>
  <c r="AI215" i="1"/>
  <c r="AJ215" i="1" s="1"/>
  <c r="AI213" i="1"/>
  <c r="AJ213" i="1" s="1"/>
  <c r="AI275" i="1"/>
  <c r="AJ275" i="1" s="1"/>
  <c r="AI274" i="1"/>
  <c r="AJ274" i="1" s="1"/>
  <c r="AI266" i="1"/>
  <c r="AJ266" i="1" s="1"/>
  <c r="AI263" i="1"/>
  <c r="AJ263" i="1" s="1"/>
  <c r="AI265" i="1"/>
  <c r="AJ265" i="1" s="1"/>
  <c r="AI259" i="1"/>
  <c r="AJ259" i="1" s="1"/>
  <c r="AI258" i="1"/>
  <c r="AJ258" i="1" s="1"/>
  <c r="AI198" i="1"/>
  <c r="AJ198" i="1" s="1"/>
  <c r="J212" i="2"/>
  <c r="I212" i="2"/>
  <c r="AI196" i="1"/>
  <c r="AJ196" i="1" s="1"/>
  <c r="AI197" i="1"/>
  <c r="AJ197" i="1" s="1"/>
  <c r="AI199" i="1"/>
  <c r="AJ199" i="1" s="1"/>
  <c r="AI202" i="1"/>
  <c r="AJ202" i="1" s="1"/>
  <c r="AI195" i="1"/>
  <c r="AJ195" i="1" s="1"/>
  <c r="E212" i="2"/>
  <c r="D212" i="2"/>
  <c r="S194" i="2"/>
  <c r="R194" i="2"/>
  <c r="L194" i="2"/>
  <c r="K194" i="2"/>
  <c r="I194" i="2"/>
  <c r="H194" i="2"/>
  <c r="C194" i="2"/>
  <c r="B194" i="2"/>
  <c r="P176" i="2"/>
  <c r="O176" i="2"/>
  <c r="L176" i="2"/>
  <c r="K176" i="2"/>
  <c r="AI34" i="1"/>
  <c r="AJ34" i="1" s="1"/>
  <c r="T84" i="2"/>
  <c r="S84" i="2"/>
  <c r="AI30" i="1"/>
  <c r="AJ30" i="1" s="1"/>
  <c r="AI29" i="1"/>
  <c r="AJ29" i="1" s="1"/>
  <c r="G84" i="2"/>
  <c r="F84" i="2"/>
  <c r="AI35" i="1"/>
  <c r="AJ35" i="1" s="1"/>
  <c r="X67" i="2"/>
  <c r="W67" i="2"/>
  <c r="AI31" i="1"/>
  <c r="AJ31" i="1" s="1"/>
  <c r="I67" i="2"/>
  <c r="H67" i="2"/>
  <c r="AI138" i="1"/>
  <c r="AJ138" i="1" s="1"/>
  <c r="S157" i="2"/>
  <c r="R157" i="2"/>
  <c r="AI136" i="1"/>
  <c r="AJ136" i="1" s="1"/>
  <c r="K157" i="2"/>
  <c r="J157" i="2"/>
  <c r="AI137" i="1"/>
  <c r="AJ137" i="1" s="1"/>
  <c r="O140" i="2"/>
  <c r="N140" i="2"/>
  <c r="AI135" i="1"/>
  <c r="AJ135" i="1" s="1"/>
  <c r="G140" i="2"/>
  <c r="F140" i="2"/>
  <c r="AI148" i="1"/>
  <c r="AJ148" i="1" s="1"/>
  <c r="P122" i="2"/>
  <c r="O122" i="2"/>
  <c r="AI147" i="1"/>
  <c r="AJ147" i="1" s="1"/>
  <c r="K122" i="2"/>
  <c r="J122" i="2"/>
  <c r="AI149" i="1"/>
  <c r="AJ149" i="1" s="1"/>
  <c r="Y105" i="2"/>
  <c r="X105" i="2"/>
  <c r="AI146" i="1"/>
  <c r="AJ146" i="1" s="1"/>
  <c r="L105" i="2"/>
  <c r="K105" i="2"/>
  <c r="AI145" i="1"/>
  <c r="AJ145" i="1" s="1"/>
  <c r="C105" i="2"/>
  <c r="B105" i="2"/>
  <c r="T49" i="2"/>
  <c r="S49" i="2"/>
  <c r="P49" i="2"/>
  <c r="P50" i="2"/>
  <c r="O49" i="2"/>
  <c r="L49" i="2"/>
  <c r="K49" i="2"/>
  <c r="H49" i="2"/>
  <c r="G49" i="2"/>
  <c r="L28" i="2"/>
  <c r="K28" i="2"/>
  <c r="G29" i="2"/>
  <c r="G28" i="2"/>
  <c r="C9" i="2"/>
  <c r="B9" i="2"/>
  <c r="AA294" i="1" l="1"/>
  <c r="G746" i="2"/>
  <c r="M767" i="2"/>
  <c r="M776" i="2"/>
  <c r="M194" i="2"/>
  <c r="J194" i="2"/>
  <c r="T194" i="2"/>
  <c r="D194" i="2"/>
  <c r="M176" i="2"/>
  <c r="Q176" i="2"/>
  <c r="J67" i="2"/>
  <c r="L122" i="2"/>
  <c r="I49" i="2"/>
  <c r="D105" i="2"/>
  <c r="M49" i="2"/>
  <c r="H29" i="2"/>
  <c r="D9" i="2"/>
  <c r="M28" i="2"/>
</calcChain>
</file>

<file path=xl/sharedStrings.xml><?xml version="1.0" encoding="utf-8"?>
<sst xmlns="http://schemas.openxmlformats.org/spreadsheetml/2006/main" count="8253" uniqueCount="1740">
  <si>
    <t>Promotion ID</t>
  </si>
  <si>
    <t>Customer name</t>
  </si>
  <si>
    <t>Customer ID</t>
  </si>
  <si>
    <t>Promotion name</t>
  </si>
  <si>
    <t>Promotion status</t>
  </si>
  <si>
    <t>Start date</t>
  </si>
  <si>
    <t>End date</t>
  </si>
  <si>
    <t>Selling unit group OR UPC</t>
  </si>
  <si>
    <t>Item code</t>
  </si>
  <si>
    <t>Plan incr. trade spend</t>
  </si>
  <si>
    <t>Plan base volume</t>
  </si>
  <si>
    <t>Plan incremental</t>
  </si>
  <si>
    <t>Plan total demand</t>
  </si>
  <si>
    <t>Plan lift, %</t>
  </si>
  <si>
    <t>Predicted lift, %</t>
  </si>
  <si>
    <t>Actual incremental</t>
  </si>
  <si>
    <t>Actual lift, %</t>
  </si>
  <si>
    <t>Actual total demand</t>
  </si>
  <si>
    <t>Deal</t>
  </si>
  <si>
    <t>ID</t>
  </si>
  <si>
    <t>01a47183-cad2-4837-d733-08de5cdc8bfa</t>
  </si>
  <si>
    <t>SAVE MART</t>
  </si>
  <si>
    <t>SAVE MART July 2026 Puff Singles TPR</t>
  </si>
  <si>
    <t>Complete - Unsettled (Open)</t>
  </si>
  <si>
    <t>Puff 1CT</t>
  </si>
  <si>
    <t>TPR</t>
  </si>
  <si>
    <t>01be745e-ec54-4b73-a10a-08de89a46b1d</t>
  </si>
  <si>
    <t>Albertsons NorCal</t>
  </si>
  <si>
    <t>July 2026 $9.99 TPR</t>
  </si>
  <si>
    <t>Puff 4CT</t>
  </si>
  <si>
    <t>02213787-9b72-46e9-408a-08de5da29cfe</t>
  </si>
  <si>
    <t>Walgreens</t>
  </si>
  <si>
    <t>Walgreens May 2026 Puff Singles TPR</t>
  </si>
  <si>
    <t>Ad, TPR</t>
  </si>
  <si>
    <t>03471729-c130-4388-6365-08de5da29cfe</t>
  </si>
  <si>
    <t>Bolla</t>
  </si>
  <si>
    <t>Bolla February 2026 TPR</t>
  </si>
  <si>
    <t>034a3d45-f333-4387-7f28-08de5da29cfe</t>
  </si>
  <si>
    <t>CERTCO INC.</t>
  </si>
  <si>
    <t>C0806394</t>
  </si>
  <si>
    <t>CERTCO INC. April 2026 Puff Singles TPR</t>
  </si>
  <si>
    <t>03636933-2336-4c69-402c-08de5da29cfe</t>
  </si>
  <si>
    <t>CVS</t>
  </si>
  <si>
    <t>CVS November 2026 Puff 4-Pack TPR</t>
  </si>
  <si>
    <t>Planned</t>
  </si>
  <si>
    <t>03657cde-7dc0-4564-4074-08de5da29cfe</t>
  </si>
  <si>
    <t>THE GIANT COMPANY</t>
  </si>
  <si>
    <t>THE GIANT COMPANY May 2026 Puff 4-Pack TPR</t>
  </si>
  <si>
    <t>03e7db4b-60b3-4805-402a-08de5da29cfe</t>
  </si>
  <si>
    <t>CVS May 2026 Puff 4-Pack TPR</t>
  </si>
  <si>
    <t>04189646-88f8-424b-a082-08de89a46b1d</t>
  </si>
  <si>
    <t>Albertsons Mid-Atlantic</t>
  </si>
  <si>
    <t>September 2026 $1 Digital 4ct</t>
  </si>
  <si>
    <t>Digital Coupon</t>
  </si>
  <si>
    <t>0423a90c-d05e-44ae-405b-08de5da29cfe</t>
  </si>
  <si>
    <t>RALPHS</t>
  </si>
  <si>
    <t>RALPHS March 2026 Puff Singles TPR</t>
  </si>
  <si>
    <t>04357d90-b250-4181-85aa-08de96f8b98c</t>
  </si>
  <si>
    <t>HEB</t>
  </si>
  <si>
    <t>2026 Single Puff EDLP</t>
  </si>
  <si>
    <t>In progress</t>
  </si>
  <si>
    <t>EDLP/EDLC</t>
  </si>
  <si>
    <t>0523ff89-efcf-41e9-7f35-08de5da29cfe</t>
  </si>
  <si>
    <t>Dierbergs</t>
  </si>
  <si>
    <t>Dierbergs October 2026 Puff Singles TPR</t>
  </si>
  <si>
    <t>05db5191-7c39-4dd1-84ce-08de4f7c9ec1</t>
  </si>
  <si>
    <t>PUBLIX</t>
  </si>
  <si>
    <t>C1687278</t>
  </si>
  <si>
    <t>October 2026 Puff 4-Pack TPR</t>
  </si>
  <si>
    <t>07090b36-ec50-4455-4081-08de5da29cfe</t>
  </si>
  <si>
    <t>VITAMIN SHOPPE</t>
  </si>
  <si>
    <t>C1082921</t>
  </si>
  <si>
    <t>VITAMIN SHOPPE June 2026 Puff Singles TPR</t>
  </si>
  <si>
    <t>0774588b-a68a-4cb2-d734-08de5cdc8bfa</t>
  </si>
  <si>
    <t>SAVE MART October 2026 Puff Singles TPR</t>
  </si>
  <si>
    <t>07d58dd7-9b6f-47cd-4082-08de5da29cfe</t>
  </si>
  <si>
    <t>VITAMIN SHOPPE October 2026 Puff Singles TPR</t>
  </si>
  <si>
    <t>08728aeb-f4b9-492c-7f63-08de5da29cfe</t>
  </si>
  <si>
    <t>Loop</t>
  </si>
  <si>
    <t>Loop January 2026 Puff Singles TPR</t>
  </si>
  <si>
    <t>0890093a-329f-499c-402e-08de5da29cfe</t>
  </si>
  <si>
    <t>CVS September 2026 Puff 4-Pack TPR</t>
  </si>
  <si>
    <t>08e7b9ee-2f68-44a5-d70a-08de5cdc8bfa</t>
  </si>
  <si>
    <t>Earth Fare</t>
  </si>
  <si>
    <t>Earth Fare July 2026 Puff Singles TPR</t>
  </si>
  <si>
    <t>09456ba3-ded2-4bf8-4096-08de5da29cfe</t>
  </si>
  <si>
    <t>Weis Markets</t>
  </si>
  <si>
    <t>Weis Markets September 2026 Puff Singles TPR</t>
  </si>
  <si>
    <t>Club Packs</t>
  </si>
  <si>
    <t>09cff7f1-fdcf-42f0-d71b-08de5cdc8bfa</t>
  </si>
  <si>
    <t>HARMONS NEIGHBORHOOD GROCER</t>
  </si>
  <si>
    <t>HARMONS NEIGHBORHOOD GROCER July 2026 Puff Singles TPR</t>
  </si>
  <si>
    <t>0a583ffb-587f-418b-404d-08de5da29cfe</t>
  </si>
  <si>
    <t>KROGER</t>
  </si>
  <si>
    <t>C1731798</t>
  </si>
  <si>
    <t>KROGER August 2026 Puff Singles TPR</t>
  </si>
  <si>
    <t>0ab759e5-2409-4cb3-d750-08de5cdc8bfa</t>
  </si>
  <si>
    <t>URM Stores</t>
  </si>
  <si>
    <t>URM Stores May 2026 Puff Singles TPR</t>
  </si>
  <si>
    <t>0acec37e-dcf0-41a6-7f7d-08de5da29cfe</t>
  </si>
  <si>
    <t>SCHNUCKS</t>
  </si>
  <si>
    <t>SCHNUCKS July 2026 Puff 4-Pack TPR</t>
  </si>
  <si>
    <t>0b758fb0-ef20-485c-9325-08de5f343061</t>
  </si>
  <si>
    <t>Albertsons United</t>
  </si>
  <si>
    <t>August 2026 2/$5 Singles TPR, 4ct $9.99 TPR</t>
  </si>
  <si>
    <t>0b7ca9a2-4ed3-434f-8625-08de8bfc2efd</t>
  </si>
  <si>
    <t>Albertsons Southwest</t>
  </si>
  <si>
    <t>May 2026 $9.99 TPR + Digital</t>
  </si>
  <si>
    <t>Digital Coupon, TPR</t>
  </si>
  <si>
    <t>0c117327-8631-4180-85d0-08de8bfc2efd</t>
  </si>
  <si>
    <t>April 2026 $1 Digital Coupon</t>
  </si>
  <si>
    <t>0c33557e-c6cf-4537-4059-08de5da29cfe</t>
  </si>
  <si>
    <t>RALPHS July 2026 Puff Singles TPR</t>
  </si>
  <si>
    <t>0c426811-6de1-4a2c-84cd-08de4f7c9ec1</t>
  </si>
  <si>
    <t>September 2026 Puff 4-Pack TPR</t>
  </si>
  <si>
    <t>0c66bb4d-0b3c-42c5-1ed8-08de8bfc2efd</t>
  </si>
  <si>
    <t>Albertsons Southern</t>
  </si>
  <si>
    <t>0c7ea014-fd51-4044-7f1d-08de5da29cfe</t>
  </si>
  <si>
    <t>AWG</t>
  </si>
  <si>
    <t>AWG September 2026 Puff Singles TPR</t>
  </si>
  <si>
    <t>0cbd2bff-0204-4a74-4086-08de5da29cfe</t>
  </si>
  <si>
    <t>WAKEFERN</t>
  </si>
  <si>
    <t>WAKEFERN May 2026 Puff Singles TPR</t>
  </si>
  <si>
    <t>0d5f5d4b-a909-46b0-fb18-08de9bb1b971</t>
  </si>
  <si>
    <t>Albertsons Kings Balducci's</t>
  </si>
  <si>
    <t>February 2026 $9.99 TPR</t>
  </si>
  <si>
    <t>0e417935-5a35-4b85-7a1f-08de9bb1b972</t>
  </si>
  <si>
    <t>September Digital $1 off 4ct</t>
  </si>
  <si>
    <t>Draft</t>
  </si>
  <si>
    <t>0e927ade-7332-42ef-402f-08de5da29cfe</t>
  </si>
  <si>
    <t>CVS September 2026 Puff Singles TPR</t>
  </si>
  <si>
    <t>0f15a8a9-b96e-43c3-7f72-08de5da29cfe</t>
  </si>
  <si>
    <t>SCHNUCKS January 2026 Puff Singles TPR</t>
  </si>
  <si>
    <t>0f345e34-df02-43fd-4028-08de5da29cfe</t>
  </si>
  <si>
    <t>CVS June 2026 Puff 4-Pack TPR</t>
  </si>
  <si>
    <t>108efcbf-5762-459e-4036-08de5da29cfe</t>
  </si>
  <si>
    <t>FRED MEYER</t>
  </si>
  <si>
    <t>FRED MEYER July 2026 Puff Singles TPR</t>
  </si>
  <si>
    <t>11866222-9e44-4e36-4034-08de5da29cfe</t>
  </si>
  <si>
    <t>FRED MEYER January 2026 Puff 4-Pack TPR</t>
  </si>
  <si>
    <t>11dc9729-32c7-4d37-a174-08de89a46b1d</t>
  </si>
  <si>
    <t>Albertsons Portland</t>
  </si>
  <si>
    <t>C1273832</t>
  </si>
  <si>
    <t>October 2026 $9.99 TPR</t>
  </si>
  <si>
    <t>12ca70b4-86c4-4cc3-7f26-08de5da29cfe</t>
  </si>
  <si>
    <t>CASEYS CORP</t>
  </si>
  <si>
    <t>C1091598</t>
  </si>
  <si>
    <t>CASEYS CORP October 2026 Puff Singles TPR</t>
  </si>
  <si>
    <t>13268a2d-95b2-4a62-ceec-08de867ddefc</t>
  </si>
  <si>
    <t>Lowes Foods</t>
  </si>
  <si>
    <t>2026 Ice Cream Shippers</t>
  </si>
  <si>
    <t>Puff 12CT</t>
  </si>
  <si>
    <t/>
  </si>
  <si>
    <t>134926ed-412a-4106-1f3b-08de8bfc2efd</t>
  </si>
  <si>
    <t>July 2026 $9.99 TPR + Ice Cream Shippers</t>
  </si>
  <si>
    <t>13ed00f1-f9cb-484b-7f31-08de5da29cfe</t>
  </si>
  <si>
    <t>CIRCLE K</t>
  </si>
  <si>
    <t>CIRCLE K October 2026 Puff Singles TPR</t>
  </si>
  <si>
    <t>13f44d14-9f52-4c50-b872-08de5ffd5c98</t>
  </si>
  <si>
    <t>Brookshires</t>
  </si>
  <si>
    <t>Brookshires May 2026 2/$5 TPR, $8.99 TPR</t>
  </si>
  <si>
    <t>143de2ad-97c4-4714-d727-08de5cdc8bfa</t>
  </si>
  <si>
    <t>Nugget Market</t>
  </si>
  <si>
    <t>Nugget Market July 2026 Puff Singles TPR</t>
  </si>
  <si>
    <t>14ab90b3-c060-46aa-4154-08de5e781b74</t>
  </si>
  <si>
    <t>January 2026 2/$5 TPR + Digital, $9.99 4ct TPR + Digital</t>
  </si>
  <si>
    <t>14b399c7-2126-4078-7f74-08de5da29cfe</t>
  </si>
  <si>
    <t>SCHNUCKS April 2026 Puff Singles TPR</t>
  </si>
  <si>
    <t>15e9920b-130b-4f6e-4095-08de5da29cfe</t>
  </si>
  <si>
    <t>Weis Markets October 2026 Puff 4-Pack TPR</t>
  </si>
  <si>
    <t>15ea365b-2347-4253-d739-08de5cdc8bfa</t>
  </si>
  <si>
    <t>SMART &amp; FINAL</t>
  </si>
  <si>
    <t>C1293413</t>
  </si>
  <si>
    <t>SMART &amp; FINAL March 2026 Puff Singles TPR</t>
  </si>
  <si>
    <t>15f201a0-0a54-4d5c-f0e3-08de8bfc2efc</t>
  </si>
  <si>
    <t>Albertsons SoCal</t>
  </si>
  <si>
    <t>May 2026 $9.99 + Digital</t>
  </si>
  <si>
    <t>1669a05b-914d-4b7a-7f5b-08de5da29cfe</t>
  </si>
  <si>
    <t>JACKSONS</t>
  </si>
  <si>
    <t>JACKSONS June 2026 Puff Singles TPR</t>
  </si>
  <si>
    <t>17198652-bba9-4077-d72c-08de5cdc8bfa</t>
  </si>
  <si>
    <t>Raleys</t>
  </si>
  <si>
    <t>Raleys July 2026 Puff Singles TPR</t>
  </si>
  <si>
    <t>172f48c6-140d-4932-7f6d-08de5da29cfe</t>
  </si>
  <si>
    <t>Pitco</t>
  </si>
  <si>
    <t>Pitco July 2026 Puff Singles TPR</t>
  </si>
  <si>
    <t>176c1535-9dc2-4ea6-a0f5-08de89a46b1d</t>
  </si>
  <si>
    <t>March 2026 $9.99 National Event TPR</t>
  </si>
  <si>
    <t>178815c3-249b-48cf-6363-08de5da29cfe</t>
  </si>
  <si>
    <t>Atlantis</t>
  </si>
  <si>
    <t>Atlantis September 2026 TPR</t>
  </si>
  <si>
    <t>18643067-829e-47bb-407e-08de5da29cfe</t>
  </si>
  <si>
    <t>VITAMIN SHOPPE February 2026 Puff Singles TPR</t>
  </si>
  <si>
    <t>187b4d40-d048-424e-405d-08de5da29cfe</t>
  </si>
  <si>
    <t>RALPHS September 2026 Puff 4-Pack TPR</t>
  </si>
  <si>
    <t>18d77069-dcec-4b19-c70b-08de96343d89</t>
  </si>
  <si>
    <t>October 4ct TPR</t>
  </si>
  <si>
    <t>19b0d63e-c078-4ebf-84c8-08de4f7c9ec1</t>
  </si>
  <si>
    <t>November 2026 Puff Singles BOGO</t>
  </si>
  <si>
    <t>BOGO</t>
  </si>
  <si>
    <t>19d37f0b-c45d-44ed-08af-08deb27c50a3</t>
  </si>
  <si>
    <t>Sam's Club</t>
  </si>
  <si>
    <t>C0761166</t>
  </si>
  <si>
    <t>Sam's August 2026 ISB</t>
  </si>
  <si>
    <t>Ad, Digital Coupon</t>
  </si>
  <si>
    <t>19def1dc-fae4-40bd-7f33-08de5da29cfe</t>
  </si>
  <si>
    <t>Dierbergs April 2026 Puff Singles TPR</t>
  </si>
  <si>
    <t>1a36ef6c-f2ff-4975-4087-08de5da29cfe</t>
  </si>
  <si>
    <t>WAKEFERN September 2026 Puff Singles TPR</t>
  </si>
  <si>
    <t>1b338b76-e61a-4c5e-84c6-08de4f7c9ec1</t>
  </si>
  <si>
    <t>June 2026 Puff Singles 2/$4 TPR + Ice Cream Shippers</t>
  </si>
  <si>
    <t>1b806ec8-d875-4fed-4052-08de5da29cfe</t>
  </si>
  <si>
    <t>KROGER May 2026 Puff Singles TPR</t>
  </si>
  <si>
    <t>1baf658a-dc67-4908-7f85-08de5da29cfe</t>
  </si>
  <si>
    <t>TOWN PUMP</t>
  </si>
  <si>
    <t>TOWN PUMP July 2026 Puff Singles TPR</t>
  </si>
  <si>
    <t>1c27dc67-061f-4b65-7f4e-08de5da29cfe</t>
  </si>
  <si>
    <t>HY-VEE</t>
  </si>
  <si>
    <t>C0761120</t>
  </si>
  <si>
    <t>HY-VEE May 2026 Puff Singles TPR</t>
  </si>
  <si>
    <t>1e0e1bb4-399d-4b0b-d737-08de5cdc8bfa</t>
  </si>
  <si>
    <t>SAVE MART September 2026 Puff 4-Pack TPR</t>
  </si>
  <si>
    <t>1e15d33f-aae4-484d-4022-08de5da29cfe</t>
  </si>
  <si>
    <t>CVS February 2026 Puff 4-Pack TPR</t>
  </si>
  <si>
    <t>1e533f3b-5909-4bae-401f-08de5da29cfe</t>
  </si>
  <si>
    <t>BIG Y</t>
  </si>
  <si>
    <t>BIG Y May 2026 Puff Singles TPR</t>
  </si>
  <si>
    <t>1e65f4ec-f30c-443a-407f-08de5da29cfe</t>
  </si>
  <si>
    <t>VITAMIN SHOPPE January 2026 Puff Singles TPR</t>
  </si>
  <si>
    <t>1f82a94f-ff3f-4844-6383-08de5da29cfe</t>
  </si>
  <si>
    <t>MEIJER</t>
  </si>
  <si>
    <t>C0885559</t>
  </si>
  <si>
    <t>MEIJER September 2026 TPR</t>
  </si>
  <si>
    <t>202f4157-0c26-4306-7f53-08de5da29cfe</t>
  </si>
  <si>
    <t>HY-VEE FAST &amp; FRESH</t>
  </si>
  <si>
    <t>HY-VEE FAST &amp; FRESH February 2026 Puff Singles TPR</t>
  </si>
  <si>
    <t>20483dd9-aaf2-4679-d720-08de5cdc8bfa</t>
  </si>
  <si>
    <t>LANL</t>
  </si>
  <si>
    <t>LANL June 2026 Puff Singles TPR</t>
  </si>
  <si>
    <t>20eb276a-4562-496b-d751-08de5cdc8bfa</t>
  </si>
  <si>
    <t>URM Stores August 2026 Puff Singles TPR</t>
  </si>
  <si>
    <t>21332c7e-b7ab-4c55-7f4d-08de5da29cfe</t>
  </si>
  <si>
    <t>HY-VEE January 2026 Puff Singles TPR</t>
  </si>
  <si>
    <t>21653f59-4a88-4772-626a-08de6afe834a</t>
  </si>
  <si>
    <t>Albertsons Jewel Osco</t>
  </si>
  <si>
    <t>April 2026 $1 off Digital</t>
  </si>
  <si>
    <t>22ee9730-d96b-4f21-7f6a-08de5da29cfe</t>
  </si>
  <si>
    <t>MAVERIK</t>
  </si>
  <si>
    <t>MAVERIK August 2026 Puff Singles TPR</t>
  </si>
  <si>
    <t>23af6220-8367-45b2-84ca-08de4f7c9ec1</t>
  </si>
  <si>
    <t>March 2026 Puff 4-Pack TPR</t>
  </si>
  <si>
    <t>24376e4b-c1e7-4e37-a30e-08de68a1a1f2</t>
  </si>
  <si>
    <t>Food City</t>
  </si>
  <si>
    <t>C2136258</t>
  </si>
  <si>
    <t>2026 Food City EDLP $.07 Single Puffs</t>
  </si>
  <si>
    <t>24b5fe9a-6214-4493-d73d-08de5cdc8bfa</t>
  </si>
  <si>
    <t>SMART &amp; FINAL October 2026 Puff Singles TPR</t>
  </si>
  <si>
    <t>24d4d03d-96f9-418a-1f1f-08de8bfc2efd</t>
  </si>
  <si>
    <t>May 2026 $9.99 TPR + Digital Minions Shippers</t>
  </si>
  <si>
    <t>24fd0de7-59ca-4039-7475-08de8a6b9689</t>
  </si>
  <si>
    <t>Minions Shippers</t>
  </si>
  <si>
    <t>Scan</t>
  </si>
  <si>
    <t>25ed3c3f-a8c2-464e-d74f-08de5cdc8bfa</t>
  </si>
  <si>
    <t>URM Stores February 2026 Puff Singles TPR</t>
  </si>
  <si>
    <t>29459027-0951-4288-6397-08de5da29cfe</t>
  </si>
  <si>
    <t>WAWA</t>
  </si>
  <si>
    <t>WAWA July 2026 TPR</t>
  </si>
  <si>
    <t>PDQ, TPR</t>
  </si>
  <si>
    <t>29a4d9a0-f256-49c5-408d-08de5da29cfe</t>
  </si>
  <si>
    <t>WEGMANS</t>
  </si>
  <si>
    <t>WEGMANS March 2026 TPR</t>
  </si>
  <si>
    <t>29af400e-bddc-415d-7f44-08de5da29cfe</t>
  </si>
  <si>
    <t>Harbor Wholesale</t>
  </si>
  <si>
    <t>Harbor Wholesale July 2026 Puff Singles TPR</t>
  </si>
  <si>
    <t>2a42f3c0-84bc-4a29-7f81-08de5da29cfe</t>
  </si>
  <si>
    <t>TERRIBLES</t>
  </si>
  <si>
    <t>TERRIBLES June 2026 Puff Singles TPR</t>
  </si>
  <si>
    <t>2a4c3e60-059b-48ad-c53f-08deaad040d4</t>
  </si>
  <si>
    <t>Costco</t>
  </si>
  <si>
    <t>C0761172</t>
  </si>
  <si>
    <t>Costco January 2026 $4 TPD</t>
  </si>
  <si>
    <t>50% Off</t>
  </si>
  <si>
    <t>2acf342c-022c-40f9-7f24-08de5da29cfe</t>
  </si>
  <si>
    <t>CASEYS CORP June 2026 Puff Singles TPR</t>
  </si>
  <si>
    <t>2ad9ea0e-174b-48c1-4064-08de5da29cfe</t>
  </si>
  <si>
    <t>SMITHS</t>
  </si>
  <si>
    <t>SMITHS March 2026 Puff 4-Pack TPR</t>
  </si>
  <si>
    <t>2b1cb657-fc27-431f-6270-08de6afe834a</t>
  </si>
  <si>
    <t>2bd927cd-43f3-454e-7f2e-08de5da29cfe</t>
  </si>
  <si>
    <t>CIRCLE K March 2026 Puff Singles TPR</t>
  </si>
  <si>
    <t>2be8fab2-29c0-4461-b4de-08de8bfc2efc</t>
  </si>
  <si>
    <t>Albertsons Seattle</t>
  </si>
  <si>
    <t>2c1e9361-a0c1-4214-4152-08de5e781b74</t>
  </si>
  <si>
    <t>Albertsons Haggen</t>
  </si>
  <si>
    <t>July 2026 2/$5 TPR</t>
  </si>
  <si>
    <t>2c2f44c3-47ec-474e-0939-08deb27c50a3</t>
  </si>
  <si>
    <t>Sam's Black Friday 2026 Deal</t>
  </si>
  <si>
    <t>2cfe24d6-68a2-4037-6382-08de5da29cfe</t>
  </si>
  <si>
    <t>MEIJER August 2026 TPR</t>
  </si>
  <si>
    <t>2d8c592f-b02f-4b07-7f7e-08de5da29cfe</t>
  </si>
  <si>
    <t>SCHNUCKS August 2026 Puff 4-Pack TPR</t>
  </si>
  <si>
    <t>2dfba802-539e-46e3-d715-08de5cdc8bfa</t>
  </si>
  <si>
    <t>GELSONS</t>
  </si>
  <si>
    <t>GELSONS February 2026 Puff 4-Pack TPR</t>
  </si>
  <si>
    <t>2e4528d2-f087-498f-1f5e-08de8bfc2efd</t>
  </si>
  <si>
    <t>2ef74cb0-b0b1-4c53-405c-08de5da29cfe</t>
  </si>
  <si>
    <t>RALPHS October 2026 Puff 4-Pack TPR</t>
  </si>
  <si>
    <t>2f465c38-55f3-481a-d724-08de5cdc8bfa</t>
  </si>
  <si>
    <t>New Seasons</t>
  </si>
  <si>
    <t>New Seasons September 2026 Puff Singles TPR</t>
  </si>
  <si>
    <t>2fb95df3-50c8-4061-6702-08de5e781b74</t>
  </si>
  <si>
    <t>Food 4 Less</t>
  </si>
  <si>
    <t>Food 4 Less January 2026 TPR</t>
  </si>
  <si>
    <t>2fd65a4b-071f-451d-d710-08de5cdc8bfa</t>
  </si>
  <si>
    <t>Fresh Thyme</t>
  </si>
  <si>
    <t>Fresh Thyme January 2027 Puff Singles TPR</t>
  </si>
  <si>
    <t>304e9ad3-0277-4ddd-1f4f-08de8bfc2efd</t>
  </si>
  <si>
    <t>August 2026 $8.99 TPR</t>
  </si>
  <si>
    <t>30896a63-4efc-439c-4c87-08de89a46b1d</t>
  </si>
  <si>
    <t>Albertsons Intermountain</t>
  </si>
  <si>
    <t>30b969db-5507-4e24-4092-08de5da29cfe</t>
  </si>
  <si>
    <t>Weis Markets January 2026 Puff Singles TPR</t>
  </si>
  <si>
    <t>3114a86a-3dee-4a1e-9ffd-08de4f7c9ec1</t>
  </si>
  <si>
    <t>HEB January 2026 4 Pack Coupon</t>
  </si>
  <si>
    <t>$1 Off</t>
  </si>
  <si>
    <t>31db6a74-e67a-4566-404e-08de5da29cfe</t>
  </si>
  <si>
    <t>KROGER December 2026 Puff Singles TPR</t>
  </si>
  <si>
    <t>32001408-ee36-4fed-c4c6-08de7ea07320</t>
  </si>
  <si>
    <t>2026 Front End Program Q2</t>
  </si>
  <si>
    <t>End Cap</t>
  </si>
  <si>
    <t>320a4fa1-29bb-4adb-4c88-08de89a46b1d</t>
  </si>
  <si>
    <t>325168b7-d603-4783-4091-08de5da29cfe</t>
  </si>
  <si>
    <t>Weis Markets February 2026 Puff 4-Pack TPR</t>
  </si>
  <si>
    <t>32b14a71-c534-49fe-7f2b-08de5da29cfe</t>
  </si>
  <si>
    <t>CERTCO INC. February 2026 Puff 4-Pack TPR</t>
  </si>
  <si>
    <t>32d54fad-bf0a-44ec-7f1e-08de5da29cfe</t>
  </si>
  <si>
    <t>AWG March 2026 Puff 4-Pack TPR</t>
  </si>
  <si>
    <t>3341c6c5-e5d6-4ccd-a16c-08de89a46b1d</t>
  </si>
  <si>
    <t>3376394e-d104-4c6d-d732-08de5cdc8bfa</t>
  </si>
  <si>
    <t>SAVE MART May 2026 Puff Singles TPR</t>
  </si>
  <si>
    <t>34d5ba0c-a17f-407a-6372-08de5da29cfe</t>
  </si>
  <si>
    <t>Follett</t>
  </si>
  <si>
    <t>Follett April 2026 TPR</t>
  </si>
  <si>
    <t>3515c3ba-47b6-4f7d-4079-08de5da29cfe</t>
  </si>
  <si>
    <t>TOPS</t>
  </si>
  <si>
    <t>TOPS May 2026 Puff Singles TPR</t>
  </si>
  <si>
    <t>352c657b-5017-4a2b-d717-08de5cdc8bfa</t>
  </si>
  <si>
    <t>GELSONS July 2026 Puff 4-Pack TPR</t>
  </si>
  <si>
    <t>353c2e5b-c47c-4fa3-7f47-08de5da29cfe</t>
  </si>
  <si>
    <t>Holiday Oil</t>
  </si>
  <si>
    <t>Holiday Oil March 2026 Puff Singles TPR</t>
  </si>
  <si>
    <t>Puff 8CT</t>
  </si>
  <si>
    <t>35c2b257-4e30-48fb-407b-08de5da29cfe</t>
  </si>
  <si>
    <t>VITAMIN SHOPPE April 2026 Puff Singles TPR</t>
  </si>
  <si>
    <t>35c94da8-277d-4dda-d752-08de5cdc8bfa</t>
  </si>
  <si>
    <t>URM Stores October 2026 Puff Singles TPR</t>
  </si>
  <si>
    <t>36b15e0a-d5ec-4557-4054-08de5da29cfe</t>
  </si>
  <si>
    <t>KROGER October 2026 Puff 4-Pack TPR</t>
  </si>
  <si>
    <t>386b2c7d-53dc-45c1-6368-08de5da29cfe</t>
  </si>
  <si>
    <t>Bolla September 2026 TPR</t>
  </si>
  <si>
    <t>39161036-837d-4e07-4043-08de5da29cfe</t>
  </si>
  <si>
    <t>HARRIS TEETER</t>
  </si>
  <si>
    <t>C1173695</t>
  </si>
  <si>
    <t>HARRIS TEETER July 2026 Puff Singles TPR</t>
  </si>
  <si>
    <t>394ae2a2-b803-4cc5-637a-08de5da29cfe</t>
  </si>
  <si>
    <t>Hudson News</t>
  </si>
  <si>
    <t>Hudson News March 2026 TPR</t>
  </si>
  <si>
    <t>Ad</t>
  </si>
  <si>
    <t>3a95f614-49d0-484e-08b1-08de84ec3490</t>
  </si>
  <si>
    <t>February 2026 $8.99 TPR</t>
  </si>
  <si>
    <t>3b23f9ac-9431-4e67-7f64-08de5da29cfe</t>
  </si>
  <si>
    <t>Loop February 2026 Puff Singles TPR</t>
  </si>
  <si>
    <t>3b74de82-4e19-4da2-4080-08de5da29cfe</t>
  </si>
  <si>
    <t>VITAMIN SHOPPE July 2026 Puff Singles TPR</t>
  </si>
  <si>
    <t>3c2c3481-e83e-4cab-eaa1-08de5cdc8bfa</t>
  </si>
  <si>
    <t>Save Mart May 2026 $1 Digital Coupon</t>
  </si>
  <si>
    <t>3c873633-8e87-45c2-84c4-08de4f7c9ec1</t>
  </si>
  <si>
    <t>April 2026 Puff Singles 2/$4 TPR + Shippers</t>
  </si>
  <si>
    <t>3d5e74a6-b235-4f04-d705-08de5cdc8bfa</t>
  </si>
  <si>
    <t>ASSOCIATED FOOD STORES, INC.</t>
  </si>
  <si>
    <t>C0000493</t>
  </si>
  <si>
    <t>ASSOCIATED FOOD STORES, INC. May 2026 Puff 4-Pack TPR</t>
  </si>
  <si>
    <t>3d714578-961a-4513-7f86-08de5da29cfe</t>
  </si>
  <si>
    <t>TOWN PUMP August 2026 Puff Singles TPR</t>
  </si>
  <si>
    <t>3e16c17f-38ff-431d-7946-08de89a46b1d</t>
  </si>
  <si>
    <t>3eb01f61-f172-4d2b-638d-08de5da29cfe</t>
  </si>
  <si>
    <t>SPARTAN NASH</t>
  </si>
  <si>
    <t>C1110879</t>
  </si>
  <si>
    <t>SPARTAN NASH March 2026 TPR</t>
  </si>
  <si>
    <t>401b4e3d-698a-4a97-d75b-08de5cdc8bfa</t>
  </si>
  <si>
    <t>Yokes</t>
  </si>
  <si>
    <t>Yokes February 2026 Puff Singles TPR</t>
  </si>
  <si>
    <t>403e94b6-0e3f-46ab-3d26-08de59e8eae0</t>
  </si>
  <si>
    <t>BJ's WholeSale Club, Inc</t>
  </si>
  <si>
    <t>C1772235</t>
  </si>
  <si>
    <t>BJ's February 2026 13 count Coupon</t>
  </si>
  <si>
    <t>417f62d6-07a4-47f9-6371-08de5da29cfe</t>
  </si>
  <si>
    <t>Follett January 2026 TPR</t>
  </si>
  <si>
    <t>41eb9585-9ba0-48eb-7f59-08de5da29cfe</t>
  </si>
  <si>
    <t>JACKSONS February 2026 Puff Singles TPR</t>
  </si>
  <si>
    <t>42086b6d-6d03-4a51-84c3-08de4f7c9ec1</t>
  </si>
  <si>
    <t>January 2026 Puff Singles BOGO</t>
  </si>
  <si>
    <t>42714f44-f66a-4e15-7f60-08de5da29cfe</t>
  </si>
  <si>
    <t>KWIK TRIP</t>
  </si>
  <si>
    <t>KWIK TRIP July 2026 Puff Singles TPR</t>
  </si>
  <si>
    <t>4371acfc-7808-41c6-408b-08de5da29cfe</t>
  </si>
  <si>
    <t>Walgreens October 2026 Puff Singles TPR</t>
  </si>
  <si>
    <t>43896804-b656-406e-d726-08de5cdc8bfa</t>
  </si>
  <si>
    <t>Nugget Market May 2026 Puff Singles TPR</t>
  </si>
  <si>
    <t>4436c3e1-d708-4ab8-4030-08de5da29cfe</t>
  </si>
  <si>
    <t>FRED MEYER August 2026 Puff 4-Pack TPR</t>
  </si>
  <si>
    <t>44d330e8-cddd-4c65-406a-08de5da29cfe</t>
  </si>
  <si>
    <t>STOP &amp; SHOP</t>
  </si>
  <si>
    <t>STOP &amp; SHOP July 2026 Puff Singles TPR</t>
  </si>
  <si>
    <t>45932ab8-1bef-4c5f-4999-08de6afe834a</t>
  </si>
  <si>
    <t>May 2026 $8.99 TPR + Minions Shippers</t>
  </si>
  <si>
    <t>4642f448-a554-4650-7f3f-08de5da29cfe</t>
  </si>
  <si>
    <t>FESTIVAL FOODS</t>
  </si>
  <si>
    <t>FESTIVAL FOODS February 2026 Puff Singles TPR</t>
  </si>
  <si>
    <t>466d1e38-6659-4c9d-84ba-08de4f7c9ec1</t>
  </si>
  <si>
    <t>Albertsons Corporate</t>
  </si>
  <si>
    <t>March 2026 National Event</t>
  </si>
  <si>
    <t>Family AD, TPR</t>
  </si>
  <si>
    <t>46705eda-4c51-413a-794d-08de89a46b1d</t>
  </si>
  <si>
    <t>46910194-3be6-4e9c-403c-08de5da29cfe</t>
  </si>
  <si>
    <t>Giant Foods</t>
  </si>
  <si>
    <t>Giant Foods April 2026 Puff Singles TPR</t>
  </si>
  <si>
    <t>48680b6a-f0f9-42d8-4155-08de5e781b74</t>
  </si>
  <si>
    <t>February 2026 2/$5 TPR, $9.49 4ct</t>
  </si>
  <si>
    <t>48a84b9e-49b9-47c6-7f32-08de5da29cfe</t>
  </si>
  <si>
    <t>Dierbergs January 2026 Puff Singles TPR</t>
  </si>
  <si>
    <t>499e65bf-4918-459b-84cb-08de4f7c9ec1</t>
  </si>
  <si>
    <t>May 2026 Puff 4-Pack TPR</t>
  </si>
  <si>
    <t>4af2fb72-6bba-4dea-d741-08de5cdc8bfa</t>
  </si>
  <si>
    <t>SPROUTS</t>
  </si>
  <si>
    <t>SPROUTS August 2026 Puff Singles TPR</t>
  </si>
  <si>
    <t>4c6a999e-50d7-492a-d722-08de5cdc8bfa</t>
  </si>
  <si>
    <t>New Seasons January 2026 Puff Singles TPR</t>
  </si>
  <si>
    <t>4c7f0e54-9be4-4932-c50e-08de7ea07320</t>
  </si>
  <si>
    <t>2026 Front End Program Q4</t>
  </si>
  <si>
    <t>4d0f68b5-719a-46fc-91e7-08de5f343061</t>
  </si>
  <si>
    <t>June 2026 $1 off Digital - Singles &amp; 4ct + Ice Cream Shippers</t>
  </si>
  <si>
    <t>4e4b41a5-93b1-498b-4044-08de5da29cfe</t>
  </si>
  <si>
    <t>HARRIS TEETER October 2026 Puff Singles TPR</t>
  </si>
  <si>
    <t>4e8784ff-0c84-4377-b473-08de8bfc2efc</t>
  </si>
  <si>
    <t>4eb344d2-2a28-4294-7f62-08de5da29cfe</t>
  </si>
  <si>
    <t>KWIK TRIP October 2026 Puff Singles TPR</t>
  </si>
  <si>
    <t>4f6a7a79-0ef4-4b1b-0d2d-08de84ec3490</t>
  </si>
  <si>
    <t>Albertsons Denver</t>
  </si>
  <si>
    <t>50261589-fd43-4a90-50cb-08de995a2f38</t>
  </si>
  <si>
    <t>Brookshire Brothers</t>
  </si>
  <si>
    <t>April 2026 TPR 2/$4</t>
  </si>
  <si>
    <t>506b8b03-a75f-46e6-504a-08de60202b43</t>
  </si>
  <si>
    <t>HEB 2026 4ct EDLP</t>
  </si>
  <si>
    <t>50d6d3b2-562b-4f53-c70a-08de96343d89</t>
  </si>
  <si>
    <t>August 4ct TPR</t>
  </si>
  <si>
    <t>510f627f-9caa-4a1b-4075-08de5da29cfe</t>
  </si>
  <si>
    <t>THE GIANT COMPANY October 2026 Puff 4-Pack TPR</t>
  </si>
  <si>
    <t>513cf06b-0469-422a-4093-08de5da29cfe</t>
  </si>
  <si>
    <t>Weis Markets July 2026 Puff Singles TPR</t>
  </si>
  <si>
    <t>518d5616-25cc-4c66-ac41-08de73a3536f</t>
  </si>
  <si>
    <t>UNFI Summer Show Shippers Haggen - August 2026</t>
  </si>
  <si>
    <t>OI</t>
  </si>
  <si>
    <t>529ca8b6-901c-4c06-010f-08de785b89df</t>
  </si>
  <si>
    <t>February 2026 Sour Shippers</t>
  </si>
  <si>
    <t>PDQ</t>
  </si>
  <si>
    <t>52be53bb-23f6-4de5-637b-08de5da29cfe</t>
  </si>
  <si>
    <t>Hudson News August 2026 TPR</t>
  </si>
  <si>
    <t>52df2653-0b90-4ebf-6396-08de5da29cfe</t>
  </si>
  <si>
    <t>WAWA March 2026 TPR</t>
  </si>
  <si>
    <t>53d8e9d7-94f2-45f5-d756-08de5cdc8bfa</t>
  </si>
  <si>
    <t>WINCO</t>
  </si>
  <si>
    <t>C0761178</t>
  </si>
  <si>
    <t>WINCO August 2026 Puff Singles TPR</t>
  </si>
  <si>
    <t>543f9125-9ce4-49fc-404b-08de5da29cfe</t>
  </si>
  <si>
    <t>King Soopers</t>
  </si>
  <si>
    <t>King Soopers September 2026 Puff 4-Pack TPR</t>
  </si>
  <si>
    <t>54465a28-83e4-4a27-85a1-08de8bfc2efd</t>
  </si>
  <si>
    <t>54dc5aa8-ca94-4b90-7f45-08de5da29cfe</t>
  </si>
  <si>
    <t>Harbor Wholesale September 2026 Puff Singles TPR</t>
  </si>
  <si>
    <t>54f1165b-a886-44da-d725-08de5cdc8bfa</t>
  </si>
  <si>
    <t>Nugget Market February 2026 Puff Singles TPR</t>
  </si>
  <si>
    <t>55f1ace1-fd58-4bfc-d72b-08de5cdc8bfa</t>
  </si>
  <si>
    <t>Raleys September 2026 Puff Singles TPR</t>
  </si>
  <si>
    <t>5616cd2f-9107-4c9c-a080-08de89a46b1d</t>
  </si>
  <si>
    <t>5668ef56-ccef-436c-d73b-08de5cdc8bfa</t>
  </si>
  <si>
    <t>SMART &amp; FINAL July 2026 Puff Singles TPR</t>
  </si>
  <si>
    <t>5677d035-9d6b-409f-d712-08de5cdc8bfa</t>
  </si>
  <si>
    <t>GELSONS June 2026 Puff Singles TPR</t>
  </si>
  <si>
    <t>56eab6cd-315b-4a1b-66ce-08de80fef5fa</t>
  </si>
  <si>
    <t>TARGET CORPORATION</t>
  </si>
  <si>
    <t>C1714537</t>
  </si>
  <si>
    <t>BOGO 25%</t>
  </si>
  <si>
    <t>50% Off, BOGO</t>
  </si>
  <si>
    <t>571326e9-1d15-4cc2-f82d-08de785b89de</t>
  </si>
  <si>
    <t>April 2026 Sour Shippers</t>
  </si>
  <si>
    <t>57d7e629-c763-49b5-7f23-08de5da29cfe</t>
  </si>
  <si>
    <t>CASEYS CORP May 2026 Puff Singles TPR</t>
  </si>
  <si>
    <t>58f095c2-ac25-4409-8639-08de8bfc2efd</t>
  </si>
  <si>
    <t>59a7fa71-0636-47eb-a15a-08de89a46b1d</t>
  </si>
  <si>
    <t>5adaf6dc-cd86-4d58-7f4f-08de5da29cfe</t>
  </si>
  <si>
    <t>HY-VEE July 2026 Puff Singles TPR</t>
  </si>
  <si>
    <t>5afd7547-626e-492a-7f4a-08de5da29cfe</t>
  </si>
  <si>
    <t>Holiday Oil August 2026 Puff Singles TPR</t>
  </si>
  <si>
    <t>5b444e62-9a1d-41c3-7f30-08de5da29cfe</t>
  </si>
  <si>
    <t>CIRCLE K September 2026 Puff Singles TPR</t>
  </si>
  <si>
    <t>5b693593-cea0-4f95-408c-08de5da29cfe</t>
  </si>
  <si>
    <t>WEGMANS February 2026 TPR</t>
  </si>
  <si>
    <t>5b6fdc99-2d96-4d7e-6384-08de5da29cfe</t>
  </si>
  <si>
    <t>MEIJER October 2026 TPR</t>
  </si>
  <si>
    <t>5ba3a76c-d568-4638-4067-08de5da29cfe</t>
  </si>
  <si>
    <t>STOP &amp; SHOP August 2026 Puff 4-Pack TPR</t>
  </si>
  <si>
    <t>5ba507ac-3e3a-47be-d74e-08de5cdc8bfa</t>
  </si>
  <si>
    <t>Town and Country</t>
  </si>
  <si>
    <t>Town and Country August 2026 Puff Singles TPR</t>
  </si>
  <si>
    <t>5c5194d3-a409-44db-6704-08de5e781b74</t>
  </si>
  <si>
    <t>Food 4 Less June 2026 TPR</t>
  </si>
  <si>
    <t>5ce896e3-322c-4194-7f58-08de5da29cfe</t>
  </si>
  <si>
    <t>JACKSONS January 2026 Puff Singles TPR</t>
  </si>
  <si>
    <t>5dca7b47-43fe-4960-7f8a-08de5da29cfe</t>
  </si>
  <si>
    <t>UNITED PACIFIC</t>
  </si>
  <si>
    <t>UNITED PACIFIC August 2026 Puff Singles TPR</t>
  </si>
  <si>
    <t>5de07884-adba-4b38-d723-08de5cdc8bfa</t>
  </si>
  <si>
    <t>New Seasons May 2026 Puff Singles TPR</t>
  </si>
  <si>
    <t>5de4f2da-7127-4602-405a-08de5da29cfe</t>
  </si>
  <si>
    <t>RALPHS March 2026 Puff 4-Pack TPR</t>
  </si>
  <si>
    <t>5dec8863-69e1-41f0-4072-08de5da29cfe</t>
  </si>
  <si>
    <t>THE GIANT COMPANY January 2026 Puff Singles TPR</t>
  </si>
  <si>
    <t>5def8f37-8bb4-497a-d75e-08de5cdc8bfa</t>
  </si>
  <si>
    <t>Yokes October 2026 Puff Singles TPR</t>
  </si>
  <si>
    <t>5e0324e0-7c81-4bcc-4068-08de5da29cfe</t>
  </si>
  <si>
    <t>STOP &amp; SHOP February 2026 Puff 4-Pack TPR</t>
  </si>
  <si>
    <t>5e2dc057-7d2a-483a-4058-08de5da29cfe</t>
  </si>
  <si>
    <t>RALPHS February 2026 Puff Singles TPR</t>
  </si>
  <si>
    <t>5e3aec75-a8f9-4aa1-d6ff-08de5cdc8bfa</t>
  </si>
  <si>
    <t>ASSOCIATED FOOD STORES, INC. January 2026 Puff Singles TPR</t>
  </si>
  <si>
    <t>5e4a2c75-2910-471f-d745-08de5cdc8bfa</t>
  </si>
  <si>
    <t>Super1</t>
  </si>
  <si>
    <t>Super1 August 2026 Puff Singles TPR</t>
  </si>
  <si>
    <t>5e8c9a62-479f-4038-c68c-08ded76b20c5</t>
  </si>
  <si>
    <t>2026 September 20% off Multipacks</t>
  </si>
  <si>
    <t>6091ef3a-5b21-41b4-d73c-08de5cdc8bfa</t>
  </si>
  <si>
    <t>SMART &amp; FINAL September 2026 Puff Singles TPR</t>
  </si>
  <si>
    <t>615b4a4c-b9a4-4acd-7f55-08de5da29cfe</t>
  </si>
  <si>
    <t>HY-VEE FAST &amp; FRESH June 2026 Puff Singles TPR</t>
  </si>
  <si>
    <t>617bc40f-9652-4c3e-7f2a-08de5da29cfe</t>
  </si>
  <si>
    <t>CERTCO INC. October 2026 Puff Singles TPR</t>
  </si>
  <si>
    <t>61a265be-c7bc-42c2-4083-08de5da29cfe</t>
  </si>
  <si>
    <t>WAKEFERN January 2026 Puff Singles TPR</t>
  </si>
  <si>
    <t>61bda73d-01b2-4534-c244-08de8bfc2efc</t>
  </si>
  <si>
    <t>622d8657-8099-4dd5-7f51-08de5da29cfe</t>
  </si>
  <si>
    <t>HY-VEE November 2026 Puff Singles TPR</t>
  </si>
  <si>
    <t>64272940-6a3c-41cf-c67b-08ded76b20c5</t>
  </si>
  <si>
    <t>2026 September BOGO Singles</t>
  </si>
  <si>
    <t>65b26af2-0faf-45f3-4021-08de5da29cfe</t>
  </si>
  <si>
    <t>CVS August 2026 Puff Singles TPR</t>
  </si>
  <si>
    <t>66026b11-8134-425e-7f36-08de5da29cfe</t>
  </si>
  <si>
    <t>Dierbergs February 2026 Puff 4-Pack TPR</t>
  </si>
  <si>
    <t>662c140b-2860-4c28-d31f-08de74731913</t>
  </si>
  <si>
    <t>BOGO 30%</t>
  </si>
  <si>
    <t>66407c33-1f54-4653-4156-08de5e781b74</t>
  </si>
  <si>
    <t>March 2026 2/$5 Sours Only TPR + $1 Digital all others, $9.99 4ct</t>
  </si>
  <si>
    <t>66b05127-6429-4022-a0d4-08de89a46b1d</t>
  </si>
  <si>
    <t>April 2026 $1 off Digital Coupon</t>
  </si>
  <si>
    <t>66b3f0d6-25f1-472d-7f7a-08de5da29cfe</t>
  </si>
  <si>
    <t>SCHNUCKS April 2026 Puff 4-Pack TPR</t>
  </si>
  <si>
    <t>671ef027-8a6a-4d69-d729-08de5cdc8bfa</t>
  </si>
  <si>
    <t>Raleys February 2026 Puff Singles TPR</t>
  </si>
  <si>
    <t>6807ace8-93de-4d5c-4159-08de5e781b74</t>
  </si>
  <si>
    <t>Brookshires February 2026 2/$5 TPR, $8.99 TPR</t>
  </si>
  <si>
    <t>683694be-8c1e-4b1f-d704-08de5cdc8bfa</t>
  </si>
  <si>
    <t>ASSOCIATED FOOD STORES, INC. February 2026 Puff 4-Pack TPR</t>
  </si>
  <si>
    <t>688520e5-b43b-4f13-6391-08de5da29cfe</t>
  </si>
  <si>
    <t>SPARTAN NASH July 2026 TPR</t>
  </si>
  <si>
    <t>69c85c09-e7b8-4096-d70d-08de5cdc8bfa</t>
  </si>
  <si>
    <t>Fresh Thyme April 2026 Puff Singles TPR</t>
  </si>
  <si>
    <t>6a7a4c14-2e98-4f7f-7f6b-08de5da29cfe</t>
  </si>
  <si>
    <t>MAVERIK November 2026 Puff Singles TPR</t>
  </si>
  <si>
    <t>6b2ca68e-6a48-4a4a-4035-08de5da29cfe</t>
  </si>
  <si>
    <t>FRED MEYER July 2026 Puff 4-Pack TPR</t>
  </si>
  <si>
    <t>6b2dae91-871a-4fb6-d742-08de5cdc8bfa</t>
  </si>
  <si>
    <t>SPROUTS October 2026 Puff Singles TPR</t>
  </si>
  <si>
    <t>6bb64f1b-bd6a-4e4a-7f41-08de5da29cfe</t>
  </si>
  <si>
    <t>FESTIVAL FOODS July 2026 Puff Singles TPR</t>
  </si>
  <si>
    <t>6c344ae4-ebfb-4997-d731-08de5cdc8bfa</t>
  </si>
  <si>
    <t>SAVE MART March 2026 Puff Singles TPR</t>
  </si>
  <si>
    <t>6c5b252c-4d6b-4fd8-0809-08deb27c50a3</t>
  </si>
  <si>
    <t>Sam's January 2026 ISB</t>
  </si>
  <si>
    <t>6c60f8c8-95fb-4ae0-4048-08de5da29cfe</t>
  </si>
  <si>
    <t>King Soopers July 2026 Puff Singles TPR</t>
  </si>
  <si>
    <t>6ca429c9-78a2-4488-79f4-08de9bb1b972</t>
  </si>
  <si>
    <t>July Digital $1 off 4ct</t>
  </si>
  <si>
    <t>6cfd007f-dd38-48ad-c5e9-08ded76b20c5</t>
  </si>
  <si>
    <t>2026 EDLP - 4ct</t>
  </si>
  <si>
    <t>6d451c9b-560f-41d1-84c5-08de4f7c9ec1</t>
  </si>
  <si>
    <t>June 2026 Puff NEW ITEM PROGRAM - Sour Singles BOGO + Sour Shippers</t>
  </si>
  <si>
    <t>6d6a6da3-b7ab-45db-1e43-08de8bfc2efd</t>
  </si>
  <si>
    <t>6d8c7506-1477-4bc5-4051-08de5da29cfe</t>
  </si>
  <si>
    <t>KROGER March 2026 TPR</t>
  </si>
  <si>
    <t>6d97917f-8fbd-4338-b899-08de5ffd5c98</t>
  </si>
  <si>
    <t>Brookshires July 2026 2/$5 TPR, $8.99 TPR</t>
  </si>
  <si>
    <t>6e69f0c6-b510-4085-84c2-08de4f7c9ec1</t>
  </si>
  <si>
    <t>Lowes Foods September 2026 TPR</t>
  </si>
  <si>
    <t>6ebbcdd2-4ed6-413b-4024-08de5da29cfe</t>
  </si>
  <si>
    <t>CVS January 2026 Puff 4-Pack TPR</t>
  </si>
  <si>
    <t>6f27ea94-9ee6-40b4-4027-08de5da29cfe</t>
  </si>
  <si>
    <t>CVS July 2026 Puff Singles TPR</t>
  </si>
  <si>
    <t>6f6fe426-3643-4226-d703-08de5cdc8bfa</t>
  </si>
  <si>
    <t>ASSOCIATED FOOD STORES, INC. December 2026 Puff Singles TPR</t>
  </si>
  <si>
    <t>6f91c3a9-9ce7-4f10-636b-08de5da29cfe</t>
  </si>
  <si>
    <t>DELEK</t>
  </si>
  <si>
    <t>DELEK August 2026 TPR</t>
  </si>
  <si>
    <t>70bf039b-c84e-45a0-636c-08de5da29cfe</t>
  </si>
  <si>
    <t>EG America</t>
  </si>
  <si>
    <t>EG America February 2026 TPR</t>
  </si>
  <si>
    <t>71755cca-400a-4d48-eac3-08de5cdc8bfa</t>
  </si>
  <si>
    <t>Save Mart September 2026 $1 Digital Coupon</t>
  </si>
  <si>
    <t>71959795-c7ff-4006-406c-08de5da29cfe</t>
  </si>
  <si>
    <t>STOP &amp; SHOP May 2026 Puff Singles TPR</t>
  </si>
  <si>
    <t>71b0162f-3e86-4aa0-93ee-08de5f343061</t>
  </si>
  <si>
    <t>February 2026 Shippers 72ct 3flav</t>
  </si>
  <si>
    <t>71eb16d9-174a-467d-401c-08de5da29cfe</t>
  </si>
  <si>
    <t>BIG Y August 2026 Puff Singles TPR</t>
  </si>
  <si>
    <t>7248eba7-dd05-4263-7f88-08de5da29cfe</t>
  </si>
  <si>
    <t>UNITED PACIFIC April 2026 Puff Singles TPR</t>
  </si>
  <si>
    <t>7263fc26-ba4e-44fb-7f48-08de5da29cfe</t>
  </si>
  <si>
    <t>Holiday Oil April 2026 Puff Singles TPR</t>
  </si>
  <si>
    <t>73536fff-a352-4e8f-4033-08de5da29cfe</t>
  </si>
  <si>
    <t>FRED MEYER February 2026 Puff Singles TPR</t>
  </si>
  <si>
    <t>7409be2b-0361-4fe9-6393-08de5da29cfe</t>
  </si>
  <si>
    <t>SPARTAN NASH November 2026 TPR</t>
  </si>
  <si>
    <t>74416ade-cabe-481b-7f75-08de5da29cfe</t>
  </si>
  <si>
    <t>SCHNUCKS June 2026 Puff Singles TPR</t>
  </si>
  <si>
    <t>74d1813f-974b-47ca-4020-08de5da29cfe</t>
  </si>
  <si>
    <t>CVS April 2026 Puff 4-Pack TPR</t>
  </si>
  <si>
    <t>758c6aee-4096-4035-4049-08de5da29cfe</t>
  </si>
  <si>
    <t>King Soopers March 2026 TPR</t>
  </si>
  <si>
    <t>75d4e43c-45a6-4ec8-7f65-08de5da29cfe</t>
  </si>
  <si>
    <t>Loop May 2026 Puff Singles TPR</t>
  </si>
  <si>
    <t>76874250-6d57-44ad-6390-08de5da29cfe</t>
  </si>
  <si>
    <t>SPARTAN NASH June 2026 TPR</t>
  </si>
  <si>
    <t>77fb1644-2dd3-4c7b-401e-08de5da29cfe</t>
  </si>
  <si>
    <t>BIG Y February 2026 Puff Singles TPR</t>
  </si>
  <si>
    <t>784fdb9a-b308-4b1d-7f6e-08de5da29cfe</t>
  </si>
  <si>
    <t>PLAID PANTRY</t>
  </si>
  <si>
    <t>PLAID PANTRY January 2026 Puff Singles TPR</t>
  </si>
  <si>
    <t>79c09575-a703-4ff7-4042-08de5da29cfe</t>
  </si>
  <si>
    <t>HARRIS TEETER January 2026 Puff Singles TPR</t>
  </si>
  <si>
    <t>7a2a2424-493d-4826-6377-08de5da29cfe</t>
  </si>
  <si>
    <t>GETGO</t>
  </si>
  <si>
    <t>GETGO October 2026 TPR</t>
  </si>
  <si>
    <t>7a575360-88cc-432f-4023-08de5da29cfe</t>
  </si>
  <si>
    <t>CVS February 2026 Puff Singles TPR</t>
  </si>
  <si>
    <t>7b0019d3-f59a-4663-4037-08de5da29cfe</t>
  </si>
  <si>
    <t>FRED MEYER March 2026 Puff 4-Pack TPR</t>
  </si>
  <si>
    <t>7b45f685-3baf-437a-d72f-08de5cdc8bfa</t>
  </si>
  <si>
    <t>Rosauers / Huckleberry's</t>
  </si>
  <si>
    <t>Rosauers / Huckleberry's May 2026 Puff Singles TPR</t>
  </si>
  <si>
    <t>7b603473-fe54-44de-6392-08de5da29cfe</t>
  </si>
  <si>
    <t>SPARTAN NASH August 2026 TPR</t>
  </si>
  <si>
    <t>7c730a3f-ca66-403a-7f43-08de5da29cfe</t>
  </si>
  <si>
    <t>Harbor Wholesale March 2026 Puff Singles TPR</t>
  </si>
  <si>
    <t>7c75057f-14e6-44da-d71a-08de5cdc8bfa</t>
  </si>
  <si>
    <t>HARMONS NEIGHBORHOOD GROCER May 2026 Puff Singles TPR</t>
  </si>
  <si>
    <t>7ca05f67-9804-4948-7f38-08de5da29cfe</t>
  </si>
  <si>
    <t>Dierbergs August 2026 Puff 4-Pack TPR</t>
  </si>
  <si>
    <t>7ce6fe0c-eb3b-4d95-4151-08de5e781b74</t>
  </si>
  <si>
    <t>May 2026 2/$5 TPR</t>
  </si>
  <si>
    <t>7db00ce9-9465-45ec-b72f-08de8bfc2efc</t>
  </si>
  <si>
    <t>7df5db79-7b1b-4137-d714-08de5cdc8bfa</t>
  </si>
  <si>
    <t>GELSONS October 2026 Puff Singles TPR</t>
  </si>
  <si>
    <t>7f2fe05f-dc2b-41cb-d719-08de5cdc8bfa</t>
  </si>
  <si>
    <t>HARMONS NEIGHBORHOOD GROCER January 2026 Puff Singles TPR</t>
  </si>
  <si>
    <t>7ff9566f-07e8-41fb-7f78-08de5da29cfe</t>
  </si>
  <si>
    <t>SCHNUCKS November 2026 Puff Singles TPR</t>
  </si>
  <si>
    <t>80b1ea7a-efb9-4174-a15e-08de89a46b1d</t>
  </si>
  <si>
    <t>817b9b9d-7c00-4096-c5d8-08ded76b20c5</t>
  </si>
  <si>
    <t>July 2026 4ct Shippers</t>
  </si>
  <si>
    <t>82257130-368e-4876-08af-08de84ec3490</t>
  </si>
  <si>
    <t>825813c2-be7c-4f92-a07f-08de89a46b1d</t>
  </si>
  <si>
    <t>82987016-c4bb-41a6-7f7c-08de5da29cfe</t>
  </si>
  <si>
    <t>SCHNUCKS October 2026 Puff 4-Pack TPR</t>
  </si>
  <si>
    <t>8376c4ab-c604-482f-7f2c-08de5da29cfe</t>
  </si>
  <si>
    <t>CERTCO INC. June 2026 Puff 4-Pack TPR</t>
  </si>
  <si>
    <t>838344a6-95fe-4288-7f84-08de5da29cfe</t>
  </si>
  <si>
    <t>TOWN PUMP April 2026 Puff Singles TPR</t>
  </si>
  <si>
    <t>84521d15-c98e-4342-6705-08de5e781b74</t>
  </si>
  <si>
    <t>Food 4 Less August  2026 TPR</t>
  </si>
  <si>
    <t>846764a3-b9f0-49e2-863d-08de8bfc2efd</t>
  </si>
  <si>
    <t>84d53c20-841e-424d-d72a-08de5cdc8bfa</t>
  </si>
  <si>
    <t>Raleys May 2026 Puff Singles TPR</t>
  </si>
  <si>
    <t>84d7cd0b-351e-4c7f-404c-08de5da29cfe</t>
  </si>
  <si>
    <t>KROGER April 2026 Puff 4-Pack TPR</t>
  </si>
  <si>
    <t>850aca67-4a77-4e1e-d754-08de5cdc8bfa</t>
  </si>
  <si>
    <t>WINCO March 2026 Puff Singles TPR</t>
  </si>
  <si>
    <t>85221b95-205f-4717-f521-08de785b89de</t>
  </si>
  <si>
    <t>2026 Checkstand Program - $250</t>
  </si>
  <si>
    <t>85a80c60-7408-431a-0949-08de84ec3490</t>
  </si>
  <si>
    <t>863cc44e-24ad-46f1-7f61-08de5da29cfe</t>
  </si>
  <si>
    <t>KWIK TRIP August 2026 Puff Singles TPR</t>
  </si>
  <si>
    <t>86b24e72-f086-4d88-0d04-08de84ec3490</t>
  </si>
  <si>
    <t>871fcc36-fab8-476f-4997-08de6afe834a</t>
  </si>
  <si>
    <t>March 2026 $9.99 TPR National Event + Digital</t>
  </si>
  <si>
    <t>882003a0-9ac5-4651-4062-08de5da29cfe</t>
  </si>
  <si>
    <t>SMITHS February 2026 Puff Singles TPR</t>
  </si>
  <si>
    <t>898f2110-6d37-4fa5-d74c-08de5cdc8bfa</t>
  </si>
  <si>
    <t>Town and Country January 2026 Puff Singles TPR</t>
  </si>
  <si>
    <t>89f741a0-aa6c-4210-4046-08de5da29cfe</t>
  </si>
  <si>
    <t>King Soopers August 2026 Puff Singles TPR</t>
  </si>
  <si>
    <t>8a1edbab-5ccf-448c-7f87-08de5da29cfe</t>
  </si>
  <si>
    <t>UNITED PACIFIC March 2026 Puff Singles TPR</t>
  </si>
  <si>
    <t>8a9edd64-e6a3-4a04-7f7b-08de5da29cfe</t>
  </si>
  <si>
    <t>SCHNUCKS May 2026 Puff 4-Pack TPR</t>
  </si>
  <si>
    <t>8b458efd-cde0-491d-406d-08de5da29cfe</t>
  </si>
  <si>
    <t>STOP &amp; SHOP November 2026 Puff 4-Pack TPR</t>
  </si>
  <si>
    <t>8b9dd362-d8fc-434a-bb67-08de89a46b12</t>
  </si>
  <si>
    <t>October Promo - $4.00 off</t>
  </si>
  <si>
    <t>8c54b32b-96aa-40d5-d753-08de5cdc8bfa</t>
  </si>
  <si>
    <t>WINCO January 2026 Puff Singles TPR</t>
  </si>
  <si>
    <t>8c9fcc4b-35dd-4118-f177-08de8bfc2efc</t>
  </si>
  <si>
    <t>June 2026 $9.99 TPR</t>
  </si>
  <si>
    <t>8cbb8340-f9a8-4263-d71d-08de5cdc8bfa</t>
  </si>
  <si>
    <t>HARMONS NEIGHBORHOOD GROCER November 2026 Puff Singles TPR</t>
  </si>
  <si>
    <t>8d0804a2-b75c-4394-1e37-08de8bfc2efd</t>
  </si>
  <si>
    <t>8e89c5db-c149-4f84-1e2d-08de8bfc2efd</t>
  </si>
  <si>
    <t>September 2026 $1 Digital</t>
  </si>
  <si>
    <t>8f22aca2-0bf1-476d-407a-08de5da29cfe</t>
  </si>
  <si>
    <t>TOPS October 2026 Puff Singles TPR</t>
  </si>
  <si>
    <t>8f900d7a-0d26-4dd8-b8b0-08de5ffd5c98</t>
  </si>
  <si>
    <t>Brookshires September 2026 2/$5 TPR, $8.99 TPR</t>
  </si>
  <si>
    <t>8f92c9b7-d439-4307-793b-08de89a46b1d</t>
  </si>
  <si>
    <t>8fd9ee11-f19b-452c-c501-08de7ea07320</t>
  </si>
  <si>
    <t>2026 Front End Program Q3</t>
  </si>
  <si>
    <t>8fe25a5f-10a6-4113-7f54-08de5da29cfe</t>
  </si>
  <si>
    <t>HY-VEE FAST &amp; FRESH May 2026 Puff Singles TPR</t>
  </si>
  <si>
    <t>9063465a-46cf-4c73-6395-08de5da29cfe</t>
  </si>
  <si>
    <t>WAWA January 2026 TPR</t>
  </si>
  <si>
    <t>90e2ea61-60f6-4eb2-a114-08de89a46b1d</t>
  </si>
  <si>
    <t>91763718-ffb8-45a2-d72e-08de5cdc8bfa</t>
  </si>
  <si>
    <t>Rosauers / Huckleberry's February 2026 Puff Singles TPR</t>
  </si>
  <si>
    <t>920e4b23-a6fa-41ca-4c86-08de89a46b1d</t>
  </si>
  <si>
    <t>92128b92-3108-4742-7f57-08de5da29cfe</t>
  </si>
  <si>
    <t>HY-VEE FAST &amp; FRESH October 2026 Puff Singles TPR</t>
  </si>
  <si>
    <t>9249f6b9-e3e0-424b-a107-08de89a46b1d</t>
  </si>
  <si>
    <t>928084fb-60d5-4c73-3d66-08de59e8eae0</t>
  </si>
  <si>
    <t>BJ's August 2026 13 count Coupon</t>
  </si>
  <si>
    <t>92d61e16-0166-46f4-08c4-08de84ec3490</t>
  </si>
  <si>
    <t>93fad8a1-ac90-4e45-4084-08de5da29cfe</t>
  </si>
  <si>
    <t>WAKEFERN July 2026 Puff Singles TPR</t>
  </si>
  <si>
    <t>9404ba04-fb9b-4975-d736-08de5cdc8bfa</t>
  </si>
  <si>
    <t>SAVE MART June 2026 Puff 4-Pack TPR</t>
  </si>
  <si>
    <t>947bbec7-53d4-46f1-a07e-08de89a46b1d</t>
  </si>
  <si>
    <t>951407da-a17e-4ec9-638b-08de5da29cfe</t>
  </si>
  <si>
    <t>SHEETZ DISTRIBUTION SERVICE, LLC</t>
  </si>
  <si>
    <t>C0761214</t>
  </si>
  <si>
    <t>SHEETZ DISTRIBUTION SERVICE, LLC July 2026 TPR</t>
  </si>
  <si>
    <t>97209e1c-0acf-4d46-4063-08de5da29cfe</t>
  </si>
  <si>
    <t>SMITHS July 2026 Puff Singles TPR</t>
  </si>
  <si>
    <t>97356fa3-4633-4447-d721-08de5cdc8bfa</t>
  </si>
  <si>
    <t>LANL August 2026 Puff Singles TPR</t>
  </si>
  <si>
    <t>9739e587-6e3f-4035-d716-08de5cdc8bfa</t>
  </si>
  <si>
    <t>GELSONS April 2026 Puff 4-Pack TPR</t>
  </si>
  <si>
    <t>97bb5ee3-4608-4f7f-403f-08de5da29cfe</t>
  </si>
  <si>
    <t>Giant Foods September 2026 Puff Singles TPR</t>
  </si>
  <si>
    <t>9819e4b5-8303-4f6b-6388-08de5da29cfe</t>
  </si>
  <si>
    <t>PILOT FLYING J</t>
  </si>
  <si>
    <t>PILOT FLYING J August 2026 TPR</t>
  </si>
  <si>
    <t>98f5b5b2-1d36-4262-7f5a-08de5da29cfe</t>
  </si>
  <si>
    <t>JACKSONS May 2026 Puff Singles TPR</t>
  </si>
  <si>
    <t>9a05ad28-8be1-4731-d728-08de5cdc8bfa</t>
  </si>
  <si>
    <t>Nugget Market October 2026 Puff Singles TPR</t>
  </si>
  <si>
    <t>9a12a485-dc62-43bb-7f1b-08de5da29cfe</t>
  </si>
  <si>
    <t>AWG March 2026 Puff Singles TPR</t>
  </si>
  <si>
    <t>9ac65d44-588d-4852-a167-08de89a46b1d</t>
  </si>
  <si>
    <t>9be6d536-d75f-4b98-84c9-08de4f7c9ec1</t>
  </si>
  <si>
    <t>January 2026 Puff 4-Pack TPR</t>
  </si>
  <si>
    <t>9c1ae89b-acb7-4fb5-6374-08de5da29cfe</t>
  </si>
  <si>
    <t>Follett October 2026 TPR</t>
  </si>
  <si>
    <t>9c27d4dc-ab8d-4c86-7f34-08de5da29cfe</t>
  </si>
  <si>
    <t>Dierbergs July 2026 Puff Singles TPR</t>
  </si>
  <si>
    <t>9c378ab4-be82-4794-7f4b-08de5da29cfe</t>
  </si>
  <si>
    <t>Holiday Oil November 2026 Puff Singles TPR</t>
  </si>
  <si>
    <t>9c4f1347-3beb-4b01-b6e7-08de8bfc2efc</t>
  </si>
  <si>
    <t>9c55c07b-1dfd-4b01-4077-08de5da29cfe</t>
  </si>
  <si>
    <t>TOPS August 2026 Puff Singles TPR</t>
  </si>
  <si>
    <t>9c67496c-5897-460c-7f3b-08de5da29cfe</t>
  </si>
  <si>
    <t>EXTRA MILE</t>
  </si>
  <si>
    <t>EXTRA MILE May 2026 Puff Singles TPR</t>
  </si>
  <si>
    <t>9cca5b9b-a5ea-4fec-4038-08de5da29cfe</t>
  </si>
  <si>
    <t>FRED MEYER March 2026 Puff Singles TPR</t>
  </si>
  <si>
    <t>9dcc6fa6-8c8e-4875-408e-08de5da29cfe</t>
  </si>
  <si>
    <t>Weis Markets April 2026 Puff Singles TPR</t>
  </si>
  <si>
    <t>9e483bdf-3576-4039-637e-08de5da29cfe</t>
  </si>
  <si>
    <t>MEIJER April 2026 TPR</t>
  </si>
  <si>
    <t>9ee3b707-5c76-4350-a09b-08de89a46b1d</t>
  </si>
  <si>
    <t>9f8c2e37-f1ed-494e-d74a-08de5cdc8bfa</t>
  </si>
  <si>
    <t>TARGET August 2026 Puff 4-Pack TPR</t>
  </si>
  <si>
    <t>a1e924a5-4092-4245-405f-08de5da29cfe</t>
  </si>
  <si>
    <t>SMITHS August 2026 Puff 4-Pack TPR</t>
  </si>
  <si>
    <t>a27a7565-6a84-4f5d-c17e-08de8bfc2efc</t>
  </si>
  <si>
    <t>Albertsons Shaws</t>
  </si>
  <si>
    <t>a2c011c4-ea6d-4553-6380-08de5da29cfe</t>
  </si>
  <si>
    <t>MEIJER June 2026 TPR</t>
  </si>
  <si>
    <t>a2c38ca1-0070-450c-bc2e-08de8bfc2efc</t>
  </si>
  <si>
    <t>a2f156ee-1d91-403a-7f5e-08de5da29cfe</t>
  </si>
  <si>
    <t>KWIK TRIP January 2026 Puff Singles TPR</t>
  </si>
  <si>
    <t>a352a33e-6b61-4e58-b481-08de8bfc2efc</t>
  </si>
  <si>
    <t>a3aa2eb8-a4d7-401e-637c-08de5da29cfe</t>
  </si>
  <si>
    <t>MEIJER February 2026 TPR</t>
  </si>
  <si>
    <t>a4faa819-1a88-4f62-c153-08de8bfc2efc</t>
  </si>
  <si>
    <t>a5289003-00c0-4d08-639b-08de5da29cfe</t>
  </si>
  <si>
    <t>Weigels</t>
  </si>
  <si>
    <t>Weigels October 2026 TPR</t>
  </si>
  <si>
    <t>a562c2b7-fd2a-4e4e-93b1-08de5f343061</t>
  </si>
  <si>
    <t>January Shippers 72ct 3flav, 72ct 6flav</t>
  </si>
  <si>
    <t>a6111b8d-49b7-4d16-7f70-08de5da29cfe</t>
  </si>
  <si>
    <t>PLAID PANTRY July 2026 Puff Singles TPR</t>
  </si>
  <si>
    <t>a64348ad-fc28-495d-7f82-08de5da29cfe</t>
  </si>
  <si>
    <t>TERRIBLES September 2026 Puff Singles TPR</t>
  </si>
  <si>
    <t>a704f683-294d-4667-6399-08de5da29cfe</t>
  </si>
  <si>
    <t>WAWA December 2026 TPR</t>
  </si>
  <si>
    <t>a797ed8c-042e-4af0-638c-08de5da29cfe</t>
  </si>
  <si>
    <t>SHEETZ DISTRIBUTION SERVICE, LLC December 2026 TPR</t>
  </si>
  <si>
    <t>a8ad098d-75ac-4ac1-bbcc-08de8bfc2efc</t>
  </si>
  <si>
    <t>aad47c8c-e063-41cf-6703-08de5e781b74</t>
  </si>
  <si>
    <t>Food 4 Less March 2026 TPR</t>
  </si>
  <si>
    <t>aadf0066-ca8f-4d86-4055-08de5da29cfe</t>
  </si>
  <si>
    <t>KROGER September 2026 Puff 4-Pack TPR</t>
  </si>
  <si>
    <t>aae82b33-dcf6-4f4a-405e-08de5da29cfe</t>
  </si>
  <si>
    <t>SMITHS April 2026 Puff Singles TPR</t>
  </si>
  <si>
    <t>ab4fb2e6-b03a-494b-7f5f-08de5da29cfe</t>
  </si>
  <si>
    <t>KWIK TRIP April 2026 Puff Singles TPR</t>
  </si>
  <si>
    <t>abb6f88a-c8de-43fb-4076-08de5da29cfe</t>
  </si>
  <si>
    <t>THE GIANT COMPANY September 2026 Puff Singles TPR</t>
  </si>
  <si>
    <t>ac0b9b53-5840-48d0-d74b-08de5cdc8bfa</t>
  </si>
  <si>
    <t>TARGET October 2026 Puff 4-Pack TPR</t>
  </si>
  <si>
    <t>ace7f087-60e8-4de8-406b-08de5da29cfe</t>
  </si>
  <si>
    <t>STOP &amp; SHOP May 2026 Puff 4-Pack TPR</t>
  </si>
  <si>
    <t>ad0b81d5-1215-42b8-d738-08de5cdc8bfa</t>
  </si>
  <si>
    <t>SMART &amp; FINAL January 2026 Puff Singles TPR</t>
  </si>
  <si>
    <t>ada12748-34b2-4ddc-636d-08de5da29cfe</t>
  </si>
  <si>
    <t>EG America June 2026 TPR</t>
  </si>
  <si>
    <t>ae58334e-50e3-4b76-4089-08de5da29cfe</t>
  </si>
  <si>
    <t>Walgreens March 2026 Puff Singles TPR</t>
  </si>
  <si>
    <t>ae58b315-1004-4eb7-7f4c-08de5da29cfe</t>
  </si>
  <si>
    <t>Holiday Oil December 2026 Puff Singles TPR</t>
  </si>
  <si>
    <t>af210058-0481-49fa-7f52-08de5da29cfe</t>
  </si>
  <si>
    <t>HY-VEE FAST &amp; FRESH January 2026 Puff Singles TPR</t>
  </si>
  <si>
    <t>af5576f3-086f-4aed-8652-08de8bfc2efd</t>
  </si>
  <si>
    <t>afa8b75e-9452-4a42-9210-08de5f343061</t>
  </si>
  <si>
    <t>October 2026 4ct $9.99 TPR + $1 off Digital Coupon, $1 off Digital singles</t>
  </si>
  <si>
    <t>afad23c0-0b93-486c-403d-08de5da29cfe</t>
  </si>
  <si>
    <t>Giant Foods January 2026 Puff Singles TPR</t>
  </si>
  <si>
    <t>afb6ef54-9a9a-4716-4029-08de5da29cfe</t>
  </si>
  <si>
    <t>CVS March 2026 Puff Singles TPR</t>
  </si>
  <si>
    <t>b0723dbe-d57b-4cad-66e6-08de80fef5fa</t>
  </si>
  <si>
    <t>BOGO 25% May-June2026</t>
  </si>
  <si>
    <t>b1620323-bd52-4328-403b-08de5da29cfe</t>
  </si>
  <si>
    <t>GIANT EAGLE</t>
  </si>
  <si>
    <t>GIANT EAGLE November 2026 Puff Singles TPR</t>
  </si>
  <si>
    <t>b22f30d9-efe3-4502-08cf-08de84ec3490</t>
  </si>
  <si>
    <t>b28b4560-082f-490a-4070-08de5da29cfe</t>
  </si>
  <si>
    <t>THE GIANT COMPANY August 2026 Puff 4-Pack TPR</t>
  </si>
  <si>
    <t>b2d2d751-936f-43cb-d708-08de5cdc8bfa</t>
  </si>
  <si>
    <t>Earth Fare February 2026 Puff Singles TPR</t>
  </si>
  <si>
    <t>b2d4ecf0-82bf-4f62-7f3a-08de5da29cfe</t>
  </si>
  <si>
    <t>EXTRA MILE February 2026 Puff Singles TPR</t>
  </si>
  <si>
    <t>b33f441d-36e4-49e5-d57a-08de956aa456</t>
  </si>
  <si>
    <t>The Fresh Market</t>
  </si>
  <si>
    <t>The Fresh Market March 2026 TPR</t>
  </si>
  <si>
    <t>b3f6c0ba-0763-45df-d71c-08de5cdc8bfa</t>
  </si>
  <si>
    <t>HARMONS NEIGHBORHOOD GROCER September 2026 Puff Singles TPR</t>
  </si>
  <si>
    <t>b42cc92b-f629-4f48-d718-08de5cdc8bfa</t>
  </si>
  <si>
    <t>GELSONS September 2026 Puff 4-Pack TPR</t>
  </si>
  <si>
    <t>b4a15514-58ba-49a4-7f20-08de5da29cfe</t>
  </si>
  <si>
    <t>AWG August 2026 Puff 4-Pack TPR</t>
  </si>
  <si>
    <t>b4ab3fed-ad7c-4460-4150-08de5e781b74</t>
  </si>
  <si>
    <t>February 2026 2/$5 TPR</t>
  </si>
  <si>
    <t>b536926a-acf6-49e4-7f46-08de5da29cfe</t>
  </si>
  <si>
    <t>Harbor Wholesale November 2026 Puff Singles TPR</t>
  </si>
  <si>
    <t>b6802e43-b92c-4f8e-d755-08de5cdc8bfa</t>
  </si>
  <si>
    <t>WINCO June 2026 Puff Singles TPR</t>
  </si>
  <si>
    <t>b793f164-464f-49f1-a0d6-08de89a46b1d</t>
  </si>
  <si>
    <t>b7a3d8e9-e327-48c4-d59d-08de956aa456</t>
  </si>
  <si>
    <t>The Fresh Market August 2026 TPR</t>
  </si>
  <si>
    <t>b830a28f-db84-473a-7f56-08de5da29cfe</t>
  </si>
  <si>
    <t>HY-VEE FAST &amp; FRESH September 2026 Puff Singles TPR</t>
  </si>
  <si>
    <t>b8514d4a-a5e8-48ac-7f1f-08de5da29cfe</t>
  </si>
  <si>
    <t>AWG May 2026 Puff 4-Pack TPR</t>
  </si>
  <si>
    <t>b89c2c0d-ef0d-45e9-4069-08de5da29cfe</t>
  </si>
  <si>
    <t>STOP &amp; SHOP January 2026 Puff Singles TPR</t>
  </si>
  <si>
    <t>b929975a-a1c5-42d0-84be-08de4f7c9ec1</t>
  </si>
  <si>
    <t>Lowes Foods January 2026 TPR</t>
  </si>
  <si>
    <t>b96d9770-11e5-4299-6367-08de5da29cfe</t>
  </si>
  <si>
    <t>Bolla July 2026 TPR</t>
  </si>
  <si>
    <t>b9e41e26-5ef4-4047-d70f-08de5cdc8bfa</t>
  </si>
  <si>
    <t>Fresh Thyme October 2026 Puff Singles TPR</t>
  </si>
  <si>
    <t>ba3fd38d-771c-4ee8-d70e-08de5cdc8bfa</t>
  </si>
  <si>
    <t>Fresh Thyme August 2026 Puff Singles TPR</t>
  </si>
  <si>
    <t>ba5a5144-84be-4822-1ec5-08de8bfc2efd</t>
  </si>
  <si>
    <t>ba7f521c-ddcd-405e-d706-08de5cdc8bfa</t>
  </si>
  <si>
    <t>ASSOCIATED FOOD STORES, INC. August 2026 Puff 4-Pack TPR</t>
  </si>
  <si>
    <t>baf7a031-a063-4c7b-499a-08de6afe834a</t>
  </si>
  <si>
    <t>September 2026 $1 off Digital</t>
  </si>
  <si>
    <t>bb096c44-f817-475b-6398-08de5da29cfe</t>
  </si>
  <si>
    <t>WAWA November 2026 TPR</t>
  </si>
  <si>
    <t>bb65b07b-990a-4c95-0fcd-08de7ea07321</t>
  </si>
  <si>
    <t>BOGO 50</t>
  </si>
  <si>
    <t>bbc1480b-8201-4a50-4085-08de5da29cfe</t>
  </si>
  <si>
    <t>WAKEFERN March 2026 Puff Singles TPR</t>
  </si>
  <si>
    <t>bbcd6069-4d96-4e39-6379-08de5da29cfe</t>
  </si>
  <si>
    <t>GPM</t>
  </si>
  <si>
    <t>GPM June 2026 TPR</t>
  </si>
  <si>
    <t>bbe9520a-7a0d-4b6b-7f2d-08de5da29cfe</t>
  </si>
  <si>
    <t>CERTCO INC. September 2026 Puff 4-Pack TPR</t>
  </si>
  <si>
    <t>bcf47947-4327-4f70-b4c1-08de8bfc2efc</t>
  </si>
  <si>
    <t>May 2026 $8.99 TPR + Digital + Minions Shippers</t>
  </si>
  <si>
    <t>bda153c4-cb6a-485a-6706-08de5e781b74</t>
  </si>
  <si>
    <t>Food City February 2026 2/$4 TPR</t>
  </si>
  <si>
    <t>bdc19d34-fd04-4991-6386-08de5da29cfe</t>
  </si>
  <si>
    <t>Nouria</t>
  </si>
  <si>
    <t>Nouria May 2026 TPR</t>
  </si>
  <si>
    <t>be1165c5-e6f0-48a6-6385-08de5da29cfe</t>
  </si>
  <si>
    <t>MEIJER November 2026 TPR</t>
  </si>
  <si>
    <t>be45e4d8-f186-4854-7f77-08de5da29cfe</t>
  </si>
  <si>
    <t>SCHNUCKS September 2026 Puff Singles TPR</t>
  </si>
  <si>
    <t>be761feb-12e5-442f-9d41-08de73a3536f</t>
  </si>
  <si>
    <t>UNFI Summer Show Shippers Haggen - April 2026</t>
  </si>
  <si>
    <t>beb56b4c-0a2f-4654-b4ca-08de7ea07320</t>
  </si>
  <si>
    <t>2026 Front End Program Q1</t>
  </si>
  <si>
    <t>bed980fa-1163-4716-7f37-08de5da29cfe</t>
  </si>
  <si>
    <t>Dierbergs May 2026 Puff 4-Pack TPR</t>
  </si>
  <si>
    <t>bfc3bd8c-cd3b-4023-7779-08de8a6b9689</t>
  </si>
  <si>
    <t>2026 April Summer Shipper Show - Evergreen</t>
  </si>
  <si>
    <t>c02bc2e0-b179-4d06-71f9-08de89a46b1d</t>
  </si>
  <si>
    <t>c0613130-7d85-4ddf-c16a-08de8bfc2efc</t>
  </si>
  <si>
    <t>c07590ca-42b5-4075-d73e-08de5cdc8bfa</t>
  </si>
  <si>
    <t>SMART &amp; FINAL December 2026 Puff Singles TPR</t>
  </si>
  <si>
    <t>c0d2b791-41c5-481e-7f5d-08de5da29cfe</t>
  </si>
  <si>
    <t>JACKSONS October 2026 Puff Singles TPR</t>
  </si>
  <si>
    <t>c1b997b5-4d0e-4643-7f21-08de5da29cfe</t>
  </si>
  <si>
    <t>CASEYS CORP January 2026 Puff Singles TPR</t>
  </si>
  <si>
    <t>c1f29483-ec41-432a-6364-08de5da29cfe</t>
  </si>
  <si>
    <t>Bolla January 2026 TPR</t>
  </si>
  <si>
    <t>c21d05d6-ca72-4269-403a-08de5da29cfe</t>
  </si>
  <si>
    <t>GIANT EAGLE June 2026 Puff Singles TPR</t>
  </si>
  <si>
    <t>c235741b-60e0-4b25-638e-08de5da29cfe</t>
  </si>
  <si>
    <t>SPARTAN NASH April 2026 TPR</t>
  </si>
  <si>
    <t>c349c001-c051-44f7-402d-08de5da29cfe</t>
  </si>
  <si>
    <t>CVS November 2026 Puff Singles TPR</t>
  </si>
  <si>
    <t>c3c2696f-23ca-4444-7f83-08de5da29cfe</t>
  </si>
  <si>
    <t>TOWN PUMP March 2026 Puff Singles TPR</t>
  </si>
  <si>
    <t>c47924f6-380a-48c0-415d-08de5e781b74</t>
  </si>
  <si>
    <t>The Fresh Market January 2026 TPR + Endcap</t>
  </si>
  <si>
    <t>End Cap, TPR</t>
  </si>
  <si>
    <t>c4bdc5cd-8b4e-4de1-84b9-08de4f7c9ec1</t>
  </si>
  <si>
    <t>February 2026 $8.99 TPR + $1 Digital 4ct</t>
  </si>
  <si>
    <t>Digital Coupon, Scan</t>
  </si>
  <si>
    <t>c509dc7f-3f8a-49ef-7f79-08de5da29cfe</t>
  </si>
  <si>
    <t>SCHNUCKS February 2026 Puff 4-Pack TPR</t>
  </si>
  <si>
    <t>c52d3273-3e07-45d0-7f68-08de5da29cfe</t>
  </si>
  <si>
    <t>Loop October 2026 Puff Singles TPR</t>
  </si>
  <si>
    <t>c575a596-317c-4867-4073-08de5da29cfe</t>
  </si>
  <si>
    <t>THE GIANT COMPANY July 2026 Puff Singles TPR</t>
  </si>
  <si>
    <t>c58256a7-7fab-494a-7f25-08de5da29cfe</t>
  </si>
  <si>
    <t>CASEYS CORP September 2026 Puff Singles TPR</t>
  </si>
  <si>
    <t>c59826bb-a48f-4878-b429-08de8bfc2efc</t>
  </si>
  <si>
    <t>c5a28b8c-faa3-4896-6366-08de5da29cfe</t>
  </si>
  <si>
    <t>Bolla June 2026 TPR</t>
  </si>
  <si>
    <t>c5b6200b-6a1c-41ea-f048-08de785b89de</t>
  </si>
  <si>
    <t>c5b83cf6-1ecb-4f84-7f69-08de5da29cfe</t>
  </si>
  <si>
    <t>MAVERIK January 2026 Puff Singles TPR</t>
  </si>
  <si>
    <t>c61dfe35-0789-4245-4026-08de5da29cfe</t>
  </si>
  <si>
    <t>CVS July 2026 Puff 4-Pack TPR</t>
  </si>
  <si>
    <t>c68c4eb7-2834-4bc1-d746-08de5cdc8bfa</t>
  </si>
  <si>
    <t>Super1 October 2026 Puff Singles TPR</t>
  </si>
  <si>
    <t>c6933188-0b2d-4860-7f6c-08de5da29cfe</t>
  </si>
  <si>
    <t>Pitco January 2026 Puff Singles TPR</t>
  </si>
  <si>
    <t>c742bb1b-515c-41b6-7f49-08de5da29cfe</t>
  </si>
  <si>
    <t>Holiday Oil July 2026 Puff Singles TPR</t>
  </si>
  <si>
    <t>c770d329-2360-4958-4153-08de5e781b74</t>
  </si>
  <si>
    <t>September 2026 2/$5 TPR</t>
  </si>
  <si>
    <t>c7748ef4-a5da-469c-4066-08de5da29cfe</t>
  </si>
  <si>
    <t>SMITHS September 2026 Puff 4-Pack TPR</t>
  </si>
  <si>
    <t>c7a890db-eb40-4ad0-a09c-08de89a46b1d</t>
  </si>
  <si>
    <t>c81ea978-dae8-47b8-404f-08de5da29cfe</t>
  </si>
  <si>
    <t>KROGER February 2026 Puff Singles TPR</t>
  </si>
  <si>
    <t>c9134b25-b8fa-4357-7f5c-08de5da29cfe</t>
  </si>
  <si>
    <t>JACKSONS September 2026 Puff Singles TPR</t>
  </si>
  <si>
    <t>c979b32c-e923-454f-4025-08de5da29cfe</t>
  </si>
  <si>
    <t>CVS January 2026 Puff Singles TPR</t>
  </si>
  <si>
    <t>c9844b3c-4bd0-4de2-4056-08de5da29cfe</t>
  </si>
  <si>
    <t>RALPHS April 2026 Puff 4-Pack TPR</t>
  </si>
  <si>
    <t>c9e9fa80-1a9b-4434-7f80-08de5da29cfe</t>
  </si>
  <si>
    <t>TERRIBLES January 2026 Puff Singles TPR</t>
  </si>
  <si>
    <t>ca1d7ddf-1bb5-4d2d-639a-08de5da29cfe</t>
  </si>
  <si>
    <t>Weigels August 2026 TPR</t>
  </si>
  <si>
    <t>ca3cded6-33e6-4415-7f27-08de5da29cfe</t>
  </si>
  <si>
    <t>CERTCO INC. January 2026 Puff Singles TPR</t>
  </si>
  <si>
    <t>cb1176eb-2934-4cd2-4032-08de5da29cfe</t>
  </si>
  <si>
    <t>FRED MEYER February 2026 Puff 4-Pack TPR</t>
  </si>
  <si>
    <t>cbac1b7c-586c-436a-7f66-08de5da29cfe</t>
  </si>
  <si>
    <t>Loop June 2026 Puff Singles TPR</t>
  </si>
  <si>
    <t>cc66ec1a-7dff-4f2b-84bf-08de4f7c9ec1</t>
  </si>
  <si>
    <t>Lowes Foods March 2026 TPR</t>
  </si>
  <si>
    <t>cdb653dc-d6e2-406f-637d-08de5da29cfe</t>
  </si>
  <si>
    <t>MEIJER March 2026 TPR</t>
  </si>
  <si>
    <t>ce58a9d4-4112-4768-d740-08de5cdc8bfa</t>
  </si>
  <si>
    <t>SPROUTS May 2026 Puff Singles TPR</t>
  </si>
  <si>
    <t>cebf2d79-041a-4766-7f67-08de5da29cfe</t>
  </si>
  <si>
    <t>Loop September 2026 Puff Singles TPR</t>
  </si>
  <si>
    <t>cf0b44b0-3773-448e-a7b5-08de73a3536f</t>
  </si>
  <si>
    <t>UNFI Summer Show Shippers Haggen - June 2026</t>
  </si>
  <si>
    <t>cf5e279e-bc68-4ba3-864e-08de8bfc2efd</t>
  </si>
  <si>
    <t>cffa7cda-970a-4d61-6381-08de5da29cfe</t>
  </si>
  <si>
    <t>MEIJER July 2026 TPR</t>
  </si>
  <si>
    <t>d00aa1d5-a8d2-4897-638a-08de5da29cfe</t>
  </si>
  <si>
    <t>SHEETZ DISTRIBUTION SERVICE, LLC January 2026 TPR</t>
  </si>
  <si>
    <t>d096e9f0-90e5-4130-84c7-08de4f7c9ec1</t>
  </si>
  <si>
    <t>August 2026 Puff Singles BOGO + Shippers</t>
  </si>
  <si>
    <t>Puff 12-Pack</t>
  </si>
  <si>
    <t>d0e6d057-34bb-411d-c134-08de8bfc2efc</t>
  </si>
  <si>
    <t>d12ecadd-e0fa-4586-408f-08de5da29cfe</t>
  </si>
  <si>
    <t>Weis Markets August 2026 Puff 4-Pack TPR</t>
  </si>
  <si>
    <t>d1547d06-bd32-4480-86bd-08de4f7c9ec1</t>
  </si>
  <si>
    <t>HEB January 2026 Coupon</t>
  </si>
  <si>
    <t>50% Off, Ad</t>
  </si>
  <si>
    <t>d173f8f2-2746-495e-6394-08de5da29cfe</t>
  </si>
  <si>
    <t>Timewise</t>
  </si>
  <si>
    <t>Timewise January 2026 TPR</t>
  </si>
  <si>
    <t>d1b1a258-f1f8-47ff-d730-08de5cdc8bfa</t>
  </si>
  <si>
    <t>Rosauers / Huckleberry's August 2026 Puff Singles TPR</t>
  </si>
  <si>
    <t>d1ddea71-ae47-4352-4094-08de5da29cfe</t>
  </si>
  <si>
    <t>Weis Markets May 2026 Puff 4-Pack TPR</t>
  </si>
  <si>
    <t>d2c53750-a95a-407f-7f29-08de5da29cfe</t>
  </si>
  <si>
    <t>CERTCO INC. July 2026 Puff Singles TPR</t>
  </si>
  <si>
    <t>d32db155-d1fc-4ce6-d74d-08de5cdc8bfa</t>
  </si>
  <si>
    <t>Town and Country May 2026 Puff Singles TPR</t>
  </si>
  <si>
    <t>d4c45616-ef3a-4df0-d709-08de5cdc8bfa</t>
  </si>
  <si>
    <t>Earth Fare May 2026 Puff Singles TPR</t>
  </si>
  <si>
    <t>d5406b30-487e-455f-407d-08de5da29cfe</t>
  </si>
  <si>
    <t>VITAMIN SHOPPE December 2026 Puff Singles TPR</t>
  </si>
  <si>
    <t>d54d98ce-4fa6-4160-f19f-08de8bfc2efc</t>
  </si>
  <si>
    <t>d671189c-1936-4bec-6369-08de5da29cfe</t>
  </si>
  <si>
    <t>Bolla October 2026 TPR</t>
  </si>
  <si>
    <t>d719aead-9ce9-4ba4-6378-08de5da29cfe</t>
  </si>
  <si>
    <t>GLOBAL PARTNERS</t>
  </si>
  <si>
    <t>GLOBAL PARTNERS February 2026 TPR</t>
  </si>
  <si>
    <t>d722a328-740b-4942-7f22-08de5da29cfe</t>
  </si>
  <si>
    <t>CASEYS CORP February 2026 Puff Singles TPR</t>
  </si>
  <si>
    <t>d73acf87-2b3d-4f20-4061-08de5da29cfe</t>
  </si>
  <si>
    <t>SMITHS February 2026 Puff 4-Pack TPR</t>
  </si>
  <si>
    <t>d76187ab-2ee0-41f6-7f71-08de5da29cfe</t>
  </si>
  <si>
    <t>PLAID PANTRY October 2026 Puff Singles TPR</t>
  </si>
  <si>
    <t>d7e9ea67-2d99-4f5c-7f1a-08de5da29cfe</t>
  </si>
  <si>
    <t>AWG January 2026 Puff Singles TPR</t>
  </si>
  <si>
    <t>d81467d7-1e9a-4d8c-7940-08de89a46b1d</t>
  </si>
  <si>
    <t>d88ed6eb-59f5-4dc8-6389-08de5da29cfe</t>
  </si>
  <si>
    <t>Royal Farms</t>
  </si>
  <si>
    <t>Royal Farms April 2026 TPR</t>
  </si>
  <si>
    <t>da9b8a41-c48c-4dc1-7f2f-08de5da29cfe</t>
  </si>
  <si>
    <t>CIRCLE K April 2026 Puff Singles TPR</t>
  </si>
  <si>
    <t>da9e442c-c2f0-4804-bb76-08de8bfc2efc</t>
  </si>
  <si>
    <t>dafcbf35-0c65-4218-4050-08de5da29cfe</t>
  </si>
  <si>
    <t>KROGER June 2026 Puff Singles TPR</t>
  </si>
  <si>
    <t>db550c9e-09c7-475c-d700-08de5cdc8bfa</t>
  </si>
  <si>
    <t>ASSOCIATED FOOD STORES, INC. April 2026 Puff Singles TPR</t>
  </si>
  <si>
    <t>dbb65f5c-b407-4df0-638f-08de5da29cfe</t>
  </si>
  <si>
    <t>SPARTAN NASH May 2026 TPR</t>
  </si>
  <si>
    <t>dc5859bc-e8eb-4a9d-ef47-08de8bfc2efc</t>
  </si>
  <si>
    <t>dc7d4fb9-1abd-40ed-d711-08de5cdc8bfa</t>
  </si>
  <si>
    <t>GELSONS January 2026 Puff Singles TPR</t>
  </si>
  <si>
    <t>dd0680bb-994f-4ae1-d72d-08de5cdc8bfa</t>
  </si>
  <si>
    <t>Rosauers / Huckleberry's January 2026 Puff Singles TPR</t>
  </si>
  <si>
    <t>dd27ec9f-633c-4a67-d590-08de956aa456</t>
  </si>
  <si>
    <t>The Fresh Market May 2026 TPR</t>
  </si>
  <si>
    <t>dda17d27-94ee-416c-08d1-08de84ec3490</t>
  </si>
  <si>
    <t>ddcb5d6b-63a4-4446-6375-08de5da29cfe</t>
  </si>
  <si>
    <t>GETGO February 2026 TPR</t>
  </si>
  <si>
    <t>de00cb2b-a0fa-478e-7f3e-08de5da29cfe</t>
  </si>
  <si>
    <t>EXTRA MILE October 2026 Puff Singles TPR</t>
  </si>
  <si>
    <t>de1ec16f-1e1a-4ed2-7f76-08de5da29cfe</t>
  </si>
  <si>
    <t>SCHNUCKS July 2026 Puff Singles TPR</t>
  </si>
  <si>
    <t>de2bae4d-df3f-47b0-a15b-08de89a46b1d</t>
  </si>
  <si>
    <t>de7c0626-4c25-4532-6370-08de5da29cfe</t>
  </si>
  <si>
    <t>Energy North</t>
  </si>
  <si>
    <t>Energy North October 2026 TPR</t>
  </si>
  <si>
    <t>deb54694-75bf-408f-406f-08de5da29cfe</t>
  </si>
  <si>
    <t>THE GIANT COMPANY April 2026 Puff Singles TPR</t>
  </si>
  <si>
    <t>e00cc2d4-4521-4952-d70c-08de5cdc8bfa</t>
  </si>
  <si>
    <t>Fresh Thyme January 2026 Puff Singles TPR</t>
  </si>
  <si>
    <t>e0590359-2233-4d74-7f73-08de5da29cfe</t>
  </si>
  <si>
    <t>SCHNUCKS March 2026 Puff Singles TPR</t>
  </si>
  <si>
    <t>e10cb613-e30c-440a-a09a-08de89a46b1d</t>
  </si>
  <si>
    <t>e132b15f-21fc-443a-d713-08de5cdc8bfa</t>
  </si>
  <si>
    <t>GELSONS August 2026 Puff Singles TPR</t>
  </si>
  <si>
    <t>e1a4a940-50f2-4eb6-4057-08de5da29cfe</t>
  </si>
  <si>
    <t>RALPHS August 2026 Puff Singles TPR</t>
  </si>
  <si>
    <t>e21663d0-2a3c-46ca-635d-08de5da29cfe</t>
  </si>
  <si>
    <t>7 ELEVEN</t>
  </si>
  <si>
    <t>7 ELEVEN March 2026 TPR</t>
  </si>
  <si>
    <t>e24ffe3c-7b9b-489b-d743-08de5cdc8bfa</t>
  </si>
  <si>
    <t>Super1 February 2026 Puff Singles TPR</t>
  </si>
  <si>
    <t>e264d2b5-279f-4806-7f50-08de5da29cfe</t>
  </si>
  <si>
    <t>HY-VEE September 2026 Puff Singles TPR</t>
  </si>
  <si>
    <t>e2cee930-dcc5-49ab-4041-08de5da29cfe</t>
  </si>
  <si>
    <t>HARRIS TEETER February 2026 Puff Singles TPR</t>
  </si>
  <si>
    <t>e31c08f3-9710-465e-4047-08de5da29cfe</t>
  </si>
  <si>
    <t>King Soopers February 2026 Puff Singles TPR</t>
  </si>
  <si>
    <t>e32c09af-c1a9-4e45-b6f8-08de8bfc2efc</t>
  </si>
  <si>
    <t>September 2026 $1 Digital Coupon</t>
  </si>
  <si>
    <t>e348aa0c-a9bd-46ad-6373-08de5da29cfe</t>
  </si>
  <si>
    <t>Follett August 2026 TPR</t>
  </si>
  <si>
    <t>e348f3f3-4f45-4def-d75c-08de5cdc8bfa</t>
  </si>
  <si>
    <t>Yokes May 2026 Puff Singles TPR</t>
  </si>
  <si>
    <t>e4c1a4b1-0322-4998-a15c-08de89a46b1d</t>
  </si>
  <si>
    <t>May 2026 $9.99 TPR + Digital + Sour Shippers</t>
  </si>
  <si>
    <t>e540bad4-3194-45e4-7f3d-08de5da29cfe</t>
  </si>
  <si>
    <t>EXTRA MILE September 2026 Puff Singles TPR</t>
  </si>
  <si>
    <t>e5f929e1-e89e-4dcd-404a-08de5da29cfe</t>
  </si>
  <si>
    <t>King Soopers October 2026 Puff 4-Pack TPR</t>
  </si>
  <si>
    <t>e5fce58c-bf32-4433-d75d-08de5cdc8bfa</t>
  </si>
  <si>
    <t>Yokes August 2026 Puff Singles TPR</t>
  </si>
  <si>
    <t>e6080668-86dd-4b9c-a0d5-08de89a46b1d</t>
  </si>
  <si>
    <t>August 2026 $1 off Digital Coupon</t>
  </si>
  <si>
    <t>e68c1cfe-fd90-4b8e-636e-08de5da29cfe</t>
  </si>
  <si>
    <t>EG America October 2026 TPR</t>
  </si>
  <si>
    <t>e69c1790-f09b-4768-6376-08de5da29cfe</t>
  </si>
  <si>
    <t>GETGO June 2026 TPR</t>
  </si>
  <si>
    <t>e6a5e094-4e87-45dd-c438-08de867ddefc</t>
  </si>
  <si>
    <t>2026 Summer Shippers</t>
  </si>
  <si>
    <t>e781a137-6e21-4f86-4071-08de5da29cfe</t>
  </si>
  <si>
    <t>THE GIANT COMPANY February 2026 Puff 4-Pack TPR</t>
  </si>
  <si>
    <t>e99a72b3-bc3a-47fd-403e-08de5da29cfe</t>
  </si>
  <si>
    <t>Giant Foods July 2026 Puff Singles TPR</t>
  </si>
  <si>
    <t>ead31595-41cd-446b-7f89-08de5da29cfe</t>
  </si>
  <si>
    <t>UNITED PACIFIC July 2026 Puff Singles TPR</t>
  </si>
  <si>
    <t>eba32610-bc3a-40ae-402b-08de5da29cfe</t>
  </si>
  <si>
    <t>CVS May 2026 Puff Singles TPR</t>
  </si>
  <si>
    <t>ec5f3c03-5f7e-4bc1-84c0-08de4f7c9ec1</t>
  </si>
  <si>
    <t>Lowes Foods May 2026 TPR + Ad</t>
  </si>
  <si>
    <t>eead61c5-d181-426e-7f7f-08de5da29cfe</t>
  </si>
  <si>
    <t>SCHNUCKS November 2026 Puff 4-Pack TPR</t>
  </si>
  <si>
    <t>eed1c40c-8519-4836-0d2a-08de84ec3490</t>
  </si>
  <si>
    <t>ef2cc59f-d20a-4b0b-d735-08de5cdc8bfa</t>
  </si>
  <si>
    <t>SAVE MART May 2026 Puff 4-Pack TPR</t>
  </si>
  <si>
    <t>ef53cb50-a732-48b4-7f40-08de5da29cfe</t>
  </si>
  <si>
    <t>FESTIVAL FOODS May 2026 Puff Singles TPR</t>
  </si>
  <si>
    <t>ef5efafa-a7f3-488b-d701-08de5cdc8bfa</t>
  </si>
  <si>
    <t>ASSOCIATED FOOD STORES, INC. July 2026 Puff Singles TPR</t>
  </si>
  <si>
    <t>ef5f78a5-2140-474f-efce-08de8bfc2efc</t>
  </si>
  <si>
    <t>ef69479e-62a8-439b-6297-08de5f343061</t>
  </si>
  <si>
    <t>Evergreen Shippers 2026 January</t>
  </si>
  <si>
    <t>efd8e5c6-7760-4613-a15d-08de89a46b1d</t>
  </si>
  <si>
    <t>f022b677-cf19-4058-636f-08de5da29cfe</t>
  </si>
  <si>
    <t>Energy North April 2026 TPR</t>
  </si>
  <si>
    <t>f2036fb3-f26a-4324-406e-08de5da29cfe</t>
  </si>
  <si>
    <t>STOP &amp; SHOP October 2026 Puff Singles TPR</t>
  </si>
  <si>
    <t>f206c1b3-bd85-4eef-7f39-08de5da29cfe</t>
  </si>
  <si>
    <t>EXTRA MILE January 2026 Puff Singles TPR</t>
  </si>
  <si>
    <t>f20e5bc9-a34d-4b1a-4045-08de5da29cfe</t>
  </si>
  <si>
    <t>King Soopers April 2026 Puff 4-Pack TPR</t>
  </si>
  <si>
    <t>f295d22b-432d-4841-1f5a-08de8bfc2efd</t>
  </si>
  <si>
    <t>f3c02f67-5c37-498b-a081-08de89a46b1d</t>
  </si>
  <si>
    <t>f3ea97ff-dabc-43b4-4031-08de5da29cfe</t>
  </si>
  <si>
    <t>FRED MEYER August 2026 Puff Singles TPR</t>
  </si>
  <si>
    <t>f43bb155-01ab-4230-4998-08de6afe834a</t>
  </si>
  <si>
    <t>July 2026 - Party in the USA $8.99 TPR + Ice Cream</t>
  </si>
  <si>
    <t>f43c605a-4333-448e-d707-08de5cdc8bfa</t>
  </si>
  <si>
    <t>ASSOCIATED FOOD STORES, INC. October 2026 Puff 4-Pack TPR</t>
  </si>
  <si>
    <t>f46a6ba7-199a-4030-d71f-08de5cdc8bfa</t>
  </si>
  <si>
    <t>LANL March 2026 Puff Singles TPR</t>
  </si>
  <si>
    <t>f486f770-1dba-4014-6387-08de5da29cfe</t>
  </si>
  <si>
    <t>Nouria June 2026 TPR</t>
  </si>
  <si>
    <t>f497d478-139f-4f06-4078-08de5da29cfe</t>
  </si>
  <si>
    <t>TOPS March 2026 Puff Singles TPR</t>
  </si>
  <si>
    <t>f509e16d-0912-445b-d744-08de5cdc8bfa</t>
  </si>
  <si>
    <t>Super1 May 2026 Puff Singles TPR</t>
  </si>
  <si>
    <t>f519e096-e528-47a8-4039-08de5da29cfe</t>
  </si>
  <si>
    <t>GIANT EAGLE February 2026 Puff Singles TPR</t>
  </si>
  <si>
    <t>f55875c9-a458-4b7d-d73f-08de5cdc8bfa</t>
  </si>
  <si>
    <t>SPROUTS February 2026 Puff Singles TPR</t>
  </si>
  <si>
    <t>f5def692-6355-4279-84cc-08de4f7c9ec1</t>
  </si>
  <si>
    <t>July 2026 Puff 4-Pack TPR + Shippers</t>
  </si>
  <si>
    <t>f622a157-1283-431b-7f3c-08de5da29cfe</t>
  </si>
  <si>
    <t>EXTRA MILE June 2026 Puff Singles TPR</t>
  </si>
  <si>
    <t>f64189b2-ddf5-436e-bbfc-08de8bfc2efc</t>
  </si>
  <si>
    <t>f714ebc8-95c3-4c47-85c0-08de8bfc2efd</t>
  </si>
  <si>
    <t>f75bd9da-594b-4a88-4060-08de5da29cfe</t>
  </si>
  <si>
    <t>SMITHS August 2026 Puff Singles TPR</t>
  </si>
  <si>
    <t>f7f76767-9730-4e32-4157-08de5e781b74</t>
  </si>
  <si>
    <t>May 2026 2/$4 TPR, $9.49 4ct + Minions Shippers</t>
  </si>
  <si>
    <t>f89fd65a-9faa-47ee-d73a-08de5cdc8bfa</t>
  </si>
  <si>
    <t>SMART &amp; FINAL May 2026 Puff Singles TPR</t>
  </si>
  <si>
    <t>f8d19f53-8231-4ef2-4088-08de5da29cfe</t>
  </si>
  <si>
    <t>Walgreens August 2026 Puff Singles TPR</t>
  </si>
  <si>
    <t>f8f5ca4a-5254-43be-d702-08de5cdc8bfa</t>
  </si>
  <si>
    <t>ASSOCIATED FOOD STORES, INC. September 2026 Puff Singles TPR</t>
  </si>
  <si>
    <t>f9292a49-b268-4c69-d70b-08de5cdc8bfa</t>
  </si>
  <si>
    <t>Earth Fare October 2026 Puff Singles TPR</t>
  </si>
  <si>
    <t>f93178e3-0ed1-41ad-4053-08de5da29cfe</t>
  </si>
  <si>
    <t>KROGER November 2026 Puff Singles TPR</t>
  </si>
  <si>
    <t>f9d3064e-1215-458a-7f42-08de5da29cfe</t>
  </si>
  <si>
    <t>FESTIVAL FOODS October 2026 Puff Singles TPR</t>
  </si>
  <si>
    <t>f9d80eec-bcfe-4d32-4065-08de5da29cfe</t>
  </si>
  <si>
    <t>SMITHS March 2026 Puff Singles TPR</t>
  </si>
  <si>
    <t>fb37ccf6-9077-471f-637f-08de5da29cfe</t>
  </si>
  <si>
    <t>MEIJER May 2026 TPR</t>
  </si>
  <si>
    <t>fbbd9290-4aed-4958-636a-08de5da29cfe</t>
  </si>
  <si>
    <t>DELEK February 2026 TPR</t>
  </si>
  <si>
    <t>fc90f94f-bca2-428d-407c-08de5da29cfe</t>
  </si>
  <si>
    <t>VITAMIN SHOPPE August 2026 Puff Singles TPR</t>
  </si>
  <si>
    <t>fd03e33a-c062-44d5-626d-08de6afe834a</t>
  </si>
  <si>
    <t>fd2ca55d-e09b-42be-7f1c-08de5da29cfe</t>
  </si>
  <si>
    <t>AWG June 2026 Puff Singles TPR</t>
  </si>
  <si>
    <t>fd493259-c365-48f1-84c1-08de4f7c9ec1</t>
  </si>
  <si>
    <t>Lowes Foods July 2026 TPR + L2G Sampling</t>
  </si>
  <si>
    <t>fd9944e9-8664-4e3d-d71e-08de5cdc8bfa</t>
  </si>
  <si>
    <t>LANL January 2026 Puff Singles TPR</t>
  </si>
  <si>
    <t>fe9f3c5a-4f79-4415-7f6f-08de5da29cfe</t>
  </si>
  <si>
    <t>PLAID PANTRY April 2026 Puff Singles TPR</t>
  </si>
  <si>
    <t>fea46030-1dab-431a-4040-08de5da29cfe</t>
  </si>
  <si>
    <t>HARRIS TEETER August 2026 Puff Singles TPR</t>
  </si>
  <si>
    <t>Channnel</t>
  </si>
  <si>
    <t>Revised Promo Discount</t>
  </si>
  <si>
    <t>Display?</t>
  </si>
  <si>
    <t>Base Units</t>
  </si>
  <si>
    <t>Incremental Units</t>
  </si>
  <si>
    <t xml:space="preserve">Lift  </t>
  </si>
  <si>
    <t>No</t>
  </si>
  <si>
    <t>Convenience</t>
  </si>
  <si>
    <t>Club</t>
  </si>
  <si>
    <t>Grocery</t>
  </si>
  <si>
    <t>xxx</t>
  </si>
  <si>
    <t>Drug</t>
  </si>
  <si>
    <t>TBD</t>
  </si>
  <si>
    <t>convenience</t>
  </si>
  <si>
    <t>Health Store</t>
  </si>
  <si>
    <t>AD</t>
  </si>
  <si>
    <t>Albertsons</t>
  </si>
  <si>
    <t>WELLNESS BAR - SINGLE - BUILT PUFF</t>
  </si>
  <si>
    <t>Total Unit Sales</t>
  </si>
  <si>
    <t>Percent Lift over Base Unit Sales</t>
  </si>
  <si>
    <t>Incremental Unit Sales</t>
  </si>
  <si>
    <t>Base Unit Sales</t>
  </si>
  <si>
    <t>Average Price</t>
  </si>
  <si>
    <t>Promo Price</t>
  </si>
  <si>
    <t>Average Price Percent Discount</t>
  </si>
  <si>
    <t>Average Price Drop</t>
  </si>
  <si>
    <t>Average Price - Promoted</t>
  </si>
  <si>
    <t>Average Price - Base</t>
  </si>
  <si>
    <t>Yes</t>
  </si>
  <si>
    <t>Everyday price</t>
  </si>
  <si>
    <t>single display</t>
  </si>
  <si>
    <t>WELLNESS BAR - MULTI - BUILT PUFF</t>
  </si>
  <si>
    <t>4 counts</t>
  </si>
  <si>
    <t>yes</t>
  </si>
  <si>
    <t>no</t>
  </si>
  <si>
    <t>Same data as above</t>
  </si>
  <si>
    <t>albertsons Denver</t>
  </si>
  <si>
    <t>Notes</t>
  </si>
  <si>
    <t>Back to back after February one</t>
  </si>
  <si>
    <t>High discount but for a limited number of customers</t>
  </si>
  <si>
    <t>Deeper discount + displays</t>
  </si>
  <si>
    <t>Not available</t>
  </si>
  <si>
    <t>Awg singles</t>
  </si>
  <si>
    <t>4 week promotion looks to have been shortened to 2</t>
  </si>
  <si>
    <t xml:space="preserve">Awg </t>
  </si>
  <si>
    <t>Awg Multis</t>
  </si>
  <si>
    <t>Not effective promotion, raised price then promoted brand</t>
  </si>
  <si>
    <t>Must more effective 4 pack promo for AWG</t>
  </si>
  <si>
    <t>AFS Singles</t>
  </si>
  <si>
    <t>N/A</t>
  </si>
  <si>
    <t>Moved dates to later and ran only for 2 weeks</t>
  </si>
  <si>
    <t>Febrary promo performed better at AFS</t>
  </si>
  <si>
    <t>AFS 4 packs</t>
  </si>
  <si>
    <t>lifts</t>
  </si>
  <si>
    <t>Moved to March.</t>
  </si>
  <si>
    <t>Low discount resulted in lower lift. Promoted 4 ct over $10 likely too high</t>
  </si>
  <si>
    <t>Jewel</t>
  </si>
  <si>
    <t>Multiple events, part of 4 pack event too</t>
  </si>
  <si>
    <t>Less promotion support vs. February</t>
  </si>
  <si>
    <t>Jewel 4 packs</t>
  </si>
  <si>
    <t>Longer promotion than planned</t>
  </si>
  <si>
    <t>1 week event</t>
  </si>
  <si>
    <t>April promo perfomed well despite back to back nature of promos. Base sales were higher in April.</t>
  </si>
  <si>
    <t>Circle K promotions</t>
  </si>
  <si>
    <t>MULTI CVS</t>
  </si>
  <si>
    <t>Ended up being a 1 week vs. 2 week promo</t>
  </si>
  <si>
    <t>Promo price was higher and discount was more shallow than previous promos</t>
  </si>
  <si>
    <t>Promo was preceeded by 2 week feature ad</t>
  </si>
  <si>
    <t>Fresh Thyme- Effectiveness</t>
  </si>
  <si>
    <t>Fresh Thyme- Lift</t>
  </si>
  <si>
    <t>Percent Lift over Base Dollar Sales</t>
  </si>
  <si>
    <t>Two middle weeks of 6 week promotion had lower price and higher effectiveness, 140%.  Lifts for this promo was based on 6 week average. Event ran a month later than planned</t>
  </si>
  <si>
    <t>Did not happen</t>
  </si>
  <si>
    <t>Shfited promotion from April to May</t>
  </si>
  <si>
    <t>Moved to March</t>
  </si>
  <si>
    <t>NO</t>
  </si>
  <si>
    <t>Giant Eagle</t>
  </si>
  <si>
    <t>Higher base units than June, but similar lift</t>
  </si>
  <si>
    <t>January 17th has highest lift of any week, shoulder weeks reduced lift</t>
  </si>
  <si>
    <t>AHD Giant Carlisle</t>
  </si>
  <si>
    <t>Harmons</t>
  </si>
  <si>
    <t xml:space="preserve">One week not one month, There was another promotion later in the month </t>
  </si>
  <si>
    <t>One week not one month, There was smaller elements of the promotion at highe rpcies later in the week</t>
  </si>
  <si>
    <t>na</t>
  </si>
  <si>
    <t>Harris Teeter</t>
  </si>
  <si>
    <t>2/22 had the highest lift of all weeks</t>
  </si>
  <si>
    <t>Hyvee</t>
  </si>
  <si>
    <t>Total Dollar Sales</t>
  </si>
  <si>
    <t>Incremental Dollar Sales</t>
  </si>
  <si>
    <t>Base Dollar Sales</t>
  </si>
  <si>
    <t>Feature ad</t>
  </si>
  <si>
    <t>Feature and Display, only 1 week</t>
  </si>
  <si>
    <t>Hyvee Fast and Fresh</t>
  </si>
  <si>
    <t>2 week promotion was actually a 6 week promo. Lift of first week was 28% but by end of promo, lift was 13%.</t>
  </si>
  <si>
    <t>No break between January and February promotion. Lift of first week was 28% but by end of promo, lift was 13%.</t>
  </si>
  <si>
    <t>Cancelled/ No promo</t>
  </si>
  <si>
    <t>Shallow price reduction with display</t>
  </si>
  <si>
    <t>KING SOOPER</t>
  </si>
  <si>
    <t>Promo ran 6 weeks vs. 4 week plan, March promo was pushed to May</t>
  </si>
  <si>
    <t>Mixed promotion with 2 weeks in the middle getting lower TPR and higher lift and shoulder weeks getting moderate price decrease</t>
  </si>
  <si>
    <t>CONTENTS</t>
  </si>
  <si>
    <t>Events</t>
  </si>
  <si>
    <t>Source promotion table and measured event fields.</t>
  </si>
  <si>
    <t>Reference</t>
  </si>
  <si>
    <t>Supporting weekly sales and pricing reference data.</t>
  </si>
  <si>
    <t>Promotion Insights</t>
  </si>
  <si>
    <t>PROMOTION LIFT &amp; DISCOUNT INSIGHTS</t>
  </si>
  <si>
    <t>KEY FINDINGS</t>
  </si>
  <si>
    <t>Lift-qualified IDs</t>
  </si>
  <si>
    <t>Retailers</t>
  </si>
  <si>
    <t>RETAILER PERFORMANCE</t>
  </si>
  <si>
    <t>Retailer</t>
  </si>
  <si>
    <t>Promotion IDs</t>
  </si>
  <si>
    <t>Avg Lift</t>
  </si>
  <si>
    <t>Weighted Lift</t>
  </si>
  <si>
    <t>Avg Discount</t>
  </si>
  <si>
    <t>DISCOUNT PERFORMANCE</t>
  </si>
  <si>
    <t>Discount Band</t>
  </si>
  <si>
    <t>&lt;5%</t>
  </si>
  <si>
    <t>5–&lt;10%</t>
  </si>
  <si>
    <t>10–&lt;15%</t>
  </si>
  <si>
    <t>Promotion</t>
  </si>
  <si>
    <t>Product Scope</t>
  </si>
  <si>
    <t>Weighted Discount</t>
  </si>
  <si>
    <t>Lift</t>
  </si>
  <si>
    <t>1078-1</t>
  </si>
  <si>
    <t>1078-4</t>
  </si>
  <si>
    <t>9 week with various promotional price points</t>
  </si>
  <si>
    <t>6 Week promotion that  was shifted to July</t>
  </si>
  <si>
    <t>Meijer</t>
  </si>
  <si>
    <t>Maverick</t>
  </si>
  <si>
    <t>1 week break between April and May promo</t>
  </si>
  <si>
    <t>New Season Market</t>
  </si>
  <si>
    <t>2 week promotion lower price during w/e 2/15</t>
  </si>
  <si>
    <t>Shallower price discount resulting in lower lift</t>
  </si>
  <si>
    <t>Plaid Pantry</t>
  </si>
  <si>
    <t>Higher base due to seasonality</t>
  </si>
  <si>
    <t>Save Mart</t>
  </si>
  <si>
    <t>YES</t>
  </si>
  <si>
    <t>Hard to identify timing of coupon, came after another promo.</t>
  </si>
  <si>
    <t>Did not see sif</t>
  </si>
  <si>
    <t>Schnucks</t>
  </si>
  <si>
    <t xml:space="preserve"> Strong lift with w/e Jan 11 having a 118% U lift</t>
  </si>
  <si>
    <t>1394 -1</t>
  </si>
  <si>
    <t>1394 - 4</t>
  </si>
  <si>
    <t>1396 -1</t>
  </si>
  <si>
    <t>1396 - 4</t>
  </si>
  <si>
    <t>Made it 2 week promo since week 3 prices were higher</t>
  </si>
  <si>
    <t xml:space="preserve">Lowest lifts of all promotions YTD </t>
  </si>
  <si>
    <t>Same promo as 4 packs</t>
  </si>
  <si>
    <t>Sam's</t>
  </si>
  <si>
    <t>PPG - BUILT TOTAL</t>
  </si>
  <si>
    <t xml:space="preserve"> 1/11/26 ois highest lift at 127%</t>
  </si>
  <si>
    <t>Sprouts</t>
  </si>
  <si>
    <t>5 weeks of lift but variation of prices</t>
  </si>
  <si>
    <t>4 week promo</t>
  </si>
  <si>
    <t>Stop and Shop</t>
  </si>
  <si>
    <t>4 packs</t>
  </si>
  <si>
    <t>Spartan Nash</t>
  </si>
  <si>
    <t>Don't know why this promo did better?</t>
  </si>
  <si>
    <t>Lower seasonality but higher lift, shifted promotion</t>
  </si>
  <si>
    <t>Channel</t>
  </si>
  <si>
    <t>EG GROUP</t>
  </si>
  <si>
    <t>Getgo</t>
  </si>
  <si>
    <t>9 week promo</t>
  </si>
  <si>
    <t>Too early distribution started in January</t>
  </si>
  <si>
    <t>WALGREENS</t>
  </si>
  <si>
    <t>wawa</t>
  </si>
  <si>
    <t>Feature ad with a 2% discount, poor lift due to less appealing offer. Only 9% lift in best week vs. 45% lift in May promo</t>
  </si>
  <si>
    <t>Wakefern</t>
  </si>
  <si>
    <t>Incredible lift of 245% for a week with 4 weeks over 100% lift</t>
  </si>
  <si>
    <t>Average price increased vs. prior periods</t>
  </si>
  <si>
    <t>1 week on, week of 3/14  back on promo for 2 weeks</t>
  </si>
  <si>
    <t>1 week on, week off, and 2 weeks back on promo</t>
  </si>
  <si>
    <t>DISPLAY LIFT BY DISCOUNT</t>
  </si>
  <si>
    <t>Display IDs</t>
  </si>
  <si>
    <t>Use</t>
  </si>
  <si>
    <t>Y</t>
  </si>
  <si>
    <t>Giant Carlisle</t>
  </si>
  <si>
    <t>5 week promo</t>
  </si>
  <si>
    <t>n</t>
  </si>
  <si>
    <t>Not sure if it double counting</t>
  </si>
  <si>
    <t>Cost per Incremental Unit</t>
  </si>
  <si>
    <t>CATALOG PROMPT — REFRESH PROMOTION INSIGHTS</t>
  </si>
  <si>
    <t>WEIS</t>
  </si>
  <si>
    <t>Actual Start Date</t>
  </si>
  <si>
    <t>Actual End Date</t>
  </si>
  <si>
    <t>LIFT BY PROMOTION LENGTH</t>
  </si>
  <si>
    <t>Length Band</t>
  </si>
  <si>
    <t>Lift Index</t>
  </si>
  <si>
    <t>1 Week</t>
  </si>
  <si>
    <t>2 Weeks</t>
  </si>
  <si>
    <t>3 Weeks</t>
  </si>
  <si>
    <t>4 Weeks</t>
  </si>
  <si>
    <t>5+ Weeks</t>
  </si>
  <si>
    <t>Actual Start</t>
  </si>
  <si>
    <t>Actual End</t>
  </si>
  <si>
    <t>PROMOTION LENGTH BY CHANNEL</t>
  </si>
  <si>
    <t>PROMOTION PERFORMANCE WORKBOOK PROMPT</t>
  </si>
  <si>
    <t>Promotion Performance workbook</t>
  </si>
  <si>
    <t>Goal</t>
  </si>
  <si>
    <t>Analyze all relevant promotions to understand performance and make recommendations for improvement</t>
  </si>
  <si>
    <t>Question</t>
  </si>
  <si>
    <t>Insight</t>
  </si>
  <si>
    <t>How is the promotion portfolio performing overall?</t>
  </si>
  <si>
    <t>Do 1-count or 4-count promotions perform better?</t>
  </si>
  <si>
    <t>How does promotion length affect performance?</t>
  </si>
  <si>
    <t>Where are the strongest retailer and channel-duration opportunities?</t>
  </si>
  <si>
    <t>CATALOG PROMPT — REFRESH SUMMARY PAGE</t>
  </si>
  <si>
    <t>SUMMARY PAGE PROMPT</t>
  </si>
  <si>
    <t>QUESTIONS &amp; ANSWERS</t>
  </si>
  <si>
    <t>y</t>
  </si>
  <si>
    <t>4 week promo with feature ad</t>
  </si>
  <si>
    <t>Channels</t>
  </si>
  <si>
    <t>Average Lift</t>
  </si>
  <si>
    <t>Portfolio Weighted Lift</t>
  </si>
  <si>
    <t>Base-Weighted Discount</t>
  </si>
  <si>
    <t>16 weeks in the first half and lifts remained strong</t>
  </si>
  <si>
    <t>Publix</t>
  </si>
  <si>
    <t>WELLNESS BAR - SINGLE - BUILT SOUR PUFF</t>
  </si>
  <si>
    <t>1 week promo</t>
  </si>
  <si>
    <t>Sour promo</t>
  </si>
  <si>
    <t>Brookshire</t>
  </si>
  <si>
    <t>1340 -1</t>
  </si>
  <si>
    <t>1340-4</t>
  </si>
  <si>
    <t>The promotion was 2x of the original planned duration</t>
  </si>
  <si>
    <t>1381-1</t>
  </si>
  <si>
    <t>1381-4</t>
  </si>
  <si>
    <t>44%+</t>
  </si>
  <si>
    <t>1382-1</t>
  </si>
  <si>
    <t>1382-4</t>
  </si>
  <si>
    <t>Did not see an event</t>
  </si>
  <si>
    <t>Albertsons Nor cal</t>
  </si>
  <si>
    <t>It may have happened, did not see results</t>
  </si>
  <si>
    <t>Diplay helped the lift</t>
  </si>
  <si>
    <t>Lift Difference ( Act- Planned</t>
  </si>
  <si>
    <t>Compared IDs</t>
  </si>
  <si>
    <t>Above Plan</t>
  </si>
  <si>
    <t>Below Plan</t>
  </si>
  <si>
    <t>Avg Lift Variance</t>
  </si>
  <si>
    <t>Planned Lift</t>
  </si>
  <si>
    <t>Lift Variance</t>
  </si>
  <si>
    <t>Actual vs Plan</t>
  </si>
  <si>
    <t>What trends are we seeing in lift variance by channel, retailer, and pack size?</t>
  </si>
  <si>
    <t>ACI PORTLAND</t>
  </si>
  <si>
    <t>Deeper discount with lower lift</t>
  </si>
  <si>
    <t>Hard to calculate</t>
  </si>
  <si>
    <t>1470-1</t>
  </si>
  <si>
    <t>1470-4</t>
  </si>
  <si>
    <t>Looks to be a BOGO or 50% off</t>
  </si>
  <si>
    <t>Target</t>
  </si>
  <si>
    <t>Goal was 15% off with a BOG0 30, lower disc.</t>
  </si>
  <si>
    <t>Goal was 2%% off, BOGO 50</t>
  </si>
  <si>
    <t>3 promotions back to back</t>
  </si>
  <si>
    <t>Longer than planned</t>
  </si>
  <si>
    <t>Which discount levels balance lift, scale, and efficiency?</t>
  </si>
  <si>
    <t>How do display promotions trade scale against efficiency?</t>
  </si>
  <si>
    <t>1335-1</t>
  </si>
  <si>
    <t>1335-4</t>
  </si>
  <si>
    <t>Never happened</t>
  </si>
  <si>
    <t>8 week promo</t>
  </si>
  <si>
    <t>moved to single promo</t>
  </si>
  <si>
    <t>HOW THE PROMOTION PERFORMANCE WORKBOOK WORKS</t>
  </si>
  <si>
    <t>From 596 event rows to weighted promotion insights and executive recommendations</t>
  </si>
  <si>
    <t>WORKFLOW — SOURCE → RULES → METRICS → INSIGHTS → ACTION</t>
  </si>
  <si>
    <t>1  INGEST</t>
  </si>
  <si>
    <t>2  QUALIFY</t>
  </si>
  <si>
    <t>3  AGGREGATE</t>
  </si>
  <si>
    <t>4  CALCULATE</t>
  </si>
  <si>
    <t>5  PUBLISH</t>
  </si>
  <si>
    <t>Resize Events!Table1 to every populated row in A:AM. Current scope: 596 event rows.</t>
  </si>
  <si>
    <t>Keep Use = Y with numeric lift. Nonqualifying rows remain in the source table but stay out of analysis.</t>
  </si>
  <si>
    <t>➜</t>
  </si>
  <si>
    <t>LIVE OUTPUT — HEADLINE PORTFOLIO METRICS</t>
  </si>
  <si>
    <t>LIFT-QUALIFIED IDs</t>
  </si>
  <si>
    <t>PORTFOLIO-WEIGHTED LIFT</t>
  </si>
  <si>
    <t>INCREMENTAL UNITS</t>
  </si>
  <si>
    <t>BASE-WEIGHTED DISCOUNT</t>
  </si>
  <si>
    <t>WHY THE WORKBOOK IS RELIABLE</t>
  </si>
  <si>
    <t>Extra Mile</t>
  </si>
  <si>
    <t>Raley's</t>
  </si>
  <si>
    <t>Included Ad</t>
  </si>
  <si>
    <t>No Plan</t>
  </si>
  <si>
    <t>RECOMMENDED ONE-PASS REFRESH</t>
  </si>
  <si>
    <t>CATALOG PROMPT — FULL REFRESH (FASTER, SAME CONTROLS)</t>
  </si>
  <si>
    <t>Ralphs</t>
  </si>
  <si>
    <t>Moved to May from March</t>
  </si>
  <si>
    <t>Moved from April to June</t>
  </si>
  <si>
    <t>Nugget</t>
  </si>
  <si>
    <t>Natural</t>
  </si>
  <si>
    <t>Build segment tables and Channel rankings from Events column D, then refresh all eight executive Q&amp;A insights on Summary Page.</t>
  </si>
  <si>
    <t>The model preserves every populated event row in the source table, applies explicit eligibility and weighting rules, and aggregates duplicate product rows before analysis. Promotion Insights is the calculation and segmentation layer; Summary Page converts those completed results into eight decision-focused answers. Refresh sequence: Events → Promotion Insights → Summary Page. Reference is supporting context and is not used to calculate the refreshed analysis.</t>
  </si>
  <si>
    <t>Lift-qualified promotion analysis — authoritative rules and efficient refresh workflow</t>
  </si>
  <si>
    <t>1. SOURCE SCOPE — Find the last populated row across Events!A:AM, resize Events!Table1 once to Events!A1:AM[last populated row], and retain every populated source row, including nonqualifying rows. Never extend beyond AM or use the table’s previous boundary as the stopping point.</t>
  </si>
  <si>
    <t>2. OBJECTIVE — Refresh Promotion Insights from all current Events!Table1 rows. Events is the only analytical source; Reference is context only. Use Table1[Channnel] as Channel, normalize capitalization and surrounding spaces, preserve genuinely distinct values, and rebuild outputs dynamically for current IDs, retailers, and channels.</t>
  </si>
  <si>
    <t>AUTHORITATIVE BUSINESS RULES</t>
  </si>
  <si>
    <t>• Eligibility: include one promotion only when trimmed Table1[Use] equals Y, case-insensitive, and Table1[Lift  ] is numeric. Group by Table1[ID]; preserve the displayed ID and flag any conflicting retailer or Channel assignments instead of silently choosing one.</t>
  </si>
  <si>
    <t>• Duration: use earliest valid Actual Start Date through latest valid Actual End Date, count inclusive days, convert to ceiling weeks, and band as 1 Week, 2 Weeks, 3 Weeks, 4 Weeks, or 5+ Weeks. Exclude invalid dates only from duration outputs and report qualified-ID coverage.</t>
  </si>
  <si>
    <t>REQUIRED OUTPUTS — preserve this section order; keep Promotion Detail last</t>
  </si>
  <si>
    <t>5. Lift by Promotion Length — all five duration bands with IDs, average duration, average lift, base-weighted lift, base units, incremental units, and lift index.</t>
  </si>
  <si>
    <t>CATALOG PROMPT — FULL REFRESH (OPTIMIZED, SAME CONTROLS)</t>
  </si>
  <si>
    <t>Populate all eight Question/Insight pairs in Summary Page!C9:C31. Preserve the labels in column B and spacer rows 11, 14, 17, 20, 23, 26, and 29. Replace all prior answers and preserve the existing executive format.</t>
  </si>
  <si>
    <t>OPEN ITEMS — NOT APPLIED UNTIL DEFINED</t>
  </si>
  <si>
    <t>Incremental cost / cost per incremental unit</t>
  </si>
  <si>
    <t>Define the approved cost numerator and whether trade spend, scan, or another source field is authoritative.</t>
  </si>
  <si>
    <t>Display-week threshold</t>
  </si>
  <si>
    <t>Clarify what “display sales over 15%” is measured against and how weekly Reference data maps to a promotion ID.</t>
  </si>
  <si>
    <t>Concurrent vs separate packs</t>
  </si>
  <si>
    <t>Implemented: opposite-pack actual-date overlap at the same retailer, after excluding known weighted discounts ≥44%.</t>
  </si>
  <si>
    <t>1. PUBLIX leads retailer average lift at 368.7% across 3 IDs.</t>
  </si>
  <si>
    <t>Lift / Discount Point</t>
  </si>
  <si>
    <t>PACK PERFORMANCE</t>
  </si>
  <si>
    <t>Pack Scope</t>
  </si>
  <si>
    <t>1CT</t>
  </si>
  <si>
    <t>4CT</t>
  </si>
  <si>
    <t>Club Pack</t>
  </si>
  <si>
    <t>Other/Multiple</t>
  </si>
  <si>
    <t>Avg Duration (Weeks)</t>
  </si>
  <si>
    <t>Met Plan</t>
  </si>
  <si>
    <t>CONCURRENT VS SEPARATE 1CT / 4CT</t>
  </si>
  <si>
    <t>Actual Lift</t>
  </si>
  <si>
    <t>Display</t>
  </si>
  <si>
    <t>How well do 1 pack and 4 packs do when promoted concurrently versus separately at the same retailer?</t>
  </si>
  <si>
    <t>Average discount over period, w/e 2/22 had 46% discount and 200+ % ligy</t>
  </si>
  <si>
    <t>2 week period vs. 4 week planned</t>
  </si>
  <si>
    <t>1481-4</t>
  </si>
  <si>
    <t>MULTIS</t>
  </si>
  <si>
    <t>6 week promo</t>
  </si>
  <si>
    <t>4 week promo after 6 week promo</t>
  </si>
  <si>
    <t>14 wks in a row</t>
  </si>
  <si>
    <t>5–&lt;10% display promotions provide the most incremental-unit scale at 649,058 units and 91.2% weighted lift across 11 IDs. &lt;5% is most efficient at 52.5x across 3 display IDs.</t>
  </si>
  <si>
    <t>Promotions underperformed, 19 weeks in a row</t>
  </si>
  <si>
    <t>1482-4</t>
  </si>
  <si>
    <t>• Source variance formula: fill Table1[Lift Difference ( Act- Planned] through every source row with =IF(AND(ISNUMBER([@[Lift  ]]),ISNUMBER([@[Plan lift, %]]),[@[Plan lift, %]]&lt;&gt;0),[@[Lift  ]]-[@[Plan lift, %]],""). Recalculate and read the completed source values before aggregation. At ID level, base-unit-weight valid row variances; planned lift = actual lift − weighted variance. Classify &gt;0 Above Plan, &lt;0 Below Plan, =0 Met Plan, and blank No Plan.</t>
  </si>
  <si>
    <t>• Definitions and conflicts: display status comes from Table1[Display?]. Pack cohorts are derived consistently from Selling unit group OR UPC into 1CT, 4CT, Club Pack, or Other/Multiple. Preserve every genuinely distinct retailer or Channel assignment within an ID; join conflicting values with " / " in the canonical record and report conflict coverage rather than silently selecting one. Do not apply unapproved cost or display-sales-threshold rules listed under Open Items.</t>
  </si>
  <si>
    <t>10. Concurrent vs Separate 1CT/4CT — exclude only IDs with a known valid weighted discount ≥44%; disclose IDs with missing/invalid discounts separately rather than silently dropping them. Concurrent means a valid actual-date overlap with an opposite-pack qualifying ID at the same normalized retailer; otherwise Separate. Show IDs, retailers, average lift, base-weighted lift, base units, and incremental units for all four cohorts, and disclose invalid-date, invalid-discount, and small-sample coverage.</t>
  </si>
  <si>
    <t>SUMMARY PAGE EXECUTION RULES</t>
  </si>
  <si>
    <t>Use concise executive language that distinguishes arithmetic average lift, base-weighted lift, scale, efficiency, and sample size. Use live links to stable Promotion Insights cells or captured ranges where practical; never hard-code prior row numbers or snapshot counts.</t>
  </si>
  <si>
    <t>Big Y</t>
  </si>
  <si>
    <t>No planned lift</t>
  </si>
  <si>
    <t>Jacksons, no base or incremental</t>
  </si>
  <si>
    <t>Base</t>
  </si>
  <si>
    <t>Incrementla</t>
  </si>
  <si>
    <t>No base unit in offering. Self calcuation</t>
  </si>
  <si>
    <t>Lowes Food Alex Lee</t>
  </si>
  <si>
    <t>Deeper discount drove the lift</t>
  </si>
  <si>
    <t>2. Grocery 1 Week leads channel-duration weighted lift at 178.7% across 8 IDs.</t>
  </si>
  <si>
    <t>RETAILER RANKING BY CHANNEL</t>
  </si>
  <si>
    <t>Channel Rank</t>
  </si>
  <si>
    <t>Cohort</t>
  </si>
  <si>
    <t>Concurrent 1CT</t>
  </si>
  <si>
    <t>Separate 1CT</t>
  </si>
  <si>
    <t>Concurrent 4CT</t>
  </si>
  <si>
    <t>Separate 4CT</t>
  </si>
  <si>
    <t>PROMOTION DETAIL</t>
  </si>
  <si>
    <t>Weeks</t>
  </si>
  <si>
    <t>Includes Sampling</t>
  </si>
  <si>
    <t>Albertsons SO Cal</t>
  </si>
  <si>
    <t>ACI Shaw</t>
  </si>
  <si>
    <t>Scope: all 596 rows in Events!Table1; 151 unique lift-qualified IDs. Channel is sourced from Events column D. 0 retailer/channel conflict IDs.</t>
  </si>
  <si>
    <t>3. 90 promotions are Above Plan and 46 are Below Plan among 136 with usable plans.</t>
  </si>
  <si>
    <t>Coverage: 5 known 44%+ IDs excluded; 0 IDs have missing/invalid discount; 0 eligible IDs have invalid dates.</t>
  </si>
  <si>
    <t>Across 151 lift-qualified promotion IDs and 51 retailers, average lift is 63.3% and portfolio-weighted lift is 76.4% on a 14.6% base-weighted discount, generating 2,381,964 incremental units from 3,116,649 base units.</t>
  </si>
  <si>
    <t>1CT delivers 68.9% average and 75.4% weighted lift across 99 IDs; 4CT delivers 52.1% average and 75.9% weighted lift across 51 IDs. Efficiency is 4.9x for 1CT versus 4.7x for 4CT.</t>
  </si>
  <si>
    <t>1 Week leads weighted lift at 165.0% across 11 IDs. The 5+ Weeks cohort generates 1,597,041 incremental units across 37 IDs; all 151 qualified IDs have valid duration data.</t>
  </si>
  <si>
    <t>PUBLIX leads retailers with at least 3 IDs at 368.7% average lift and 557.8% weighted lift across 3 IDs. Grocery 1 Week is the strongest channel-duration combination with at least 3 IDs at 178.7% weighted lift across 8 IDs.</t>
  </si>
  <si>
    <t>Of 151 promotions, 136 have usable plans: 90 Above Plan, 46 Below Plan, 0 Met Plan, and 15 No Plan. Drug has the strongest above-plan rate among channels with at least 3 comparisons (5 of 6); 1CT is 62 above / 22 below and 4CT is 27 above / 24 below. PUBLIX leads qualifying retailers at 368.7% average lift.</t>
  </si>
  <si>
    <t>Using opposite-pack actual-date overlap at the same retailer and excluding known discounts of 44% or more, concurrent 1CT is 43.1% weighted lift across 10 IDs and 7 retailers versus 52.8% across 85 separate IDs and 39 retailers; concurrent 4CT is 49.0% across 10 IDs and 7 retailers versus 76.5% across 40 separate IDs and 18 retailers. Five known 44%+ IDs were excluded; no eligible IDs have missing discounts or invalid dates.</t>
  </si>
  <si>
    <t>PUBLISHING &amp; CONTROLS — build all tables from the canonical ID dataset, capture section boundaries while writing, clear only stale prior-output rows when sections contract, keep live formulas where practical, and format measures consistently. Apply the established navy/blue compact style only to section-title and table-header rows; body rows, final data rows, coverage notes, and spacer rows must have no fill unless a specific conditional format conveys data meaning. Never apply full-width blue bands to the end of a table. Recalculate after source-formula fills, verify reconciliations, confirm rendered text has no #####, and scan Promotion Insights for #REF!, #DIV/0!, #NAME?, #SPILL!, #VALUE!, #N/A, and #CALC! before publishing.</t>
  </si>
  <si>
    <t>CURRENT VALIDATION SNAPSHOT — 2026-09-08 REFRESH</t>
  </si>
  <si>
    <t>596 source rows | 151 qualified canonical IDs | 51 retailers | 5 Channels | 151 IDs with valid discounts</t>
  </si>
  <si>
    <t>Roll duplicate product rows into one Promotion ID. Current analytical output: 151 unique IDs.</t>
  </si>
  <si>
    <t>Current view: 596 source rows | 151 qualified promotion IDs | 51 retailers | 5 channels</t>
  </si>
  <si>
    <t>PROMO PRICE PERFORMANCE BY PACK</t>
  </si>
  <si>
    <t>Promo Price Band</t>
  </si>
  <si>
    <t>Avg Promo Price</t>
  </si>
  <si>
    <t>Pack Lift Index</t>
  </si>
  <si>
    <t>&lt;$2.00</t>
  </si>
  <si>
    <t>$2.00–&lt;$2.25</t>
  </si>
  <si>
    <t>$2.25–&lt;$2.50</t>
  </si>
  <si>
    <t>$2.50–&lt;$2.75</t>
  </si>
  <si>
    <t>$2.75+</t>
  </si>
  <si>
    <t>&lt;$8.50</t>
  </si>
  <si>
    <t>$8.50–&lt;$9.00</t>
  </si>
  <si>
    <t>$9.00–&lt;$9.50</t>
  </si>
  <si>
    <t>$9.50–&lt;$10.00</t>
  </si>
  <si>
    <t>$10.00+</t>
  </si>
  <si>
    <t>7. Promotion Length by Channel — every normalized Channel crossed with all five duration bands, including zero-count combinations; show IDs, average lift, base-weighted lift, and base units.</t>
  </si>
  <si>
    <t>8. Retailer Performance — every qualifying retailer and Channel, sorted by average lift descending; show IDs, average lift, base-weighted lift, base units, incremental units, Compared IDs, Above Plan, Below Plan, Met Plan, No Plan, and average lift variance.</t>
  </si>
  <si>
    <t>9. Retailer Ranking by Channel — rank every retailer within each Channel by base-weighted lift; include the same plan-comparison fields and discover boundaries dynamically.</t>
  </si>
  <si>
    <t>Compute actual lift, base-weighted discount, promo-price bands, promotion duration, and actual-versus-plan variance.</t>
  </si>
  <si>
    <t>Coverage: 99 1CT and 51 4CT promotion IDs with numeric Promo Price from Events column AB; 1 Club Pack ID excluded from this pack comparison.</t>
  </si>
  <si>
    <t>Unique-ID lift, retailer, discount-band, promo-price-band, duration, and promotion-level analysis.</t>
  </si>
  <si>
    <t>• Canonical record: aggregate all qualifying product rows to one Promotion ID before any segmentation. Calculate retailer, promotion, product scope, Channel, display flag, base units, incremental units, actual dates, pack scope, and one base-unit-weighted promo price from numeric Events column AB [Promo Price] once per ID, then reuse that record in every output.</t>
  </si>
  <si>
    <t>• Metrics: actual lift per canonical ID = SUM(Incremental Units) ÷ SUM(Base Units). Average lift is the arithmetic mean of canonical-ID actual lifts; base-weighted/portfolio-weighted lift = total incremental units ÷ total base units. Weighted discount = SUM(Base Units × valid Revised Promo Discount) ÷ SUM(Base Units with valid discount). Canonical promo price = SUM(Base Units × numeric Promo Price) ÷ SUM(Base Units with numeric Promo Price). Valid discount is numeric, non-error, and between 0% and 100%, inclusive; valid promo price is numeric, non-error, and nonnegative. Lift per discount point is the arithmetic mean of ID-level actual lift ÷ weighted discount for IDs with a valid discount greater than zero. Exclude invalid values only from their dependent metrics and report coverage.</t>
  </si>
  <si>
    <t>1. Headline KPIs and Findings — qualified IDs, retailers, Channels, arithmetic average lift, portfolio-weighted lift, base units, incremental units, and base-weighted discount. Quantify promo-price, promotion-length, channel-duration, retailer, display, and actual-versus-plan findings, and disclose small cohorts when naming a leader.</t>
  </si>
  <si>
    <t>3. Pack Performance — show 1CT, 4CT, Club Pack, and Other/Multiple coverage with IDs, retailers, average discount, average lift, base-weighted lift, efficiency, base units, and incremental units.</t>
  </si>
  <si>
    <t>6. Promo Price Performance by Pack — place immediately after Lift by Promotion Length. Use canonical base-unit-weighted promo price from numeric Events column AB [Promo Price]. Build separate data-driven, readable price bands for 1CT and 4CT and show Pack Scope, Promo Price Band, Promotion IDs, average promo price, average lift, base-weighted lift, base units, incremental units, and pack-relative lift index. Include every eligible 1CT and 4CT ID and disclose excluded pack or invalid-price coverage.</t>
  </si>
  <si>
    <t>Use these themes in order: (1) portfolio performance, (2) discount depth and efficiency, (3) 1CT vs 4CT and promo-price-band performance, (4) promotion length and coverage, (5) retailer and channel-duration opportunities, (6) display scale vs efficiency, (7) actual vs plan by channel, retailer, and pack, and (8) concurrent vs separate 1CT/4CT after excluding known weighted discounts ≥44%.</t>
  </si>
  <si>
    <t>Write questions in C9, C12, C15, C18, C21, C24, C27, and C30; write quantified answers in C10, C13, C16, C19, C22, C25, C28, and C31. The pack question must include the strongest 1CT and 4CT promo-price bands with IDs, average promo price, and base-weighted lift. For variance, reconcile usable plans plus Above/Below/Met/No Plan and include compared-ID counts. For timing, state the date-overlap definition and report IDs, retailers, and base-weighted lift for all four cohorts.</t>
  </si>
  <si>
    <t>11. Promotion Detail — keep this section last. Include every qualifying canonical ID with one ID field only: Promotion ID; never add Event ID. Then show retailer, promotion, product scope, weighted discount, canonical base-unit-weighted promo price from Events column AB, actual lift, base units, incremental units, actual dates, week count, display flag, Channel, planned lift, lift variance, and Actual vs Plan status. Promotion ID preserves displayed Table1[ID].</t>
  </si>
  <si>
    <t>Verify all 16 Summary Page question/answer cells are populated in order, every value matches current Promotion Insights output, promo-price-band counts reconcile to 99 1CT plus 51 4CT IDs with one Club Pack excluded, Promotion Detail contains one Promotion ID column and 151 populated currency-formatted Promo Price values, plan-status totals reconcile, the known ≥44% timing exclusion and missing-discount disclosure are applied, all current detail/retailer rows are covered, and C9:C31 contains none of the listed Excel errors. The validation snapshot is diagnostic only and must not replace dynamic reconciliation.</t>
  </si>
  <si>
    <t>151 detail IDs with numeric canonical promo price | 150 pack-comparison IDs: 99 1CT, 51 4CT; 1 Club Pack excluded | 151 IDs with valid duration | 136 IDs with usable plans: 90 Above Plan, 46 Below Plan, 0 Met Plan, 15 No Plan | Portfolio weighted lift 76.4% | Incremental units 2,381,964</t>
  </si>
  <si>
    <t>15%–&lt;25%</t>
  </si>
  <si>
    <t>25%–&lt;44%</t>
  </si>
  <si>
    <t>4. 15%–&lt;25% generates the most incremental-unit scale; &lt;5% leads discount efficiency.</t>
  </si>
  <si>
    <t>15%–&lt;25% provides the most incremental-unit scale at 769,752 units and 79.0% weighted lift across 46 IDs. The deeper 25%–&lt;44% band delivers 83.9% weighted lift and 244,725 incremental units across 23 IDs. &lt;5% remains most efficient at 19.0x across 10 IDs; all 151 IDs have valid discounts.</t>
  </si>
  <si>
    <t>Refresh the full workbook in one end-to-end run using only Events as the analytical source. Apply every business rule and output requirement in the detailed Promotion Insights and Summary Page prompts below, with this execution plan:
1) Resize Events!Table1 once to A1:AM[last populated row] and fill the required Lift Difference formula through all source rows. Recalculate, then read the table once. Normalize eligibility fields in memory and create one canonical record per qualifying trimmed Table1[ID] by aggregating duplicate product rows. Calculate arithmetic average lift inputs, actual lift, valid base-weighted discount, canonical base-unit-weighted promo price from numeric Events column AB, valid actual-date duration and band, display flag, product scope, planned lift, weighted variance, status, and conflict indicators once per ID.
2) Rebuild every Promotion Insights section in the existing order from that canonical dataset, including Promo Price Performance by Pack immediately after Lift by Promotion Length. For Discount Performance and Display Lift by Discount, always use six mutually exclusive bands: &lt;5%, 5–&lt;10%, 10–&lt;15%, 15%–&lt;25%, 25%–&lt;44%, and 44%+. Never recombine 15%–&lt;25% and 25%–&lt;44%; size both tables for six data rows and verify the six band counts reconcile to all IDs with valid discounts. Derive separate data-driven 1CT and 4CT bands from numeric Events column AB and calculate base-unit-weighted canonical promo price before aggregation. Capture each section's first and last row while writing; reuse those boundaries for rankings, findings, formatting, and downstream links instead of rescanning the sheet. Clear stale rows when a section contracts. Keep Promotion Detail last and include only one ID column, Promotion ID; do not create Event ID. Place Promo Price immediately after Weighted Discount and format it as currency for every detail row. Apply navy/blue fill only to section-title and header rows. Leave table bodies, final rows, coverage notes, and spacer rows unfilled; never add decorative end-of-table color bands.
3) In the same run, refresh all eight Summary Page Q&amp;A pairs using only the completed Promotion Insights outputs and captured boundaries. For the eighth question, exclude only IDs with a known valid weighted discount of 44% or more before classifying concurrent versus separate 1CT and 4CT promotions; disclose missing/invalid discounts and invalid dates. Preserve formatting and use live links where practical.
4) After all writes, perform one consolidated verification: Table1 ends at AM and includes every populated source row; counts reconcile for qualifying IDs, retailers, Channels, conflicts, valid discounts, duration coverage, discount bands, retailer comparisons, plan statuses, and concurrent/separate pack cohorts; headline KPIs match detail; dynamic section boundaries are complete; Promotion Detail contains exactly one ID column and a populated Promo Price for every qualifying ID; all 151 detail promo prices reconcile to the canonical column-AB calculation; section-ending rows have no unintended fills; rendered cells contain no #####; and Promotion Insights plus Summary Page contain no calculation errors. Do not repeatedly reread Events or rediscover boundaries.</t>
  </si>
  <si>
    <t>2. Discount Performance — use six mutually exclusive bands: &lt;5%, 5–&lt;10%, 10–&lt;15%, 15%–&lt;25%, 25%–&lt;44%, and 44%+. Do not combine the two 15%–&lt;44% cohorts. Show IDs, average discount, average lift, base-weighted lift, lift per discount point, base units, and incremental units; size the table for six data rows and reconcile valid-discount counts.</t>
  </si>
  <si>
    <t>4. Display Lift by Discount — use the same six mutually exclusive bands and do not recombine 15%–&lt;25% with 25%–&lt;44%. Show display IDs, average discount, average lift, base-weighted lift, lift per discount point, base units, and incremental units; size the table for six data rows.</t>
  </si>
  <si>
    <t>Executive summary of 151 lift-qualified promotions • refreshed Sep 9, 2026</t>
  </si>
  <si>
    <t>PROMOTION PLANNING DIAGNOSTICS</t>
  </si>
  <si>
    <t>Top examples using portfolio quartiles across all 151 lift-qualified promotions</t>
  </si>
  <si>
    <t>Rules</t>
  </si>
  <si>
    <t>High lift ≥65.9% | Low volume ≤962 units | Strong volume ≥8,566 units | Deep discount ≥22.5% | Modest lift 30.4%–65.9% | Attractive economics ≥4.63x | Weak execution = bottom-quartile plan variance (≤−5.3 pts)</t>
  </si>
  <si>
    <t>Pattern</t>
  </si>
  <si>
    <t>Rank / Pair</t>
  </si>
  <si>
    <t>Pack</t>
  </si>
  <si>
    <t>Discount</t>
  </si>
  <si>
    <t>Plan Variance</t>
  </si>
  <si>
    <t>High lift, low incremental volume</t>
  </si>
  <si>
    <t>Strong volume, unusually deep discounting</t>
  </si>
  <si>
    <t>Weak result paired with weak execution</t>
  </si>
  <si>
    <t>Modest lift, attractive economics</t>
  </si>
  <si>
    <t>Similar event, different retailer result</t>
  </si>
  <si>
    <t>Pair 1 — High</t>
  </si>
  <si>
    <t>HARMONS May 2026 Puff Singles TPR</t>
  </si>
  <si>
    <t>Pair 1 — Low</t>
  </si>
  <si>
    <t>Pair 2 — High</t>
  </si>
  <si>
    <t>Pair 2 — Low</t>
  </si>
  <si>
    <t>Interpretation</t>
  </si>
  <si>
    <t>The portfolio contains both scale opportunities and strong lift percentages on very small bases. Validate event dates and base-volume quality before treating extreme lift as repeatable; PUBLIX ID 908 shows a 106-week duration in Promotion Insights and should be reviewed.</t>
  </si>
  <si>
    <t>PROMOTION COMPARISON — IDs 1274 VS 1277</t>
  </si>
  <si>
    <t>Metric</t>
  </si>
  <si>
    <t>ID 1274</t>
  </si>
  <si>
    <t>ID 1277</t>
  </si>
  <si>
    <t>1277 vs 1274</t>
  </si>
  <si>
    <t>Same retailer</t>
  </si>
  <si>
    <t>Timing</t>
  </si>
  <si>
    <t>Later event</t>
  </si>
  <si>
    <t>Pack / Duration</t>
  </si>
  <si>
    <t>Puff 1CT / 4 weeks</t>
  </si>
  <si>
    <t>Same structure</t>
  </si>
  <si>
    <t>Display added</t>
  </si>
  <si>
    <t>Execution deteriorated</t>
  </si>
  <si>
    <t>Bottom line: ID 1277 used a 5.5-point shallower discount and a $0.33 higher price, but delivered 9.1 points less lift and 124 fewer incremental units; its 115% plan was materially unrealistic versus the 12.2% actual lift.</t>
  </si>
  <si>
    <t>CONFIRMED PROMOTION SCHEDULE COMPLIANCE</t>
  </si>
  <si>
    <t>Definition</t>
  </si>
  <si>
    <t>Status</t>
  </si>
  <si>
    <t>Rate</t>
  </si>
  <si>
    <t>On schedule</t>
  </si>
  <si>
    <t>Not on schedule</t>
  </si>
  <si>
    <t>Early start only</t>
  </si>
  <si>
    <t>Late end only</t>
  </si>
  <si>
    <t>Both early start and late end</t>
  </si>
  <si>
    <t>Missing required dates</t>
  </si>
  <si>
    <t>Distinct promotion IDs with Events[Use] = Y; on schedule when Actual Start is no more than 2 days before planned Start and Actual End is no more than 2 days after planned End.</t>
  </si>
  <si>
    <t>Actual period remained within planned window plus 2-day grace</t>
  </si>
  <si>
    <t>Actual period exceeded the grace-adjusted window</t>
  </si>
  <si>
    <t>Started more than 2 days before plan; did not end more than 2 days late</t>
  </si>
  <si>
    <t>Ended more than 2 days after plan; did not start more than 2 days early</t>
  </si>
  <si>
    <t>Exceeded both grace-adjusted boundaries</t>
  </si>
  <si>
    <t>All confirmed IDs were evaluated when zero</t>
  </si>
  <si>
    <t>1395 -1</t>
  </si>
  <si>
    <t>1395-4</t>
  </si>
  <si>
    <t>1455 -1</t>
  </si>
  <si>
    <t>1455 -4</t>
  </si>
  <si>
    <t>1490 - 1</t>
  </si>
  <si>
    <t xml:space="preserve">1490 -4 </t>
  </si>
  <si>
    <t>1505 - 1</t>
  </si>
  <si>
    <t xml:space="preserve">1505 -4 </t>
  </si>
  <si>
    <t xml:space="preserve">1506 -1 </t>
  </si>
  <si>
    <t>1506 - 4</t>
  </si>
  <si>
    <t>1336 - 1</t>
  </si>
  <si>
    <t>1336 - 4</t>
  </si>
  <si>
    <t>1337 - 1</t>
  </si>
  <si>
    <t>1337 - 4</t>
  </si>
  <si>
    <t>1338 - 1</t>
  </si>
  <si>
    <t xml:space="preserve">1338 -4 </t>
  </si>
  <si>
    <t>1375 - 1</t>
  </si>
  <si>
    <t>1375 - 12</t>
  </si>
  <si>
    <t>1375-4</t>
  </si>
  <si>
    <t>1378 - 1</t>
  </si>
  <si>
    <t>1378 - 4</t>
  </si>
  <si>
    <t>1377 - 1</t>
  </si>
  <si>
    <t>1377 -4</t>
  </si>
  <si>
    <t>934 - 4</t>
  </si>
  <si>
    <t>934- CLUB</t>
  </si>
  <si>
    <t xml:space="preserve">935 -4 </t>
  </si>
  <si>
    <t>935- CLUB</t>
  </si>
  <si>
    <t>1383 - 1</t>
  </si>
  <si>
    <t xml:space="preserve">1383 - 4 </t>
  </si>
  <si>
    <t>1558 - CLUB</t>
  </si>
  <si>
    <t>1263 -1</t>
  </si>
  <si>
    <t>1263 - 8</t>
  </si>
  <si>
    <t>1264 -1</t>
  </si>
  <si>
    <t xml:space="preserve">1264 -8 </t>
  </si>
  <si>
    <t>1265 - 1</t>
  </si>
  <si>
    <t>1265 - 8</t>
  </si>
  <si>
    <t>1266 -1</t>
  </si>
  <si>
    <t xml:space="preserve">1266 -8 </t>
  </si>
  <si>
    <t>1267- 1</t>
  </si>
  <si>
    <t xml:space="preserve">1267 - 8 </t>
  </si>
  <si>
    <t>1268 -1</t>
  </si>
  <si>
    <t xml:space="preserve">1268 - 8 </t>
  </si>
  <si>
    <t>1086 - 1</t>
  </si>
  <si>
    <t>1086 -4</t>
  </si>
  <si>
    <t>911 -1</t>
  </si>
  <si>
    <t>911 -12</t>
  </si>
  <si>
    <t>912 -1</t>
  </si>
  <si>
    <t>912 -12</t>
  </si>
  <si>
    <t>1145 - 1</t>
  </si>
  <si>
    <t>1145 -12</t>
  </si>
  <si>
    <t xml:space="preserve">1146 -1 </t>
  </si>
  <si>
    <t>1146 - 12</t>
  </si>
  <si>
    <t>1154 - 1</t>
  </si>
  <si>
    <t>1154 - Club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</si>
</sst>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6" formatCode="&quot;$&quot;#,##0_);[Red]\(&quot;$&quot;#,##0\)"/>
    <numFmt numFmtId="8" formatCode="&quot;$&quot;#,##0.00_);[Red]\(&quot;$&quot;#,##0.00\)"/>
    <numFmt numFmtId="44" formatCode="_(&quot;$&quot;* #,##0.00_);_(&quot;$&quot;* \(#,##0.00\);_(&quot;$&quot;* &quot;-&quot;??_);_(@_)"/>
    <numFmt numFmtId="43" formatCode="_(* #,##0.00_);_(* \(#,##0.00\);_(* &quot;-&quot;??_);_(@_)"/>
    <numFmt numFmtId="164" formatCode="mm/dd/yyyy"/>
    <numFmt numFmtId="165" formatCode="#,##0.00##"/>
    <numFmt numFmtId="166" formatCode="_(* #,##0.0_);_(* \(#,##0.0\);_(* &quot;-&quot;??_);_(@_)"/>
    <numFmt numFmtId="167" formatCode="_(* #,##0_);_(* \(#,##0\);_(* &quot;-&quot;??_);_(@_)"/>
    <numFmt numFmtId="168" formatCode="0.0%"/>
    <numFmt numFmtId="169" formatCode="0.0\x"/>
    <numFmt numFmtId="170" formatCode="&quot;$&quot;#,##0.00"/>
    <numFmt numFmtId="171" formatCode="0.00,,&quot;M&quot;"/>
    <numFmt numFmtId="172" formatCode="&quot;$&quot;0.00"/>
    <numFmt numFmtId="173" formatCode="0.0%;[Red]\-0.0%;\-"/>
    <numFmt numFmtId="174" formatCode="0.0%;[Red]\-0.0%"/>
    <numFmt numFmtId="175" formatCode="&quot;$&quot;0.00;[Red]\-&quot;$&quot;0.00"/>
    <numFmt numFmtId="176" formatCode="#,##0;[Red]\-#,##0"/>
  </numFmts>
  <fonts count="60" x14ac:knownFonts="1">
    <font>
      <sz val="11"/>
      <name val="Calibri"/>
    </font>
    <font>
      <b/>
      <sz val="11"/>
      <color rgb="FFFFFFFF"/>
      <name val="Calibri"/>
    </font>
    <font>
      <sz val="11"/>
      <name val="Calibri"/>
    </font>
    <font>
      <sz val="11"/>
      <color rgb="FF006100"/>
      <name val="Aptos Narrow"/>
      <family val="2"/>
      <scheme val="minor"/>
    </font>
    <font>
      <sz val="11"/>
      <color rgb="FF9C0006"/>
      <name val="Aptos Narrow"/>
      <family val="2"/>
      <scheme val="minor"/>
    </font>
    <font>
      <sz val="11"/>
      <color rgb="FF9C5700"/>
      <name val="Aptos Narrow"/>
      <family val="2"/>
      <scheme val="minor"/>
    </font>
    <font>
      <sz val="11"/>
      <name val="Calibri"/>
      <family val="2"/>
    </font>
    <font>
      <b/>
      <sz val="11"/>
      <color rgb="FFFFFFFF"/>
      <name val="Calibri"/>
      <family val="2"/>
    </font>
    <font>
      <sz val="11"/>
      <color theme="1"/>
      <name val="Calibri"/>
      <family val="2"/>
    </font>
    <font>
      <sz val="11"/>
      <color theme="1"/>
      <name val="Calibri"/>
    </font>
    <font>
      <b/>
      <sz val="11"/>
      <name val="Calibri"/>
      <family val="2"/>
    </font>
    <font>
      <sz val="8"/>
      <name val="Calibri"/>
      <family val="2"/>
    </font>
    <font>
      <sz val="11"/>
      <color rgb="FF444444"/>
      <name val="Calibri"/>
      <family val="2"/>
    </font>
    <font>
      <b/>
      <sz val="11"/>
      <color rgb="FF17365D"/>
      <name val="Calibri"/>
      <family val="2"/>
    </font>
    <font>
      <sz val="11"/>
      <color rgb="FF3F3F76"/>
      <name val="Aptos Narrow"/>
      <family val="2"/>
      <scheme val="minor"/>
    </font>
    <font>
      <sz val="11"/>
      <color theme="0"/>
      <name val="Aptos Narrow"/>
      <family val="2"/>
      <scheme val="minor"/>
    </font>
    <font>
      <b/>
      <sz val="12"/>
      <color rgb="FFFFFFFF"/>
      <name val="Calibri"/>
    </font>
    <font>
      <sz val="11"/>
      <color rgb="FF23364D"/>
      <name val="Aptos"/>
    </font>
    <font>
      <b/>
      <sz val="11"/>
      <color rgb="FFFFFFFF"/>
      <name val="Aptos"/>
    </font>
    <font>
      <b/>
      <sz val="20"/>
      <color rgb="FFFFFFFF"/>
      <name val="Aptos"/>
    </font>
    <font>
      <i/>
      <sz val="11"/>
      <color rgb="FF666666"/>
      <name val="Aptos"/>
    </font>
    <font>
      <sz val="10"/>
      <color rgb="FF23364D"/>
      <name val="Aptos"/>
    </font>
    <font>
      <b/>
      <sz val="18"/>
      <color rgb="FF4472C4"/>
      <name val="Aptos"/>
    </font>
    <font>
      <b/>
      <sz val="22"/>
      <color rgb="FF17365D"/>
      <name val="Aptos"/>
    </font>
    <font>
      <b/>
      <sz val="9"/>
      <color rgb="FF17365D"/>
      <name val="Aptos"/>
    </font>
    <font>
      <i/>
      <sz val="9"/>
      <color rgb="FF666666"/>
      <name val="Aptos"/>
    </font>
    <font>
      <b/>
      <sz val="11"/>
      <color rgb="FF1F1F1F"/>
      <name val="Calibri"/>
    </font>
    <font>
      <sz val="11"/>
      <color rgb="FF17324D"/>
      <name val="Calibri"/>
      <family val="2"/>
    </font>
    <font>
      <b/>
      <sz val="11"/>
      <color rgb="FF17324D"/>
      <name val="Calibri"/>
      <family val="2"/>
    </font>
    <font>
      <b/>
      <sz val="11"/>
      <color theme="0"/>
      <name val="Aptos Narrow"/>
      <family val="2"/>
      <scheme val="minor"/>
    </font>
    <font>
      <b/>
      <sz val="10"/>
      <color rgb="FFFFFFFF"/>
      <name val="Arial"/>
    </font>
    <font>
      <sz val="11"/>
      <name val="Arial"/>
    </font>
    <font>
      <b/>
      <sz val="9"/>
      <color rgb="FFFFFFFF"/>
      <name val="Arial"/>
    </font>
    <font>
      <i/>
      <sz val="9"/>
      <color rgb="FF5B6573"/>
      <name val="Arial"/>
    </font>
    <font>
      <sz val="9"/>
      <name val="Arial"/>
    </font>
    <font>
      <b/>
      <sz val="16"/>
      <color rgb="FFFFFFFF"/>
      <name val="Arial"/>
    </font>
    <font>
      <b/>
      <sz val="9"/>
      <color rgb="FF17365D"/>
      <name val="Arial"/>
    </font>
    <font>
      <b/>
      <sz val="12"/>
      <name val="Arial"/>
    </font>
    <font>
      <b/>
      <sz val="18"/>
      <color rgb="FFFFFFFF"/>
      <name val="Arial"/>
    </font>
    <font>
      <i/>
      <sz val="10"/>
      <color rgb="FF666666"/>
      <name val="Arial"/>
    </font>
    <font>
      <sz val="10"/>
      <color rgb="FF1F1F1F"/>
      <name val="Arial"/>
    </font>
    <font>
      <b/>
      <sz val="10"/>
      <color rgb="FF1F1F1F"/>
      <name val="Arial"/>
    </font>
    <font>
      <b/>
      <sz val="11"/>
      <name val="Arial"/>
    </font>
    <font>
      <b/>
      <sz val="14"/>
      <color rgb="FFFFFFFF"/>
      <name val="Arial"/>
    </font>
    <font>
      <b/>
      <sz val="12"/>
      <color rgb="FFFFFFFF"/>
      <name val="Arial"/>
    </font>
    <font>
      <b/>
      <sz val="10"/>
      <color rgb="FF17365D"/>
      <name val="Arial"/>
    </font>
    <font>
      <b/>
      <sz val="10"/>
      <color rgb="FF1F4E78"/>
      <name val="Arial"/>
    </font>
    <font>
      <b/>
      <sz val="10"/>
      <color rgb="FF25364A"/>
      <name val="Arial"/>
    </font>
    <font>
      <sz val="10"/>
      <color rgb="FF25364A"/>
      <name val="Arial"/>
    </font>
    <font>
      <i/>
      <sz val="9"/>
      <color rgb="FF404040"/>
      <name val="Arial"/>
    </font>
    <font>
      <i/>
      <sz val="11"/>
      <color rgb="FF404040"/>
      <name val="Calibri"/>
    </font>
    <font>
      <sz val="11"/>
      <name val="Aptos"/>
    </font>
    <font>
      <b/>
      <sz val="18"/>
      <color rgb="FFFFFFFF"/>
      <name val="Aptos"/>
    </font>
    <font>
      <i/>
      <sz val="11"/>
      <color rgb="FF44546A"/>
      <name val="Aptos"/>
    </font>
    <font>
      <sz val="10"/>
      <name val="Aptos"/>
    </font>
    <font>
      <b/>
      <sz val="11"/>
      <color rgb="FF7F6000"/>
      <name val="Aptos"/>
    </font>
    <font>
      <b/>
      <sz val="14"/>
      <color rgb="FFFFFFFF"/>
      <name val="Calibri"/>
    </font>
    <font>
      <b/>
      <sz val="11"/>
      <name val="Calibri"/>
    </font>
    <font>
      <b/>
      <sz val="11"/>
      <color rgb="FF7F6000"/>
      <name val="Calibri"/>
    </font>
    <font>
      <b/>
      <sz val="14"/>
      <color rgb="FFFFFFFF"/>
      <name val="Calibri"/>
      <family val="2"/>
    </font>
  </fonts>
  <fills count="49">
    <fill>
      <patternFill patternType="none"/>
    </fill>
    <fill>
      <patternFill patternType="gray125"/>
    </fill>
    <fill>
      <patternFill patternType="solid">
        <fgColor rgb="FF5B9BD5"/>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5"/>
        <bgColor indexed="64"/>
      </patternFill>
    </fill>
    <fill>
      <patternFill patternType="solid">
        <fgColor theme="6" tint="0.79998168889431442"/>
        <bgColor indexed="64"/>
      </patternFill>
    </fill>
    <fill>
      <patternFill patternType="solid">
        <fgColor theme="9"/>
        <bgColor indexed="64"/>
      </patternFill>
    </fill>
    <fill>
      <patternFill patternType="solid">
        <fgColor theme="1" tint="0.49998474074526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C000"/>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17365D"/>
        <bgColor indexed="64"/>
      </patternFill>
    </fill>
    <fill>
      <patternFill patternType="solid">
        <fgColor theme="4" tint="0.39997558519241921"/>
        <bgColor indexed="64"/>
      </patternFill>
    </fill>
    <fill>
      <patternFill patternType="solid">
        <fgColor theme="0" tint="-0.34998626667073579"/>
        <bgColor indexed="64"/>
      </patternFill>
    </fill>
    <fill>
      <patternFill patternType="solid">
        <fgColor rgb="FF4472C4"/>
        <bgColor indexed="64"/>
      </patternFill>
    </fill>
    <fill>
      <patternFill patternType="solid">
        <fgColor rgb="FFD9EAF7"/>
        <bgColor indexed="64"/>
      </patternFill>
    </fill>
    <fill>
      <patternFill patternType="solid">
        <fgColor theme="2" tint="-0.249977111117893"/>
        <bgColor indexed="64"/>
      </patternFill>
    </fill>
    <fill>
      <patternFill patternType="solid">
        <fgColor rgb="FFFFCC99"/>
      </patternFill>
    </fill>
    <fill>
      <patternFill patternType="solid">
        <fgColor theme="5"/>
      </patternFill>
    </fill>
    <fill>
      <patternFill patternType="solid">
        <fgColor rgb="FF1F4E78"/>
        <bgColor indexed="64"/>
      </patternFill>
    </fill>
    <fill>
      <patternFill patternType="solid">
        <fgColor rgb="FF2F75B5"/>
        <bgColor indexed="64"/>
      </patternFill>
    </fill>
    <fill>
      <patternFill patternType="solid">
        <fgColor rgb="FFF3F7FA"/>
        <bgColor indexed="64"/>
      </patternFill>
    </fill>
    <fill>
      <patternFill patternType="solid">
        <fgColor rgb="FFEEF5FB"/>
        <bgColor indexed="64"/>
      </patternFill>
    </fill>
    <fill>
      <patternFill patternType="solid">
        <fgColor rgb="FFF7F9FC"/>
        <bgColor indexed="64"/>
      </patternFill>
    </fill>
    <fill>
      <patternFill patternType="solid">
        <fgColor theme="4"/>
      </patternFill>
    </fill>
    <fill>
      <patternFill patternType="solid">
        <fgColor rgb="FFEAF0F6"/>
        <bgColor indexed="64"/>
      </patternFill>
    </fill>
    <fill>
      <patternFill patternType="solid">
        <fgColor rgb="FF2F6B7C"/>
        <bgColor indexed="64"/>
      </patternFill>
    </fill>
    <fill>
      <patternFill patternType="solid">
        <fgColor rgb="FFDCE8EF"/>
        <bgColor indexed="64"/>
      </patternFill>
    </fill>
    <fill>
      <patternFill patternType="solid">
        <fgColor rgb="FFA5A5A5"/>
      </patternFill>
    </fill>
    <fill>
      <patternFill patternType="solid">
        <fgColor rgb="FFF3F7FB"/>
        <bgColor indexed="64"/>
      </patternFill>
    </fill>
    <fill>
      <patternFill patternType="solid">
        <fgColor rgb="FFFFFFFF"/>
        <bgColor indexed="64"/>
      </patternFill>
    </fill>
    <fill>
      <patternFill patternType="solid">
        <fgColor rgb="FFEAF0F7"/>
        <bgColor indexed="64"/>
      </patternFill>
    </fill>
    <fill>
      <patternFill patternType="solid">
        <fgColor rgb="FFFFF2CC"/>
        <bgColor indexed="64"/>
      </patternFill>
    </fill>
    <fill>
      <patternFill patternType="solid">
        <fgColor rgb="FFF7FBFF"/>
        <bgColor indexed="64"/>
      </patternFill>
    </fill>
    <fill>
      <patternFill patternType="solid">
        <fgColor rgb="FFFFF4E5"/>
        <bgColor indexed="64"/>
      </patternFill>
    </fill>
    <fill>
      <patternFill patternType="solid">
        <fgColor rgb="FFFDE9E7"/>
        <bgColor indexed="64"/>
      </patternFill>
    </fill>
    <fill>
      <patternFill patternType="solid">
        <fgColor rgb="FFEAF4EA"/>
        <bgColor indexed="64"/>
      </patternFill>
    </fill>
    <fill>
      <patternFill patternType="solid">
        <fgColor rgb="FFF2F2F2"/>
        <bgColor indexed="64"/>
      </patternFill>
    </fill>
  </fills>
  <borders count="9">
    <border>
      <left/>
      <right/>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rgb="FF7F7F7F"/>
      </left>
      <right style="thin">
        <color rgb="FF7F7F7F"/>
      </right>
      <top style="thin">
        <color rgb="FF7F7F7F"/>
      </top>
      <bottom style="thin">
        <color rgb="FF7F7F7F"/>
      </bottom>
      <diagonal/>
    </border>
    <border>
      <left/>
      <right/>
      <top style="thin">
        <color rgb="FF9EBDD7"/>
      </top>
      <bottom/>
      <diagonal/>
    </border>
    <border>
      <left/>
      <right/>
      <top style="thin">
        <color rgb="FF9EBDD7"/>
      </top>
      <bottom style="thin">
        <color rgb="FFD9E2F3"/>
      </bottom>
      <diagonal/>
    </border>
    <border>
      <left style="double">
        <color rgb="FF3F3F3F"/>
      </left>
      <right style="double">
        <color rgb="FF3F3F3F"/>
      </right>
      <top style="double">
        <color rgb="FF3F3F3F"/>
      </top>
      <bottom style="double">
        <color rgb="FF3F3F3F"/>
      </bottom>
      <diagonal/>
    </border>
    <border>
      <left/>
      <right/>
      <top/>
      <bottom style="thin">
        <color rgb="FFD9E2F3"/>
      </bottom>
      <diagonal/>
    </border>
    <border>
      <left/>
      <right/>
      <top style="thin">
        <color rgb="FFD9E2F3"/>
      </top>
      <bottom/>
      <diagonal/>
    </border>
  </borders>
  <cellStyleXfs count="11">
    <xf numFmtId="0" fontId="0" fillId="0" borderId="0"/>
    <xf numFmtId="9" fontId="2" fillId="0" borderId="0" applyFont="0" applyFill="0" applyBorder="0" applyAlignment="0" applyProtection="0"/>
    <xf numFmtId="0" fontId="3" fillId="3" borderId="0" applyNumberFormat="0" applyBorder="0" applyAlignment="0" applyProtection="0"/>
    <xf numFmtId="0" fontId="4" fillId="4" borderId="0" applyNumberFormat="0" applyBorder="0" applyAlignment="0" applyProtection="0"/>
    <xf numFmtId="0" fontId="5" fillId="5" borderId="0" applyNumberFormat="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14" fillId="28" borderId="3" applyNumberFormat="0" applyAlignment="0" applyProtection="0"/>
    <xf numFmtId="0" fontId="15" fillId="29" borderId="0" applyNumberFormat="0" applyBorder="0" applyAlignment="0" applyProtection="0"/>
    <xf numFmtId="0" fontId="15" fillId="35" borderId="0" applyNumberFormat="0" applyBorder="0" applyAlignment="0" applyProtection="0"/>
    <xf numFmtId="0" fontId="29" fillId="39" borderId="6" applyNumberFormat="0" applyAlignment="0" applyProtection="0"/>
  </cellStyleXfs>
  <cellXfs count="302">
    <xf numFmtId="0" fontId="0" fillId="0" borderId="0" xfId="0"/>
    <xf numFmtId="164" fontId="0" fillId="0" borderId="0" xfId="0" applyNumberFormat="1"/>
    <xf numFmtId="165" fontId="0" fillId="0" borderId="0" xfId="0" applyNumberFormat="1"/>
    <xf numFmtId="10" fontId="0" fillId="0" borderId="0" xfId="0" applyNumberFormat="1"/>
    <xf numFmtId="0" fontId="6" fillId="0" borderId="0" xfId="0" applyFont="1"/>
    <xf numFmtId="14" fontId="0" fillId="0" borderId="0" xfId="0" applyNumberFormat="1"/>
    <xf numFmtId="3" fontId="0" fillId="0" borderId="0" xfId="0" applyNumberFormat="1"/>
    <xf numFmtId="8" fontId="0" fillId="0" borderId="0" xfId="0" applyNumberFormat="1"/>
    <xf numFmtId="10" fontId="5" fillId="5" borderId="0" xfId="4" applyNumberFormat="1"/>
    <xf numFmtId="3" fontId="4" fillId="4" borderId="0" xfId="3" applyNumberFormat="1"/>
    <xf numFmtId="3" fontId="3" fillId="3" borderId="0" xfId="2" applyNumberFormat="1"/>
    <xf numFmtId="9" fontId="0" fillId="0" borderId="0" xfId="1" applyFont="1"/>
    <xf numFmtId="1" fontId="0" fillId="0" borderId="0" xfId="0" applyNumberFormat="1" applyAlignment="1">
      <alignment horizontal="center"/>
    </xf>
    <xf numFmtId="0" fontId="0" fillId="0" borderId="0" xfId="0" applyAlignment="1">
      <alignment horizontal="center"/>
    </xf>
    <xf numFmtId="164" fontId="0" fillId="0" borderId="0" xfId="0" applyNumberFormat="1" applyAlignment="1">
      <alignment horizontal="center"/>
    </xf>
    <xf numFmtId="0" fontId="6" fillId="0" borderId="0" xfId="0" applyFont="1" applyAlignment="1">
      <alignment horizontal="center"/>
    </xf>
    <xf numFmtId="3" fontId="0" fillId="7" borderId="0" xfId="0" applyNumberFormat="1" applyFill="1"/>
    <xf numFmtId="8" fontId="0" fillId="7" borderId="0" xfId="0" applyNumberFormat="1" applyFill="1"/>
    <xf numFmtId="43" fontId="0" fillId="0" borderId="0" xfId="5" applyFont="1"/>
    <xf numFmtId="166" fontId="0" fillId="0" borderId="0" xfId="5" applyNumberFormat="1" applyFont="1"/>
    <xf numFmtId="167" fontId="0" fillId="0" borderId="0" xfId="5" applyNumberFormat="1" applyFont="1"/>
    <xf numFmtId="0" fontId="0" fillId="0" borderId="0" xfId="0" applyAlignment="1">
      <alignment horizontal="left"/>
    </xf>
    <xf numFmtId="1" fontId="9" fillId="6" borderId="2" xfId="0" applyNumberFormat="1" applyFont="1" applyFill="1" applyBorder="1" applyAlignment="1">
      <alignment horizontal="center"/>
    </xf>
    <xf numFmtId="10" fontId="0" fillId="7" borderId="0" xfId="0" applyNumberFormat="1" applyFill="1"/>
    <xf numFmtId="168" fontId="0" fillId="0" borderId="0" xfId="1" applyNumberFormat="1" applyFont="1"/>
    <xf numFmtId="3" fontId="0" fillId="8" borderId="0" xfId="0" applyNumberFormat="1" applyFill="1"/>
    <xf numFmtId="10" fontId="0" fillId="8" borderId="0" xfId="0" applyNumberFormat="1" applyFill="1"/>
    <xf numFmtId="8" fontId="0" fillId="8" borderId="0" xfId="0" applyNumberFormat="1" applyFill="1"/>
    <xf numFmtId="1" fontId="9" fillId="0" borderId="2" xfId="0" applyNumberFormat="1" applyFont="1" applyBorder="1" applyAlignment="1">
      <alignment horizontal="center"/>
    </xf>
    <xf numFmtId="0" fontId="0" fillId="7" borderId="0" xfId="0" applyFill="1"/>
    <xf numFmtId="0" fontId="0" fillId="9" borderId="0" xfId="0" applyFill="1"/>
    <xf numFmtId="10" fontId="0" fillId="9" borderId="0" xfId="0" applyNumberFormat="1" applyFill="1"/>
    <xf numFmtId="8" fontId="0" fillId="9" borderId="0" xfId="0" applyNumberFormat="1" applyFill="1"/>
    <xf numFmtId="0" fontId="0" fillId="10" borderId="0" xfId="0" applyFill="1"/>
    <xf numFmtId="10" fontId="0" fillId="10" borderId="0" xfId="0" applyNumberFormat="1" applyFill="1"/>
    <xf numFmtId="8" fontId="0" fillId="10" borderId="0" xfId="0" applyNumberFormat="1" applyFill="1"/>
    <xf numFmtId="0" fontId="0" fillId="11" borderId="0" xfId="0" applyFill="1"/>
    <xf numFmtId="10" fontId="0" fillId="11" borderId="0" xfId="0" applyNumberFormat="1" applyFill="1"/>
    <xf numFmtId="8" fontId="0" fillId="11" borderId="0" xfId="0" applyNumberFormat="1" applyFill="1"/>
    <xf numFmtId="0" fontId="3" fillId="3" borderId="0" xfId="2" applyAlignment="1">
      <alignment horizontal="center" vertical="center" wrapText="1"/>
    </xf>
    <xf numFmtId="0" fontId="6" fillId="0" borderId="0" xfId="0" applyFont="1" applyAlignment="1">
      <alignment horizontal="center" vertical="center"/>
    </xf>
    <xf numFmtId="0" fontId="0" fillId="0" borderId="0" xfId="0" applyAlignment="1">
      <alignment horizontal="center" vertical="center"/>
    </xf>
    <xf numFmtId="1" fontId="9" fillId="9" borderId="2" xfId="0" applyNumberFormat="1" applyFont="1" applyFill="1" applyBorder="1" applyAlignment="1">
      <alignment horizontal="center"/>
    </xf>
    <xf numFmtId="1" fontId="9" fillId="9" borderId="1" xfId="0" applyNumberFormat="1" applyFont="1" applyFill="1" applyBorder="1" applyAlignment="1">
      <alignment horizontal="center"/>
    </xf>
    <xf numFmtId="1" fontId="0" fillId="12" borderId="0" xfId="0" applyNumberFormat="1" applyFill="1" applyAlignment="1">
      <alignment horizontal="center"/>
    </xf>
    <xf numFmtId="1" fontId="9" fillId="13" borderId="2" xfId="0" applyNumberFormat="1" applyFont="1" applyFill="1" applyBorder="1" applyAlignment="1">
      <alignment horizontal="center"/>
    </xf>
    <xf numFmtId="3" fontId="0" fillId="14" borderId="0" xfId="0" applyNumberFormat="1" applyFill="1"/>
    <xf numFmtId="10" fontId="0" fillId="14" borderId="0" xfId="0" applyNumberFormat="1" applyFill="1"/>
    <xf numFmtId="8" fontId="0" fillId="14" borderId="0" xfId="0" applyNumberFormat="1" applyFill="1"/>
    <xf numFmtId="0" fontId="10" fillId="0" borderId="0" xfId="0" applyFont="1"/>
    <xf numFmtId="0" fontId="0" fillId="15" borderId="0" xfId="0" applyFill="1"/>
    <xf numFmtId="0" fontId="0" fillId="8" borderId="0" xfId="0" applyFill="1"/>
    <xf numFmtId="0" fontId="0" fillId="14" borderId="0" xfId="0" applyFill="1"/>
    <xf numFmtId="8" fontId="0" fillId="13" borderId="0" xfId="0" applyNumberFormat="1" applyFill="1"/>
    <xf numFmtId="10" fontId="0" fillId="13" borderId="0" xfId="0" applyNumberFormat="1" applyFill="1"/>
    <xf numFmtId="0" fontId="0" fillId="13" borderId="0" xfId="0" applyFill="1"/>
    <xf numFmtId="1" fontId="8" fillId="14" borderId="2" xfId="0" applyNumberFormat="1" applyFont="1" applyFill="1" applyBorder="1" applyAlignment="1">
      <alignment horizontal="center"/>
    </xf>
    <xf numFmtId="0" fontId="0" fillId="16" borderId="0" xfId="0" applyFill="1"/>
    <xf numFmtId="3" fontId="0" fillId="16" borderId="0" xfId="0" applyNumberFormat="1" applyFill="1"/>
    <xf numFmtId="8" fontId="0" fillId="16" borderId="0" xfId="0" applyNumberFormat="1" applyFill="1"/>
    <xf numFmtId="10" fontId="0" fillId="16" borderId="0" xfId="0" applyNumberFormat="1" applyFill="1"/>
    <xf numFmtId="1" fontId="8" fillId="13" borderId="2" xfId="0" applyNumberFormat="1" applyFont="1" applyFill="1" applyBorder="1" applyAlignment="1">
      <alignment horizontal="center"/>
    </xf>
    <xf numFmtId="167" fontId="0" fillId="16" borderId="0" xfId="5" applyNumberFormat="1" applyFont="1" applyFill="1"/>
    <xf numFmtId="167" fontId="0" fillId="0" borderId="0" xfId="0" applyNumberFormat="1"/>
    <xf numFmtId="167" fontId="0" fillId="9" borderId="0" xfId="5" applyNumberFormat="1" applyFont="1" applyFill="1"/>
    <xf numFmtId="167" fontId="6" fillId="0" borderId="0" xfId="5" applyNumberFormat="1" applyFont="1"/>
    <xf numFmtId="0" fontId="0" fillId="17" borderId="0" xfId="0" applyFill="1"/>
    <xf numFmtId="3" fontId="0" fillId="10" borderId="0" xfId="0" applyNumberFormat="1" applyFill="1"/>
    <xf numFmtId="0" fontId="0" fillId="18" borderId="0" xfId="0" applyFill="1"/>
    <xf numFmtId="44" fontId="0" fillId="0" borderId="0" xfId="6" applyFont="1" applyAlignment="1">
      <alignment horizontal="center"/>
    </xf>
    <xf numFmtId="44" fontId="6" fillId="0" borderId="0" xfId="6" applyFont="1" applyAlignment="1">
      <alignment horizontal="center"/>
    </xf>
    <xf numFmtId="9" fontId="0" fillId="0" borderId="0" xfId="1" applyFont="1" applyAlignment="1">
      <alignment horizontal="center"/>
    </xf>
    <xf numFmtId="14" fontId="0" fillId="16" borderId="0" xfId="0" applyNumberFormat="1" applyFill="1"/>
    <xf numFmtId="1" fontId="0" fillId="19" borderId="0" xfId="0" applyNumberFormat="1" applyFill="1" applyAlignment="1">
      <alignment horizontal="center"/>
    </xf>
    <xf numFmtId="8" fontId="0" fillId="0" borderId="0" xfId="6" applyNumberFormat="1" applyFont="1" applyAlignment="1">
      <alignment horizontal="center"/>
    </xf>
    <xf numFmtId="14" fontId="0" fillId="8" borderId="0" xfId="0" applyNumberFormat="1" applyFill="1"/>
    <xf numFmtId="14" fontId="6" fillId="0" borderId="0" xfId="0" applyNumberFormat="1" applyFont="1"/>
    <xf numFmtId="14" fontId="0" fillId="0" borderId="0" xfId="5" applyNumberFormat="1" applyFont="1"/>
    <xf numFmtId="14" fontId="0" fillId="13" borderId="0" xfId="0" applyNumberFormat="1" applyFill="1"/>
    <xf numFmtId="0" fontId="0" fillId="20" borderId="0" xfId="0" applyFill="1"/>
    <xf numFmtId="0" fontId="6" fillId="0" borderId="0" xfId="0" applyFont="1" applyAlignment="1">
      <alignment wrapText="1"/>
    </xf>
    <xf numFmtId="168" fontId="0" fillId="0" borderId="0" xfId="1" applyNumberFormat="1" applyFont="1" applyAlignment="1">
      <alignment horizontal="center"/>
    </xf>
    <xf numFmtId="1" fontId="0" fillId="21" borderId="0" xfId="0" applyNumberFormat="1" applyFill="1" applyAlignment="1">
      <alignment horizontal="center"/>
    </xf>
    <xf numFmtId="6" fontId="0" fillId="0" borderId="0" xfId="0" applyNumberFormat="1"/>
    <xf numFmtId="14" fontId="0" fillId="21" borderId="0" xfId="0" applyNumberFormat="1" applyFill="1"/>
    <xf numFmtId="10" fontId="0" fillId="21" borderId="0" xfId="0" applyNumberFormat="1" applyFill="1"/>
    <xf numFmtId="6" fontId="0" fillId="21" borderId="0" xfId="0" applyNumberFormat="1" applyFill="1"/>
    <xf numFmtId="8" fontId="0" fillId="21" borderId="0" xfId="0" applyNumberFormat="1" applyFill="1"/>
    <xf numFmtId="0" fontId="0" fillId="21" borderId="0" xfId="0" applyFill="1"/>
    <xf numFmtId="3" fontId="0" fillId="21" borderId="0" xfId="0" applyNumberFormat="1" applyFill="1"/>
    <xf numFmtId="14" fontId="0" fillId="7" borderId="0" xfId="0" applyNumberFormat="1" applyFill="1"/>
    <xf numFmtId="0" fontId="0" fillId="0" borderId="0" xfId="0" applyAlignment="1">
      <alignment vertical="center"/>
    </xf>
    <xf numFmtId="167" fontId="6" fillId="0" borderId="0" xfId="5" applyNumberFormat="1" applyFont="1" applyAlignment="1">
      <alignment horizontal="center"/>
    </xf>
    <xf numFmtId="1" fontId="6" fillId="21" borderId="0" xfId="0" applyNumberFormat="1" applyFont="1" applyFill="1" applyAlignment="1">
      <alignment horizontal="center"/>
    </xf>
    <xf numFmtId="44" fontId="0" fillId="0" borderId="0" xfId="1" applyNumberFormat="1" applyFont="1" applyAlignment="1">
      <alignment horizontal="center"/>
    </xf>
    <xf numFmtId="0" fontId="1" fillId="2" borderId="0" xfId="0" applyFont="1" applyFill="1" applyAlignment="1">
      <alignment horizontal="center" vertical="center" wrapText="1"/>
    </xf>
    <xf numFmtId="0" fontId="1" fillId="2" borderId="0" xfId="0" applyFont="1" applyFill="1" applyAlignment="1">
      <alignment horizontal="left" vertical="center" wrapText="1"/>
    </xf>
    <xf numFmtId="0" fontId="7" fillId="2" borderId="0" xfId="0" applyFont="1" applyFill="1" applyAlignment="1">
      <alignment horizontal="center" vertical="center" wrapText="1"/>
    </xf>
    <xf numFmtId="44" fontId="3" fillId="3" borderId="0" xfId="6" applyFont="1" applyFill="1" applyAlignment="1">
      <alignment horizontal="center" vertical="center" wrapText="1"/>
    </xf>
    <xf numFmtId="167" fontId="3" fillId="3" borderId="0" xfId="5" applyNumberFormat="1" applyFont="1" applyFill="1" applyAlignment="1">
      <alignment horizontal="center" vertical="center" wrapText="1"/>
    </xf>
    <xf numFmtId="0" fontId="0" fillId="0" borderId="0" xfId="0" applyAlignment="1">
      <alignment vertical="center" wrapText="1"/>
    </xf>
    <xf numFmtId="170" fontId="0" fillId="0" borderId="0" xfId="1" applyNumberFormat="1" applyFont="1" applyAlignment="1">
      <alignment horizontal="center"/>
    </xf>
    <xf numFmtId="170" fontId="0" fillId="0" borderId="0" xfId="6" applyNumberFormat="1" applyFont="1" applyAlignment="1">
      <alignment horizontal="center"/>
    </xf>
    <xf numFmtId="14" fontId="0" fillId="9" borderId="0" xfId="0" applyNumberFormat="1" applyFill="1"/>
    <xf numFmtId="14" fontId="0" fillId="10" borderId="0" xfId="0" applyNumberFormat="1" applyFill="1"/>
    <xf numFmtId="0" fontId="3" fillId="19" borderId="0" xfId="2" applyFill="1" applyAlignment="1">
      <alignment horizontal="center" vertical="center" wrapText="1"/>
    </xf>
    <xf numFmtId="14" fontId="0" fillId="23" borderId="0" xfId="0" applyNumberFormat="1" applyFill="1"/>
    <xf numFmtId="0" fontId="0" fillId="0" borderId="0" xfId="0" applyAlignment="1">
      <alignment wrapText="1"/>
    </xf>
    <xf numFmtId="6" fontId="0" fillId="9" borderId="0" xfId="0" applyNumberFormat="1" applyFill="1"/>
    <xf numFmtId="14" fontId="0" fillId="17" borderId="0" xfId="0" applyNumberFormat="1" applyFill="1"/>
    <xf numFmtId="0" fontId="6" fillId="20" borderId="0" xfId="0" applyFont="1" applyFill="1"/>
    <xf numFmtId="1" fontId="0" fillId="16" borderId="0" xfId="0" applyNumberFormat="1" applyFill="1" applyAlignment="1">
      <alignment horizontal="center"/>
    </xf>
    <xf numFmtId="0" fontId="0" fillId="24" borderId="0" xfId="0" applyFill="1"/>
    <xf numFmtId="0" fontId="6" fillId="19" borderId="0" xfId="0" applyFont="1" applyFill="1"/>
    <xf numFmtId="0" fontId="6" fillId="17" borderId="0" xfId="0" applyFont="1" applyFill="1"/>
    <xf numFmtId="3" fontId="0" fillId="13" borderId="0" xfId="0" applyNumberFormat="1" applyFill="1"/>
    <xf numFmtId="9" fontId="0" fillId="0" borderId="0" xfId="0" applyNumberFormat="1"/>
    <xf numFmtId="0" fontId="0" fillId="0" borderId="0" xfId="0" applyAlignment="1">
      <alignment horizontal="left" vertical="center" wrapText="1" indent="1"/>
    </xf>
    <xf numFmtId="0" fontId="6" fillId="0" borderId="0" xfId="0" applyFont="1" applyAlignment="1">
      <alignment horizontal="left" vertical="center" wrapText="1" indent="1"/>
    </xf>
    <xf numFmtId="0" fontId="0" fillId="0" borderId="0" xfId="0" applyAlignment="1">
      <alignment horizontal="left" vertical="center" wrapText="1" indent="2"/>
    </xf>
    <xf numFmtId="0" fontId="6" fillId="0" borderId="0" xfId="0" applyFont="1" applyAlignment="1">
      <alignment horizontal="left" vertical="center" wrapText="1" indent="2"/>
    </xf>
    <xf numFmtId="0" fontId="0" fillId="27" borderId="0" xfId="0" applyFill="1"/>
    <xf numFmtId="0" fontId="3" fillId="3" borderId="0" xfId="2"/>
    <xf numFmtId="0" fontId="10" fillId="0" borderId="0" xfId="0" applyFont="1" applyAlignment="1">
      <alignment vertical="center"/>
    </xf>
    <xf numFmtId="0" fontId="13" fillId="0" borderId="0" xfId="0" applyFont="1" applyAlignment="1">
      <alignment vertical="top" wrapText="1"/>
    </xf>
    <xf numFmtId="0" fontId="6" fillId="0" borderId="0" xfId="0" applyFont="1" applyAlignment="1">
      <alignment horizontal="left" vertical="top" wrapText="1" indent="1"/>
    </xf>
    <xf numFmtId="0" fontId="6" fillId="0" borderId="0" xfId="0" applyFont="1" applyAlignment="1">
      <alignment horizontal="left" vertical="top" wrapText="1" indent="2"/>
    </xf>
    <xf numFmtId="0" fontId="0" fillId="0" borderId="0" xfId="0" applyAlignment="1">
      <alignment vertical="top" wrapText="1"/>
    </xf>
    <xf numFmtId="14" fontId="3" fillId="3" borderId="0" xfId="2" applyNumberFormat="1"/>
    <xf numFmtId="8" fontId="3" fillId="3" borderId="0" xfId="2" applyNumberFormat="1"/>
    <xf numFmtId="10" fontId="3" fillId="3" borderId="0" xfId="2" applyNumberFormat="1"/>
    <xf numFmtId="1" fontId="15" fillId="29" borderId="0" xfId="8" applyNumberFormat="1" applyAlignment="1">
      <alignment horizontal="center"/>
    </xf>
    <xf numFmtId="14" fontId="14" fillId="28" borderId="3" xfId="7" applyNumberFormat="1"/>
    <xf numFmtId="10" fontId="4" fillId="4" borderId="0" xfId="3" applyNumberFormat="1"/>
    <xf numFmtId="9" fontId="10" fillId="0" borderId="0" xfId="1" applyFont="1"/>
    <xf numFmtId="167" fontId="3" fillId="3" borderId="0" xfId="5" applyNumberFormat="1" applyFont="1" applyFill="1"/>
    <xf numFmtId="1" fontId="6" fillId="0" borderId="0" xfId="0" applyNumberFormat="1" applyFont="1" applyAlignment="1">
      <alignment horizontal="center"/>
    </xf>
    <xf numFmtId="3" fontId="0" fillId="9" borderId="0" xfId="0" applyNumberFormat="1" applyFill="1"/>
    <xf numFmtId="9" fontId="0" fillId="9" borderId="0" xfId="1" applyFont="1" applyFill="1"/>
    <xf numFmtId="0" fontId="17" fillId="0" borderId="0" xfId="0" applyFont="1" applyAlignment="1">
      <alignment vertical="center"/>
    </xf>
    <xf numFmtId="0" fontId="18" fillId="31" borderId="0" xfId="0" applyFont="1" applyFill="1" applyAlignment="1">
      <alignment horizontal="center" vertical="center"/>
    </xf>
    <xf numFmtId="0" fontId="22" fillId="0" borderId="0" xfId="0" applyFont="1" applyAlignment="1">
      <alignment horizontal="center" vertical="center"/>
    </xf>
    <xf numFmtId="44" fontId="3" fillId="3" borderId="0" xfId="6" applyFont="1" applyFill="1"/>
    <xf numFmtId="1" fontId="3" fillId="3" borderId="0" xfId="2" applyNumberFormat="1" applyAlignment="1">
      <alignment horizontal="center"/>
    </xf>
    <xf numFmtId="1" fontId="14" fillId="28" borderId="3" xfId="7" applyNumberFormat="1" applyAlignment="1">
      <alignment horizontal="center"/>
    </xf>
    <xf numFmtId="44" fontId="0" fillId="0" borderId="0" xfId="6" applyFont="1"/>
    <xf numFmtId="1" fontId="0" fillId="13" borderId="0" xfId="0" applyNumberFormat="1" applyFill="1" applyAlignment="1">
      <alignment horizontal="center"/>
    </xf>
    <xf numFmtId="0" fontId="10" fillId="8" borderId="0" xfId="0" applyFont="1" applyFill="1"/>
    <xf numFmtId="168" fontId="0" fillId="0" borderId="0" xfId="0" applyNumberFormat="1"/>
    <xf numFmtId="0" fontId="0" fillId="0" borderId="0" xfId="0" applyAlignment="1">
      <alignment horizontal="left" vertical="top"/>
    </xf>
    <xf numFmtId="0" fontId="11" fillId="0" borderId="0" xfId="0" applyFont="1"/>
    <xf numFmtId="0" fontId="1" fillId="22" borderId="0" xfId="0" applyFont="1" applyFill="1"/>
    <xf numFmtId="10" fontId="3" fillId="8" borderId="0" xfId="2" applyNumberFormat="1" applyFill="1"/>
    <xf numFmtId="167" fontId="0" fillId="0" borderId="0" xfId="1" applyNumberFormat="1" applyFont="1"/>
    <xf numFmtId="8" fontId="5" fillId="5" borderId="0" xfId="4" applyNumberFormat="1"/>
    <xf numFmtId="0" fontId="5" fillId="5" borderId="0" xfId="4"/>
    <xf numFmtId="0" fontId="15" fillId="29" borderId="0" xfId="8"/>
    <xf numFmtId="8" fontId="15" fillId="29" borderId="0" xfId="8" applyNumberFormat="1"/>
    <xf numFmtId="0" fontId="15" fillId="29" borderId="0" xfId="8" applyAlignment="1">
      <alignment wrapText="1"/>
    </xf>
    <xf numFmtId="8" fontId="15" fillId="35" borderId="0" xfId="9" applyNumberFormat="1"/>
    <xf numFmtId="14" fontId="15" fillId="35" borderId="0" xfId="9" applyNumberFormat="1"/>
    <xf numFmtId="0" fontId="7" fillId="37" borderId="0" xfId="0" applyFont="1" applyFill="1"/>
    <xf numFmtId="0" fontId="27" fillId="36" borderId="0" xfId="0" applyFont="1" applyFill="1" applyAlignment="1">
      <alignment wrapText="1"/>
    </xf>
    <xf numFmtId="14" fontId="5" fillId="5" borderId="0" xfId="4" applyNumberFormat="1"/>
    <xf numFmtId="0" fontId="29" fillId="39" borderId="6" xfId="10"/>
    <xf numFmtId="3" fontId="29" fillId="39" borderId="6" xfId="10" applyNumberFormat="1"/>
    <xf numFmtId="14" fontId="3" fillId="8" borderId="0" xfId="2" applyNumberFormat="1" applyFill="1"/>
    <xf numFmtId="8" fontId="3" fillId="8" borderId="0" xfId="2" applyNumberFormat="1" applyFill="1"/>
    <xf numFmtId="44" fontId="0" fillId="12" borderId="0" xfId="6" applyFont="1" applyFill="1" applyAlignment="1">
      <alignment horizontal="center"/>
    </xf>
    <xf numFmtId="0" fontId="0" fillId="12" borderId="0" xfId="0" applyFill="1" applyAlignment="1">
      <alignment horizontal="center"/>
    </xf>
    <xf numFmtId="0" fontId="31" fillId="0" borderId="0" xfId="0" applyFont="1"/>
    <xf numFmtId="0" fontId="34" fillId="0" borderId="0" xfId="0" applyFont="1" applyAlignment="1">
      <alignment vertical="center"/>
    </xf>
    <xf numFmtId="168" fontId="34" fillId="0" borderId="0" xfId="0" applyNumberFormat="1" applyFont="1" applyAlignment="1">
      <alignment vertical="center"/>
    </xf>
    <xf numFmtId="3" fontId="34" fillId="0" borderId="0" xfId="0" applyNumberFormat="1" applyFont="1" applyAlignment="1">
      <alignment vertical="center"/>
    </xf>
    <xf numFmtId="14" fontId="34" fillId="0" borderId="0" xfId="0" applyNumberFormat="1" applyFont="1" applyAlignment="1">
      <alignment vertical="center"/>
    </xf>
    <xf numFmtId="0" fontId="36" fillId="26" borderId="0" xfId="0" applyFont="1" applyFill="1" applyAlignment="1">
      <alignment vertical="center" wrapText="1"/>
    </xf>
    <xf numFmtId="0" fontId="40" fillId="0" borderId="0" xfId="0" applyFont="1" applyAlignment="1">
      <alignment vertical="top"/>
    </xf>
    <xf numFmtId="0" fontId="41" fillId="0" borderId="0" xfId="0" applyFont="1" applyAlignment="1">
      <alignment vertical="top"/>
    </xf>
    <xf numFmtId="0" fontId="42" fillId="0" borderId="0" xfId="0" applyFont="1"/>
    <xf numFmtId="0" fontId="30" fillId="31" borderId="0" xfId="2" applyFont="1" applyFill="1" applyAlignment="1">
      <alignment horizontal="center" vertical="top"/>
    </xf>
    <xf numFmtId="0" fontId="43" fillId="31" borderId="0" xfId="2" applyFont="1" applyFill="1" applyAlignment="1">
      <alignment horizontal="center" vertical="top"/>
    </xf>
    <xf numFmtId="0" fontId="41" fillId="26" borderId="0" xfId="0" applyFont="1" applyFill="1" applyAlignment="1">
      <alignment horizontal="center" vertical="top" wrapText="1"/>
    </xf>
    <xf numFmtId="0" fontId="31" fillId="0" borderId="0" xfId="0" applyFont="1" applyAlignment="1">
      <alignment wrapText="1"/>
    </xf>
    <xf numFmtId="0" fontId="30" fillId="31" borderId="4" xfId="0" applyFont="1" applyFill="1" applyBorder="1" applyAlignment="1">
      <alignment horizontal="center" vertical="top" wrapText="1"/>
    </xf>
    <xf numFmtId="0" fontId="45" fillId="26" borderId="4" xfId="0" applyFont="1" applyFill="1" applyBorder="1" applyAlignment="1">
      <alignment horizontal="center" vertical="top" wrapText="1"/>
    </xf>
    <xf numFmtId="0" fontId="45" fillId="26" borderId="4" xfId="0" applyFont="1" applyFill="1" applyBorder="1" applyAlignment="1">
      <alignment vertical="top" wrapText="1"/>
    </xf>
    <xf numFmtId="0" fontId="46" fillId="32" borderId="5" xfId="0" applyFont="1" applyFill="1" applyBorder="1" applyAlignment="1">
      <alignment horizontal="center" vertical="top" wrapText="1"/>
    </xf>
    <xf numFmtId="0" fontId="47" fillId="41" borderId="5" xfId="0" applyFont="1" applyFill="1" applyBorder="1" applyAlignment="1">
      <alignment horizontal="center" vertical="top" wrapText="1"/>
    </xf>
    <xf numFmtId="0" fontId="48" fillId="41" borderId="5" xfId="0" applyFont="1" applyFill="1" applyBorder="1" applyAlignment="1">
      <alignment vertical="top" wrapText="1"/>
    </xf>
    <xf numFmtId="0" fontId="40" fillId="0" borderId="0" xfId="0" applyFont="1" applyAlignment="1">
      <alignment vertical="top" wrapText="1"/>
    </xf>
    <xf numFmtId="0" fontId="49" fillId="0" borderId="0" xfId="0" applyFont="1" applyAlignment="1">
      <alignment vertical="center" wrapText="1"/>
    </xf>
    <xf numFmtId="0" fontId="50" fillId="0" borderId="0" xfId="0" applyFont="1"/>
    <xf numFmtId="0" fontId="36" fillId="26" borderId="0" xfId="0" applyFont="1" applyFill="1" applyAlignment="1">
      <alignment horizontal="left" vertical="center" wrapText="1"/>
    </xf>
    <xf numFmtId="0" fontId="37" fillId="40" borderId="0" xfId="0" applyFont="1" applyFill="1" applyAlignment="1">
      <alignment horizontal="left" vertical="center"/>
    </xf>
    <xf numFmtId="0" fontId="36" fillId="26" borderId="0" xfId="0" applyFont="1" applyFill="1" applyAlignment="1">
      <alignment horizontal="center" vertical="center" wrapText="1"/>
    </xf>
    <xf numFmtId="0" fontId="37" fillId="40" borderId="0" xfId="0" applyFont="1" applyFill="1" applyAlignment="1">
      <alignment horizontal="center" vertical="center"/>
    </xf>
    <xf numFmtId="168" fontId="37" fillId="40" borderId="0" xfId="0" applyNumberFormat="1" applyFont="1" applyFill="1" applyAlignment="1">
      <alignment horizontal="center" vertical="center"/>
    </xf>
    <xf numFmtId="3" fontId="37" fillId="40" borderId="0" xfId="0" applyNumberFormat="1" applyFont="1" applyFill="1" applyAlignment="1">
      <alignment horizontal="center" vertical="center"/>
    </xf>
    <xf numFmtId="0" fontId="34" fillId="0" borderId="0" xfId="0" applyFont="1" applyAlignment="1">
      <alignment horizontal="left" vertical="center"/>
    </xf>
    <xf numFmtId="0" fontId="34" fillId="0" borderId="0" xfId="0" applyFont="1" applyAlignment="1">
      <alignment horizontal="center" vertical="center"/>
    </xf>
    <xf numFmtId="168" fontId="34" fillId="0" borderId="0" xfId="0" applyNumberFormat="1" applyFont="1" applyAlignment="1">
      <alignment horizontal="center" vertical="center"/>
    </xf>
    <xf numFmtId="169" fontId="34" fillId="0" borderId="0" xfId="0" applyNumberFormat="1" applyFont="1" applyAlignment="1">
      <alignment horizontal="center" vertical="center"/>
    </xf>
    <xf numFmtId="3" fontId="34" fillId="0" borderId="0" xfId="0" applyNumberFormat="1" applyFont="1" applyAlignment="1">
      <alignment horizontal="center" vertical="center"/>
    </xf>
    <xf numFmtId="43" fontId="34" fillId="0" borderId="0" xfId="5" applyFont="1" applyAlignment="1">
      <alignment horizontal="center" vertical="center"/>
    </xf>
    <xf numFmtId="1" fontId="34" fillId="0" borderId="0" xfId="5" applyNumberFormat="1" applyFont="1" applyAlignment="1">
      <alignment horizontal="center" vertical="center"/>
    </xf>
    <xf numFmtId="172" fontId="34" fillId="0" borderId="0" xfId="0" applyNumberFormat="1" applyFont="1" applyAlignment="1">
      <alignment horizontal="center" vertical="center"/>
    </xf>
    <xf numFmtId="168" fontId="36" fillId="26" borderId="0" xfId="0" applyNumberFormat="1" applyFont="1" applyFill="1" applyAlignment="1">
      <alignment horizontal="center" vertical="center" wrapText="1"/>
    </xf>
    <xf numFmtId="3" fontId="36" fillId="26" borderId="0" xfId="0" applyNumberFormat="1" applyFont="1" applyFill="1" applyAlignment="1">
      <alignment horizontal="center" vertical="center" wrapText="1"/>
    </xf>
    <xf numFmtId="14" fontId="36" fillId="26" borderId="0" xfId="0" applyNumberFormat="1" applyFont="1" applyFill="1" applyAlignment="1">
      <alignment horizontal="center" vertical="center" wrapText="1"/>
    </xf>
    <xf numFmtId="0" fontId="34" fillId="0" borderId="0" xfId="0" applyFont="1" applyAlignment="1">
      <alignment horizontal="center" vertical="center" wrapText="1"/>
    </xf>
    <xf numFmtId="14" fontId="34" fillId="0" borderId="0" xfId="0" applyNumberFormat="1" applyFont="1" applyAlignment="1">
      <alignment horizontal="center" vertical="center"/>
    </xf>
    <xf numFmtId="0" fontId="18" fillId="25" borderId="0" xfId="0" applyFont="1" applyFill="1" applyAlignment="1">
      <alignment vertical="center"/>
    </xf>
    <xf numFmtId="0" fontId="54" fillId="42" borderId="0" xfId="0" applyFont="1" applyFill="1" applyAlignment="1">
      <alignment vertical="center" wrapText="1"/>
    </xf>
    <xf numFmtId="0" fontId="55" fillId="43" borderId="0" xfId="0" applyFont="1" applyFill="1" applyAlignment="1">
      <alignment vertical="center" wrapText="1"/>
    </xf>
    <xf numFmtId="0" fontId="51" fillId="44" borderId="0" xfId="0" applyFont="1" applyFill="1" applyAlignment="1">
      <alignment vertical="center"/>
    </xf>
    <xf numFmtId="0" fontId="51" fillId="44" borderId="0" xfId="0" applyFont="1" applyFill="1" applyAlignment="1">
      <alignment horizontal="center" vertical="center"/>
    </xf>
    <xf numFmtId="168" fontId="51" fillId="44" borderId="0" xfId="0" applyNumberFormat="1" applyFont="1" applyFill="1" applyAlignment="1">
      <alignment horizontal="right" vertical="center"/>
    </xf>
    <xf numFmtId="3" fontId="51" fillId="44" borderId="0" xfId="0" applyNumberFormat="1" applyFont="1" applyFill="1" applyAlignment="1">
      <alignment horizontal="right" vertical="center"/>
    </xf>
    <xf numFmtId="173" fontId="51" fillId="44" borderId="0" xfId="0" applyNumberFormat="1" applyFont="1" applyFill="1" applyAlignment="1">
      <alignment horizontal="right" vertical="center"/>
    </xf>
    <xf numFmtId="0" fontId="51" fillId="45" borderId="0" xfId="0" applyFont="1" applyFill="1" applyAlignment="1">
      <alignment vertical="center"/>
    </xf>
    <xf numFmtId="0" fontId="51" fillId="45" borderId="0" xfId="0" applyFont="1" applyFill="1" applyAlignment="1">
      <alignment horizontal="center" vertical="center"/>
    </xf>
    <xf numFmtId="168" fontId="51" fillId="45" borderId="0" xfId="0" applyNumberFormat="1" applyFont="1" applyFill="1" applyAlignment="1">
      <alignment horizontal="right" vertical="center"/>
    </xf>
    <xf numFmtId="3" fontId="51" fillId="45" borderId="0" xfId="0" applyNumberFormat="1" applyFont="1" applyFill="1" applyAlignment="1">
      <alignment horizontal="right" vertical="center"/>
    </xf>
    <xf numFmtId="173" fontId="51" fillId="45" borderId="0" xfId="0" applyNumberFormat="1" applyFont="1" applyFill="1" applyAlignment="1">
      <alignment horizontal="right" vertical="center"/>
    </xf>
    <xf numFmtId="0" fontId="51" fillId="46" borderId="0" xfId="0" applyFont="1" applyFill="1" applyAlignment="1">
      <alignment vertical="center"/>
    </xf>
    <xf numFmtId="0" fontId="51" fillId="46" borderId="0" xfId="0" applyFont="1" applyFill="1" applyAlignment="1">
      <alignment horizontal="center" vertical="center"/>
    </xf>
    <xf numFmtId="168" fontId="51" fillId="46" borderId="0" xfId="0" applyNumberFormat="1" applyFont="1" applyFill="1" applyAlignment="1">
      <alignment horizontal="right" vertical="center"/>
    </xf>
    <xf numFmtId="3" fontId="51" fillId="46" borderId="0" xfId="0" applyNumberFormat="1" applyFont="1" applyFill="1" applyAlignment="1">
      <alignment horizontal="right" vertical="center"/>
    </xf>
    <xf numFmtId="173" fontId="51" fillId="46" borderId="0" xfId="0" applyNumberFormat="1" applyFont="1" applyFill="1" applyAlignment="1">
      <alignment horizontal="right" vertical="center"/>
    </xf>
    <xf numFmtId="0" fontId="51" fillId="47" borderId="0" xfId="0" applyFont="1" applyFill="1" applyAlignment="1">
      <alignment vertical="center"/>
    </xf>
    <xf numFmtId="0" fontId="51" fillId="47" borderId="0" xfId="0" applyFont="1" applyFill="1" applyAlignment="1">
      <alignment horizontal="center" vertical="center"/>
    </xf>
    <xf numFmtId="168" fontId="51" fillId="47" borderId="0" xfId="0" applyNumberFormat="1" applyFont="1" applyFill="1" applyAlignment="1">
      <alignment horizontal="right" vertical="center"/>
    </xf>
    <xf numFmtId="3" fontId="51" fillId="47" borderId="0" xfId="0" applyNumberFormat="1" applyFont="1" applyFill="1" applyAlignment="1">
      <alignment horizontal="right" vertical="center"/>
    </xf>
    <xf numFmtId="173" fontId="51" fillId="47" borderId="0" xfId="0" applyNumberFormat="1" applyFont="1" applyFill="1" applyAlignment="1">
      <alignment horizontal="right" vertical="center"/>
    </xf>
    <xf numFmtId="0" fontId="51" fillId="48" borderId="0" xfId="0" applyFont="1" applyFill="1" applyAlignment="1">
      <alignment vertical="center"/>
    </xf>
    <xf numFmtId="0" fontId="51" fillId="48" borderId="0" xfId="0" applyFont="1" applyFill="1" applyAlignment="1">
      <alignment horizontal="center" vertical="center"/>
    </xf>
    <xf numFmtId="168" fontId="51" fillId="48" borderId="0" xfId="0" applyNumberFormat="1" applyFont="1" applyFill="1" applyAlignment="1">
      <alignment horizontal="right" vertical="center"/>
    </xf>
    <xf numFmtId="3" fontId="51" fillId="48" borderId="0" xfId="0" applyNumberFormat="1" applyFont="1" applyFill="1" applyAlignment="1">
      <alignment horizontal="right" vertical="center"/>
    </xf>
    <xf numFmtId="173" fontId="51" fillId="48" borderId="0" xfId="0" applyNumberFormat="1" applyFont="1" applyFill="1" applyAlignment="1">
      <alignment horizontal="right" vertical="center"/>
    </xf>
    <xf numFmtId="0" fontId="51" fillId="48" borderId="7" xfId="0" applyFont="1" applyFill="1" applyBorder="1" applyAlignment="1">
      <alignment vertical="center"/>
    </xf>
    <xf numFmtId="0" fontId="51" fillId="48" borderId="7" xfId="0" applyFont="1" applyFill="1" applyBorder="1" applyAlignment="1">
      <alignment horizontal="center" vertical="center"/>
    </xf>
    <xf numFmtId="168" fontId="51" fillId="48" borderId="7" xfId="0" applyNumberFormat="1" applyFont="1" applyFill="1" applyBorder="1" applyAlignment="1">
      <alignment horizontal="right" vertical="center"/>
    </xf>
    <xf numFmtId="3" fontId="51" fillId="48" borderId="7" xfId="0" applyNumberFormat="1" applyFont="1" applyFill="1" applyBorder="1" applyAlignment="1">
      <alignment horizontal="right" vertical="center"/>
    </xf>
    <xf numFmtId="173" fontId="51" fillId="48" borderId="7" xfId="0" applyNumberFormat="1" applyFont="1" applyFill="1" applyBorder="1" applyAlignment="1">
      <alignment horizontal="right" vertical="center"/>
    </xf>
    <xf numFmtId="0" fontId="1" fillId="25" borderId="0" xfId="0" applyFont="1" applyFill="1" applyAlignment="1">
      <alignment vertical="center"/>
    </xf>
    <xf numFmtId="0" fontId="57" fillId="0" borderId="0" xfId="0" applyFont="1" applyAlignment="1">
      <alignment vertical="center"/>
    </xf>
    <xf numFmtId="168" fontId="0" fillId="0" borderId="0" xfId="0" applyNumberFormat="1" applyAlignment="1">
      <alignment horizontal="right" vertical="center"/>
    </xf>
    <xf numFmtId="174" fontId="0" fillId="0" borderId="0" xfId="0" applyNumberFormat="1" applyAlignment="1">
      <alignment horizontal="right" vertical="center"/>
    </xf>
    <xf numFmtId="175" fontId="0" fillId="0" borderId="0" xfId="0" applyNumberFormat="1" applyAlignment="1">
      <alignment horizontal="right" vertical="center"/>
    </xf>
    <xf numFmtId="176" fontId="0" fillId="0" borderId="0" xfId="0" applyNumberFormat="1" applyAlignment="1">
      <alignment horizontal="right" vertical="center"/>
    </xf>
    <xf numFmtId="0" fontId="57" fillId="0" borderId="7" xfId="0" applyFont="1" applyBorder="1" applyAlignment="1">
      <alignment vertical="center"/>
    </xf>
    <xf numFmtId="0" fontId="0" fillId="0" borderId="7" xfId="0" applyBorder="1" applyAlignment="1">
      <alignment vertical="center"/>
    </xf>
    <xf numFmtId="0" fontId="1" fillId="25" borderId="0" xfId="0" applyFont="1" applyFill="1" applyAlignment="1">
      <alignment horizontal="center" vertical="center"/>
    </xf>
    <xf numFmtId="17" fontId="0" fillId="0" borderId="0" xfId="0" applyNumberFormat="1" applyAlignment="1">
      <alignment horizontal="center" vertical="center"/>
    </xf>
    <xf numFmtId="168" fontId="0" fillId="0" borderId="0" xfId="0" applyNumberFormat="1" applyAlignment="1">
      <alignment horizontal="center" vertical="center"/>
    </xf>
    <xf numFmtId="172" fontId="0" fillId="0" borderId="0" xfId="0" applyNumberFormat="1" applyAlignment="1">
      <alignment horizontal="center" vertical="center"/>
    </xf>
    <xf numFmtId="3" fontId="0" fillId="0" borderId="0" xfId="0" applyNumberFormat="1" applyAlignment="1">
      <alignment horizontal="center" vertical="center"/>
    </xf>
    <xf numFmtId="174" fontId="0" fillId="0" borderId="0" xfId="0" applyNumberFormat="1" applyAlignment="1">
      <alignment horizontal="center" vertical="center"/>
    </xf>
    <xf numFmtId="0" fontId="0" fillId="0" borderId="7" xfId="0" applyBorder="1" applyAlignment="1">
      <alignment horizontal="center" vertical="center"/>
    </xf>
    <xf numFmtId="0" fontId="0" fillId="42" borderId="0" xfId="0" applyFill="1" applyAlignment="1">
      <alignment vertical="center" wrapText="1"/>
    </xf>
    <xf numFmtId="0" fontId="7" fillId="25" borderId="0" xfId="0" applyFont="1" applyFill="1" applyAlignment="1">
      <alignment vertical="center"/>
    </xf>
    <xf numFmtId="0" fontId="0" fillId="0" borderId="0" xfId="0" applyAlignment="1">
      <alignment horizontal="right" vertical="center"/>
    </xf>
    <xf numFmtId="0" fontId="10" fillId="0" borderId="7" xfId="0" applyFont="1" applyBorder="1" applyAlignment="1">
      <alignment vertical="center"/>
    </xf>
    <xf numFmtId="0" fontId="0" fillId="0" borderId="7" xfId="0" applyBorder="1" applyAlignment="1">
      <alignment horizontal="right" vertical="center"/>
    </xf>
    <xf numFmtId="168" fontId="0" fillId="0" borderId="7" xfId="0" applyNumberFormat="1" applyBorder="1" applyAlignment="1">
      <alignment horizontal="right" vertical="center"/>
    </xf>
    <xf numFmtId="0" fontId="58" fillId="43" borderId="8" xfId="0" applyFont="1" applyFill="1" applyBorder="1" applyAlignment="1">
      <alignment vertical="center" wrapText="1"/>
    </xf>
    <xf numFmtId="0" fontId="59" fillId="22" borderId="0" xfId="0" applyFont="1" applyFill="1" applyAlignment="1">
      <alignment vertical="center"/>
    </xf>
    <xf numFmtId="0" fontId="0" fillId="42" borderId="0" xfId="0" applyFill="1" applyAlignment="1">
      <alignment vertical="center" wrapText="1"/>
    </xf>
    <xf numFmtId="0" fontId="52" fillId="22" borderId="0" xfId="0" applyFont="1" applyFill="1" applyAlignment="1">
      <alignment vertical="center"/>
    </xf>
    <xf numFmtId="0" fontId="53" fillId="0" borderId="0" xfId="0" applyFont="1" applyAlignment="1">
      <alignment vertical="center"/>
    </xf>
    <xf numFmtId="0" fontId="54" fillId="42" borderId="0" xfId="0" applyFont="1" applyFill="1" applyAlignment="1">
      <alignment vertical="center" wrapText="1"/>
    </xf>
    <xf numFmtId="0" fontId="55" fillId="43" borderId="0" xfId="0" applyFont="1" applyFill="1" applyAlignment="1">
      <alignment vertical="center" wrapText="1"/>
    </xf>
    <xf numFmtId="0" fontId="56" fillId="22" borderId="0" xfId="0" applyFont="1" applyFill="1" applyAlignment="1">
      <alignment vertical="center"/>
    </xf>
    <xf numFmtId="0" fontId="56" fillId="22" borderId="0" xfId="0" applyFont="1" applyFill="1"/>
    <xf numFmtId="0" fontId="38" fillId="30" borderId="0" xfId="0" applyFont="1" applyFill="1" applyAlignment="1">
      <alignment vertical="top"/>
    </xf>
    <xf numFmtId="0" fontId="39" fillId="0" borderId="0" xfId="0" applyFont="1" applyAlignment="1">
      <alignment vertical="top" wrapText="1"/>
    </xf>
    <xf numFmtId="0" fontId="44" fillId="31" borderId="0" xfId="0" applyFont="1" applyFill="1" applyAlignment="1">
      <alignment vertical="top"/>
    </xf>
    <xf numFmtId="0" fontId="44" fillId="31" borderId="0" xfId="0" applyFont="1" applyFill="1" applyAlignment="1">
      <alignment vertical="top" wrapText="1"/>
    </xf>
    <xf numFmtId="0" fontId="32" fillId="30" borderId="0" xfId="0" applyFont="1" applyFill="1" applyAlignment="1">
      <alignment vertical="center"/>
    </xf>
    <xf numFmtId="0" fontId="35" fillId="22" borderId="0" xfId="0" applyFont="1" applyFill="1" applyAlignment="1">
      <alignment vertical="center"/>
    </xf>
    <xf numFmtId="0" fontId="33" fillId="0" borderId="0" xfId="0" applyFont="1" applyAlignment="1">
      <alignment vertical="center"/>
    </xf>
    <xf numFmtId="0" fontId="19" fillId="22" borderId="0" xfId="0" applyFont="1" applyFill="1" applyAlignment="1">
      <alignment horizontal="left" vertical="center"/>
    </xf>
    <xf numFmtId="0" fontId="20" fillId="0" borderId="0" xfId="0" applyFont="1" applyAlignment="1">
      <alignment horizontal="left" vertical="center"/>
    </xf>
    <xf numFmtId="0" fontId="18" fillId="25" borderId="0" xfId="0" applyFont="1" applyFill="1" applyAlignment="1">
      <alignment horizontal="left" vertical="center"/>
    </xf>
    <xf numFmtId="1" fontId="23" fillId="26" borderId="0" xfId="0" applyNumberFormat="1" applyFont="1" applyFill="1" applyAlignment="1">
      <alignment horizontal="center" vertical="center"/>
    </xf>
    <xf numFmtId="168" fontId="23" fillId="26" borderId="0" xfId="0" applyNumberFormat="1" applyFont="1" applyFill="1" applyAlignment="1">
      <alignment horizontal="center" vertical="center"/>
    </xf>
    <xf numFmtId="171" fontId="23" fillId="26" borderId="0" xfId="0" applyNumberFormat="1" applyFont="1" applyFill="1" applyAlignment="1">
      <alignment horizontal="center" vertical="center"/>
    </xf>
    <xf numFmtId="0" fontId="25" fillId="0" borderId="0" xfId="0" applyFont="1" applyAlignment="1">
      <alignment horizontal="center" vertical="center"/>
    </xf>
    <xf numFmtId="0" fontId="21" fillId="33" borderId="0" xfId="0" applyFont="1" applyFill="1" applyAlignment="1">
      <alignment horizontal="left" vertical="center" wrapText="1"/>
    </xf>
    <xf numFmtId="0" fontId="24" fillId="33" borderId="0" xfId="0" applyFont="1" applyFill="1" applyAlignment="1">
      <alignment horizontal="center" vertical="center"/>
    </xf>
    <xf numFmtId="0" fontId="21" fillId="34" borderId="0" xfId="0" applyFont="1" applyFill="1" applyAlignment="1">
      <alignment horizontal="left" vertical="center" wrapText="1"/>
    </xf>
    <xf numFmtId="0" fontId="28" fillId="38" borderId="0" xfId="0" applyFont="1" applyFill="1" applyAlignment="1">
      <alignment horizontal="left" vertical="top" wrapText="1" indent="1"/>
    </xf>
    <xf numFmtId="0" fontId="7" fillId="37" borderId="0" xfId="0" applyFont="1" applyFill="1"/>
    <xf numFmtId="0" fontId="27" fillId="36" borderId="0" xfId="0" applyFont="1" applyFill="1" applyAlignment="1">
      <alignment wrapText="1"/>
    </xf>
    <xf numFmtId="0" fontId="16" fillId="30" borderId="0" xfId="0" applyFont="1" applyFill="1" applyAlignment="1">
      <alignment vertical="center"/>
    </xf>
    <xf numFmtId="0" fontId="16" fillId="30" borderId="0" xfId="0" applyFont="1" applyFill="1" applyAlignment="1">
      <alignment vertical="center" wrapText="1"/>
    </xf>
    <xf numFmtId="0" fontId="26" fillId="26" borderId="0" xfId="0" applyFont="1" applyFill="1" applyAlignment="1">
      <alignment vertical="center" wrapText="1"/>
    </xf>
    <xf numFmtId="0" fontId="26" fillId="26" borderId="0" xfId="0" applyFont="1" applyFill="1" applyAlignment="1">
      <alignment vertical="center"/>
    </xf>
    <xf numFmtId="0" fontId="12" fillId="0" borderId="0" xfId="0" applyFont="1" applyAlignment="1">
      <alignment vertical="center" wrapText="1"/>
    </xf>
    <xf numFmtId="0" fontId="0" fillId="16" borderId="0" xfId="0" applyFill="1" applyAlignment="1">
      <alignment vertical="center"/>
    </xf>
    <xf numFmtId="0" fontId="0" fillId="0" borderId="0" xfId="0" applyAlignment="1">
      <alignment vertical="center"/>
    </xf>
    <xf numFmtId="0" fontId="4" fillId="4" borderId="0" xfId="3" applyAlignment="1">
      <alignment horizontal="center"/>
    </xf>
  </cellXfs>
  <cellStyles count="11">
    <cellStyle name="Accent1" xfId="9" builtinId="29"/>
    <cellStyle name="Accent2" xfId="8" builtinId="33"/>
    <cellStyle name="Bad" xfId="3" builtinId="27"/>
    <cellStyle name="Check Cell" xfId="10" builtinId="23"/>
    <cellStyle name="Comma" xfId="5" builtinId="3"/>
    <cellStyle name="Currency" xfId="6" builtinId="4"/>
    <cellStyle name="Good" xfId="2" builtinId="26"/>
    <cellStyle name="Input" xfId="7" builtinId="20"/>
    <cellStyle name="Neutral" xfId="4" builtinId="28"/>
    <cellStyle name="Normal" xfId="0" builtinId="0"/>
    <cellStyle name="Percent" xfId="1" builtinId="5"/>
  </cellStyles>
  <dxfs count="27">
    <dxf>
      <alignment horizontal="center" textRotation="0" indent="0" justifyLastLine="0" shrinkToFit="0" readingOrder="0"/>
    </dxf>
    <dxf>
      <font>
        <b val="0"/>
        <i val="0"/>
        <strike val="0"/>
        <condense val="0"/>
        <extend val="0"/>
        <outline val="0"/>
        <shadow val="0"/>
        <u val="none"/>
        <vertAlign val="baseline"/>
        <sz val="11"/>
        <color auto="1"/>
        <name val="Calibri"/>
        <scheme val="none"/>
      </font>
      <numFmt numFmtId="13" formatCode="0%"/>
    </dxf>
    <dxf>
      <font>
        <b val="0"/>
        <i val="0"/>
        <strike val="0"/>
        <condense val="0"/>
        <extend val="0"/>
        <outline val="0"/>
        <shadow val="0"/>
        <u val="none"/>
        <vertAlign val="baseline"/>
        <sz val="11"/>
        <color auto="1"/>
        <name val="Calibri"/>
        <scheme val="none"/>
      </font>
      <numFmt numFmtId="13" formatCode="0%"/>
    </dxf>
    <dxf>
      <numFmt numFmtId="0" formatCode="General"/>
    </dxf>
    <dxf>
      <numFmt numFmtId="3" formatCode="#,##0"/>
    </dxf>
    <dxf>
      <numFmt numFmtId="167" formatCode="_(* #,##0_);_(* \(#,##0\);_(* &quot;-&quot;??_);_(@_)"/>
    </dxf>
    <dxf>
      <alignment horizontal="center" textRotation="0" indent="0" justifyLastLine="0" shrinkToFit="0" readingOrder="0"/>
    </dxf>
    <dxf>
      <numFmt numFmtId="34" formatCode="_(&quot;$&quot;* #,##0.00_);_(&quot;$&quot;* \(#,##0.00\);_(&quot;$&quot;* &quot;-&quot;??_);_(@_)"/>
      <alignment horizontal="center" vertical="bottom" textRotation="0" wrapText="0" indent="0" justifyLastLine="0" shrinkToFit="0" readingOrder="0"/>
    </dxf>
    <dxf>
      <numFmt numFmtId="34" formatCode="_(&quot;$&quot;* #,##0.00_);_(&quot;$&quot;* \(#,##0.00\);_(&quot;$&quot;* &quot;-&quot;??_);_(@_)"/>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5" formatCode="#,##0.00##"/>
    </dxf>
    <dxf>
      <numFmt numFmtId="14" formatCode="0.00%"/>
    </dxf>
    <dxf>
      <numFmt numFmtId="165" formatCode="#,##0.00##"/>
    </dxf>
    <dxf>
      <numFmt numFmtId="14" formatCode="0.00%"/>
    </dxf>
    <dxf>
      <numFmt numFmtId="14" formatCode="0.00%"/>
    </dxf>
    <dxf>
      <numFmt numFmtId="165" formatCode="#,##0.00##"/>
    </dxf>
    <dxf>
      <numFmt numFmtId="165" formatCode="#,##0.00##"/>
    </dxf>
    <dxf>
      <numFmt numFmtId="165" formatCode="#,##0.00##"/>
    </dxf>
    <dxf>
      <numFmt numFmtId="165" formatCode="#,##0.00##"/>
    </dxf>
    <dxf>
      <alignment horizontal="center" textRotation="0" indent="0" justifyLastLine="0" shrinkToFit="0" readingOrder="0"/>
    </dxf>
    <dxf>
      <numFmt numFmtId="164" formatCode="mm/dd/yyyy"/>
    </dxf>
    <dxf>
      <numFmt numFmtId="164" formatCode="mm/dd/yyyy"/>
    </dxf>
    <dxf>
      <alignment horizontal="center" textRotation="0" indent="0" justifyLastLine="0" shrinkToFit="0" readingOrder="0"/>
    </dxf>
    <dxf>
      <alignment horizontal="left"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5C7386-2E6A-4077-9327-B46E687A9E9E}" name="Table1" displayName="Table1" ref="A1:AM597" totalsRowShown="0" headerRowDxfId="26" headerRowCellStyle="Good">
  <autoFilter ref="A1:AM597" xr:uid="{145C7386-2E6A-4077-9327-B46E687A9E9E}"/>
  <sortState xmlns:xlrd2="http://schemas.microsoft.com/office/spreadsheetml/2017/richdata2" ref="A2:AM597">
    <sortCondition ref="C1:C597"/>
  </sortState>
  <tableColumns count="39">
    <tableColumn id="1" xr3:uid="{B21BB10A-7C7C-4AF6-B978-1A7D7F0C6F7E}" name="Promotion ID"/>
    <tableColumn id="2" xr3:uid="{80F6B997-5990-409C-9AC3-3E12494CFF06}" name="ID" dataDxfId="25"/>
    <tableColumn id="3" xr3:uid="{F2DE7A4D-8F08-4F56-8671-C0B11592E47B}" name="Customer name" dataDxfId="24"/>
    <tableColumn id="4" xr3:uid="{1AA6AB78-46F3-43CB-A354-709F1BBE060D}" name="Channnel" dataDxfId="23"/>
    <tableColumn id="5" xr3:uid="{00E3C9DD-577B-4ED9-A4C3-BC36EF373490}" name="Customer ID"/>
    <tableColumn id="6" xr3:uid="{051FBD82-FE15-4C5A-BA5A-DF79FF0389BB}" name="Promotion name"/>
    <tableColumn id="7" xr3:uid="{2B204D30-5AF9-4BD5-9131-53697BEC5C34}" name="Promotion status"/>
    <tableColumn id="8" xr3:uid="{81B75C2E-1F8A-43DB-9847-E5D0672A19C2}" name="Start date" dataDxfId="22"/>
    <tableColumn id="9" xr3:uid="{5282C00D-4986-4A27-8466-60A87BE1A50B}" name="End date" dataDxfId="21"/>
    <tableColumn id="10" xr3:uid="{49FB6424-9FB4-4CFD-8A6E-F3B56D09FA72}" name="Selling unit group OR UPC" dataDxfId="20"/>
    <tableColumn id="11" xr3:uid="{5ED2B6AF-4993-42B2-B741-5B5C58325E29}" name="Item code"/>
    <tableColumn id="12" xr3:uid="{86BF2EDA-B53A-4B6F-94CB-14B3A89CD3A8}" name="Plan incr. trade spend" dataDxfId="19"/>
    <tableColumn id="13" xr3:uid="{C4603504-3EC0-48A3-91A9-41CD7AE63879}" name="Plan base volume" dataDxfId="18"/>
    <tableColumn id="14" xr3:uid="{7AF8823B-4F73-42AB-9281-8166D00161D0}" name="Plan incremental" dataDxfId="17"/>
    <tableColumn id="15" xr3:uid="{0F4382D9-300A-42BA-ADB5-6FD02C3A35DB}" name="Plan total demand" dataDxfId="16"/>
    <tableColumn id="16" xr3:uid="{4AD1320F-B955-4652-9D58-A6650C82FD9D}" name="Plan lift, %" dataDxfId="15"/>
    <tableColumn id="17" xr3:uid="{63307517-2178-4B79-9E5A-0AD56261F202}" name="Predicted lift, %" dataDxfId="14"/>
    <tableColumn id="18" xr3:uid="{DDE3EDBA-9623-44F8-92D1-9901D19D18F4}" name="Actual incremental" dataDxfId="13"/>
    <tableColumn id="19" xr3:uid="{F57265FC-2FFE-4E15-898D-21017E9C10F8}" name="Actual lift, %" dataDxfId="12"/>
    <tableColumn id="20" xr3:uid="{1F1E0796-F508-405B-B4B7-FA590AAC3D66}" name="Actual total demand" dataDxfId="11"/>
    <tableColumn id="21" xr3:uid="{0AF56C55-0FBA-4B84-9C87-B37ED02B0681}" name="Deal"/>
    <tableColumn id="31" xr3:uid="{F590A989-5F97-4632-A682-397646D8D628}" name="Scan" dataDxfId="10">
      <calculatedColumnFormula>IF(ISNUMBER(SEARCH(V$1,$U2)),"Yes","No")</calculatedColumnFormula>
    </tableColumn>
    <tableColumn id="30" xr3:uid="{002AA53F-B494-46DB-9A6E-CA741210E14B}" name="TPR">
      <calculatedColumnFormula>IF(ISNUMBER(SEARCH(W$1,$U2)),"Yes","No")</calculatedColumnFormula>
    </tableColumn>
    <tableColumn id="22" xr3:uid="{D035F00C-115D-46C3-A84A-9E2EB5948F23}" name="AD">
      <calculatedColumnFormula>IF(ISNUMBER(SEARCH(X$1,$U2)),"Yes","No")</calculatedColumnFormula>
    </tableColumn>
    <tableColumn id="32" xr3:uid="{8C8D2FB4-A9AB-487F-93CD-3C4EAA12607D}" name="Digital Coupon">
      <calculatedColumnFormula>IF(ISNUMBER(SEARCH(Y$1,$U2)),"Yes","No")</calculatedColumnFormula>
    </tableColumn>
    <tableColumn id="33" xr3:uid="{AD094277-3FCE-4EDB-8FD3-F0317463A8CF}" name="End Cap">
      <calculatedColumnFormula>IF(ISNUMBER(SEARCH(Z$1,$U2)),"Yes","No")</calculatedColumnFormula>
    </tableColumn>
    <tableColumn id="23" xr3:uid="{82E54BF9-D7B0-4A4F-A073-9F960116EA25}" name="Revised Promo Discount" dataDxfId="9"/>
    <tableColumn id="34" xr3:uid="{20A0BD00-7FD6-414E-A2AA-74DC7800302C}" name="Promo Price" dataDxfId="8" dataCellStyle="Currency"/>
    <tableColumn id="35" xr3:uid="{0D91D3A7-6182-484A-B7B3-B5DF45095E6D}" name="Everyday price" dataDxfId="7" dataCellStyle="Currency"/>
    <tableColumn id="24" xr3:uid="{804DBEA7-4ECA-4E0D-977E-EFFAA26B505D}" name="Display?" dataDxfId="6"/>
    <tableColumn id="25" xr3:uid="{B7476A4A-0E0F-46CE-B4FD-F766074A2B94}" name="Actual Start Date"/>
    <tableColumn id="26" xr3:uid="{98B0F907-844C-40C7-908F-DDCAB2D7DAD1}" name="Actual End Date"/>
    <tableColumn id="27" xr3:uid="{1D7FDF96-A895-4183-8FA2-2D592446C8BC}" name="Base Units" dataDxfId="5" dataCellStyle="Comma"/>
    <tableColumn id="28" xr3:uid="{6A1EFF3F-B053-4B27-A79D-0C5F61F9DD8D}" name="Incremental Units" dataDxfId="4">
      <calculatedColumnFormula>SUM(#REF!)</calculatedColumnFormula>
    </tableColumn>
    <tableColumn id="29" xr3:uid="{E039D9CB-CF2E-40F0-B18C-D635344808DB}" name="Lift  " dataDxfId="3">
      <calculatedColumnFormula>Table1[[#This Row],[Incremental Units]]/Table1[[#This Row],[Base Units]]</calculatedColumnFormula>
    </tableColumn>
    <tableColumn id="39" xr3:uid="{2E168B4F-FC70-4378-AC59-D1E81E905B6C}" name="Lift Difference ( Act- Planned" dataDxfId="2" dataCellStyle="Percent">
      <calculatedColumnFormula>IF(AND(ISNUMBER(Table1[[#This Row],[Lift  ]]),ISNUMBER(Table1[[#This Row],[Plan lift, %]]),Table1[[#This Row],[Plan lift, %]]&lt;&gt;0),Table1[[#This Row],[Lift  ]]-Table1[[#This Row],[Plan lift, %]],"")</calculatedColumnFormula>
    </tableColumn>
    <tableColumn id="38" xr3:uid="{8602AD67-BBBD-45BD-B676-7CAFA03283C7}" name="Cost per Incremental Unit" dataDxfId="1" dataCellStyle="Percent"/>
    <tableColumn id="37" xr3:uid="{E35AF612-476C-42E6-9366-8F832E68378C}" name="Use" dataDxfId="0"/>
    <tableColumn id="36" xr3:uid="{150E612F-4F58-4D76-BD8B-A0B14855F549}"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41B01-FF38-4A84-9871-5115EC3B1437}">
  <sheetPr>
    <tabColor theme="5"/>
  </sheetPr>
  <dimension ref="A1:D31"/>
  <sheetViews>
    <sheetView zoomScale="110" zoomScaleNormal="110" workbookViewId="0">
      <selection activeCell="Q21" sqref="Q21"/>
    </sheetView>
  </sheetViews>
  <sheetFormatPr defaultRowHeight="14.5" x14ac:dyDescent="0.35"/>
  <cols>
    <col min="1" max="1" width="4.453125" customWidth="1"/>
    <col min="2" max="2" width="16.6328125" customWidth="1"/>
    <col min="3" max="3" width="92.54296875" customWidth="1"/>
  </cols>
  <sheetData>
    <row r="1" spans="1:4" ht="23" x14ac:dyDescent="0.35">
      <c r="A1" s="274" t="s">
        <v>1422</v>
      </c>
      <c r="B1" s="274"/>
      <c r="C1" s="274"/>
    </row>
    <row r="2" spans="1:4" x14ac:dyDescent="0.35">
      <c r="A2" s="275" t="s">
        <v>1633</v>
      </c>
      <c r="B2" s="275"/>
      <c r="C2" s="275"/>
    </row>
    <row r="3" spans="1:4" x14ac:dyDescent="0.35">
      <c r="A3" s="176"/>
      <c r="B3" s="177"/>
      <c r="C3" s="178"/>
      <c r="D3" s="49"/>
    </row>
    <row r="4" spans="1:4" ht="26" x14ac:dyDescent="0.35">
      <c r="A4" s="179"/>
      <c r="B4" s="180" t="s">
        <v>1423</v>
      </c>
      <c r="C4" s="181" t="s">
        <v>1424</v>
      </c>
      <c r="D4" s="49"/>
    </row>
    <row r="5" spans="1:4" x14ac:dyDescent="0.35">
      <c r="A5" s="176"/>
      <c r="B5" s="176"/>
      <c r="C5" s="182"/>
    </row>
    <row r="6" spans="1:4" x14ac:dyDescent="0.35">
      <c r="A6" s="176"/>
      <c r="B6" s="176"/>
      <c r="C6" s="182"/>
    </row>
    <row r="7" spans="1:4" ht="15.5" x14ac:dyDescent="0.35">
      <c r="A7" s="276" t="s">
        <v>1433</v>
      </c>
      <c r="B7" s="276"/>
      <c r="C7" s="277"/>
    </row>
    <row r="8" spans="1:4" x14ac:dyDescent="0.35">
      <c r="A8" s="176"/>
      <c r="B8" s="176"/>
      <c r="C8" s="182"/>
    </row>
    <row r="9" spans="1:4" x14ac:dyDescent="0.35">
      <c r="A9" s="183"/>
      <c r="B9" s="184" t="s">
        <v>1425</v>
      </c>
      <c r="C9" s="185" t="s">
        <v>1427</v>
      </c>
    </row>
    <row r="10" spans="1:4" ht="25" x14ac:dyDescent="0.35">
      <c r="A10" s="186"/>
      <c r="B10" s="187" t="s">
        <v>1426</v>
      </c>
      <c r="C10" s="188" t="s">
        <v>1585</v>
      </c>
    </row>
    <row r="11" spans="1:4" x14ac:dyDescent="0.35">
      <c r="A11" s="177"/>
      <c r="B11" s="177"/>
      <c r="C11" s="189"/>
    </row>
    <row r="12" spans="1:4" x14ac:dyDescent="0.35">
      <c r="A12" s="183"/>
      <c r="B12" s="184" t="s">
        <v>1425</v>
      </c>
      <c r="C12" s="185" t="s">
        <v>1478</v>
      </c>
    </row>
    <row r="13" spans="1:4" ht="37.5" x14ac:dyDescent="0.35">
      <c r="A13" s="186"/>
      <c r="B13" s="187" t="s">
        <v>1426</v>
      </c>
      <c r="C13" s="188" t="s">
        <v>1629</v>
      </c>
    </row>
    <row r="14" spans="1:4" x14ac:dyDescent="0.35">
      <c r="A14" s="177"/>
      <c r="B14" s="177"/>
      <c r="C14" s="189"/>
    </row>
    <row r="15" spans="1:4" x14ac:dyDescent="0.35">
      <c r="A15" s="183"/>
      <c r="B15" s="184" t="s">
        <v>1425</v>
      </c>
      <c r="C15" s="185" t="s">
        <v>1428</v>
      </c>
    </row>
    <row r="16" spans="1:4" ht="25" x14ac:dyDescent="0.35">
      <c r="A16" s="186"/>
      <c r="B16" s="187" t="s">
        <v>1426</v>
      </c>
      <c r="C16" s="188" t="s">
        <v>1586</v>
      </c>
    </row>
    <row r="17" spans="1:3" x14ac:dyDescent="0.35">
      <c r="A17" s="177"/>
      <c r="B17" s="177"/>
      <c r="C17" s="189"/>
    </row>
    <row r="18" spans="1:3" x14ac:dyDescent="0.35">
      <c r="A18" s="183"/>
      <c r="B18" s="184" t="s">
        <v>1425</v>
      </c>
      <c r="C18" s="185" t="s">
        <v>1429</v>
      </c>
    </row>
    <row r="19" spans="1:3" ht="25" x14ac:dyDescent="0.35">
      <c r="A19" s="186"/>
      <c r="B19" s="187" t="s">
        <v>1426</v>
      </c>
      <c r="C19" s="188" t="s">
        <v>1587</v>
      </c>
    </row>
    <row r="20" spans="1:3" x14ac:dyDescent="0.35">
      <c r="A20" s="177"/>
      <c r="B20" s="177"/>
      <c r="C20" s="189"/>
    </row>
    <row r="21" spans="1:3" x14ac:dyDescent="0.35">
      <c r="A21" s="183"/>
      <c r="B21" s="184" t="s">
        <v>1425</v>
      </c>
      <c r="C21" s="185" t="s">
        <v>1430</v>
      </c>
    </row>
    <row r="22" spans="1:3" ht="25" x14ac:dyDescent="0.35">
      <c r="A22" s="186"/>
      <c r="B22" s="187" t="s">
        <v>1426</v>
      </c>
      <c r="C22" s="188" t="s">
        <v>1588</v>
      </c>
    </row>
    <row r="23" spans="1:3" x14ac:dyDescent="0.35">
      <c r="A23" s="170"/>
      <c r="B23" s="170"/>
      <c r="C23" s="182"/>
    </row>
    <row r="24" spans="1:3" x14ac:dyDescent="0.35">
      <c r="A24" s="183"/>
      <c r="B24" s="184" t="s">
        <v>1425</v>
      </c>
      <c r="C24" s="185" t="s">
        <v>1479</v>
      </c>
    </row>
    <row r="25" spans="1:3" ht="25" x14ac:dyDescent="0.35">
      <c r="A25" s="186"/>
      <c r="B25" s="187" t="s">
        <v>1426</v>
      </c>
      <c r="C25" s="188" t="s">
        <v>1553</v>
      </c>
    </row>
    <row r="26" spans="1:3" x14ac:dyDescent="0.35">
      <c r="A26" s="170"/>
      <c r="B26" s="170"/>
      <c r="C26" s="182"/>
    </row>
    <row r="27" spans="1:3" x14ac:dyDescent="0.35">
      <c r="A27" s="183"/>
      <c r="B27" s="184" t="s">
        <v>1425</v>
      </c>
      <c r="C27" s="185" t="s">
        <v>1466</v>
      </c>
    </row>
    <row r="28" spans="1:3" ht="37.5" x14ac:dyDescent="0.35">
      <c r="A28" s="186"/>
      <c r="B28" s="187" t="s">
        <v>1426</v>
      </c>
      <c r="C28" s="188" t="s">
        <v>1589</v>
      </c>
    </row>
    <row r="29" spans="1:3" x14ac:dyDescent="0.35">
      <c r="A29" s="170"/>
      <c r="B29" s="170"/>
      <c r="C29" s="182"/>
    </row>
    <row r="30" spans="1:3" x14ac:dyDescent="0.35">
      <c r="A30" s="183"/>
      <c r="B30" s="184" t="s">
        <v>1425</v>
      </c>
      <c r="C30" s="185" t="s">
        <v>1545</v>
      </c>
    </row>
    <row r="31" spans="1:3" ht="50" x14ac:dyDescent="0.35">
      <c r="A31" s="186"/>
      <c r="B31" s="187" t="s">
        <v>1426</v>
      </c>
      <c r="C31" s="188" t="s">
        <v>1590</v>
      </c>
    </row>
  </sheetData>
  <mergeCells count="3">
    <mergeCell ref="A1:C1"/>
    <mergeCell ref="A2:C2"/>
    <mergeCell ref="A7:C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9BD7A-023C-44C6-824D-B177FD0277C4}">
  <sheetPr>
    <tabColor theme="5"/>
  </sheetPr>
  <dimension ref="A1:Q364"/>
  <sheetViews>
    <sheetView zoomScaleNormal="100" workbookViewId="0">
      <pane ySplit="4" topLeftCell="A158" activePane="bottomLeft" state="frozen"/>
      <selection pane="bottomLeft" activeCell="K161" sqref="K161"/>
    </sheetView>
  </sheetViews>
  <sheetFormatPr defaultRowHeight="14.5" x14ac:dyDescent="0.35"/>
  <cols>
    <col min="1" max="1" width="27.81640625" customWidth="1"/>
    <col min="2" max="2" width="17.54296875" customWidth="1"/>
    <col min="3" max="3" width="35.1796875" customWidth="1"/>
    <col min="4" max="4" width="16" customWidth="1"/>
    <col min="5" max="5" width="26.90625" customWidth="1"/>
    <col min="6" max="16" width="16.36328125" customWidth="1"/>
    <col min="17" max="17" width="12.36328125" bestFit="1" customWidth="1"/>
  </cols>
  <sheetData>
    <row r="1" spans="1:17" ht="28" customHeight="1" x14ac:dyDescent="0.35">
      <c r="A1" s="279" t="s">
        <v>1329</v>
      </c>
      <c r="B1" s="279"/>
      <c r="C1" s="279"/>
      <c r="D1" s="279"/>
      <c r="E1" s="279"/>
      <c r="F1" s="279"/>
      <c r="G1" s="279"/>
      <c r="H1" s="279"/>
      <c r="I1" s="279"/>
      <c r="J1" s="279"/>
      <c r="K1" s="279"/>
      <c r="L1" s="279"/>
      <c r="M1" s="279"/>
      <c r="N1" s="279"/>
      <c r="O1" s="279"/>
      <c r="P1" s="279"/>
      <c r="Q1" s="279"/>
    </row>
    <row r="2" spans="1:17" ht="20" customHeight="1" x14ac:dyDescent="0.35">
      <c r="A2" s="280" t="s">
        <v>1582</v>
      </c>
      <c r="B2" s="280"/>
      <c r="C2" s="280"/>
      <c r="D2" s="280"/>
      <c r="E2" s="280"/>
      <c r="F2" s="280"/>
      <c r="G2" s="280"/>
      <c r="H2" s="280"/>
      <c r="I2" s="280"/>
      <c r="J2" s="280"/>
      <c r="K2" s="280"/>
      <c r="L2" s="280"/>
      <c r="M2" s="280"/>
      <c r="N2" s="280"/>
      <c r="O2" s="280"/>
      <c r="P2" s="280"/>
      <c r="Q2" s="280"/>
    </row>
    <row r="3" spans="1:17" x14ac:dyDescent="0.35">
      <c r="A3" s="171"/>
      <c r="B3" s="171"/>
      <c r="C3" s="171"/>
      <c r="D3" s="171"/>
      <c r="E3" s="171"/>
      <c r="F3" s="171"/>
      <c r="G3" s="171"/>
      <c r="H3" s="171"/>
      <c r="I3" s="171"/>
      <c r="J3" s="171"/>
      <c r="K3" s="171"/>
      <c r="L3" s="171"/>
      <c r="M3" s="171"/>
      <c r="N3" s="171"/>
      <c r="O3" s="171"/>
      <c r="P3" s="171"/>
      <c r="Q3" s="171"/>
    </row>
    <row r="4" spans="1:17" ht="20" customHeight="1" x14ac:dyDescent="0.35">
      <c r="A4" s="278" t="s">
        <v>1330</v>
      </c>
      <c r="B4" s="278"/>
      <c r="C4" s="278"/>
      <c r="D4" s="278"/>
      <c r="E4" s="278"/>
      <c r="F4" s="278"/>
      <c r="G4" s="278"/>
      <c r="H4" s="278"/>
      <c r="I4" s="278"/>
      <c r="J4" s="278"/>
      <c r="K4" s="278"/>
      <c r="L4" s="278"/>
      <c r="M4" s="278"/>
      <c r="N4" s="278"/>
      <c r="O4" s="278"/>
      <c r="P4" s="278"/>
      <c r="Q4" s="278"/>
    </row>
    <row r="5" spans="1:17" s="149" customFormat="1" ht="18" customHeight="1" x14ac:dyDescent="0.35">
      <c r="A5" s="171" t="s">
        <v>1532</v>
      </c>
      <c r="B5" s="171"/>
      <c r="C5" s="171"/>
      <c r="D5" s="171"/>
      <c r="E5" s="171"/>
      <c r="F5" s="171"/>
      <c r="G5" s="171"/>
      <c r="H5" s="171"/>
      <c r="I5" s="171"/>
      <c r="J5" s="171"/>
      <c r="K5" s="171"/>
      <c r="L5" s="171"/>
      <c r="M5" s="171"/>
      <c r="N5" s="171"/>
      <c r="O5" s="171"/>
      <c r="P5" s="171"/>
      <c r="Q5" s="171"/>
    </row>
    <row r="6" spans="1:17" s="149" customFormat="1" ht="18" customHeight="1" x14ac:dyDescent="0.35">
      <c r="A6" s="171" t="s">
        <v>1569</v>
      </c>
      <c r="B6" s="171"/>
      <c r="C6" s="171"/>
      <c r="D6" s="171"/>
      <c r="E6" s="171"/>
      <c r="F6" s="171"/>
      <c r="G6" s="171"/>
      <c r="H6" s="171"/>
      <c r="I6" s="171"/>
      <c r="J6" s="171"/>
      <c r="K6" s="171"/>
      <c r="L6" s="171"/>
      <c r="M6" s="171"/>
      <c r="N6" s="171"/>
      <c r="O6" s="171"/>
      <c r="P6" s="171"/>
      <c r="Q6" s="171"/>
    </row>
    <row r="7" spans="1:17" s="149" customFormat="1" ht="18" customHeight="1" x14ac:dyDescent="0.35">
      <c r="A7" s="171" t="s">
        <v>1583</v>
      </c>
      <c r="B7" s="171"/>
      <c r="C7" s="171"/>
      <c r="D7" s="171"/>
      <c r="E7" s="171"/>
      <c r="F7" s="171"/>
      <c r="G7" s="171"/>
      <c r="H7" s="171"/>
      <c r="I7" s="171"/>
      <c r="J7" s="171"/>
      <c r="K7" s="171"/>
      <c r="L7" s="171"/>
      <c r="M7" s="171"/>
      <c r="N7" s="171"/>
      <c r="O7" s="171"/>
      <c r="P7" s="171"/>
      <c r="Q7" s="171"/>
    </row>
    <row r="8" spans="1:17" s="149" customFormat="1" ht="18" customHeight="1" x14ac:dyDescent="0.35">
      <c r="A8" s="171" t="s">
        <v>1628</v>
      </c>
      <c r="B8" s="171"/>
      <c r="C8" s="171"/>
      <c r="D8" s="171"/>
      <c r="E8" s="171"/>
      <c r="F8" s="171"/>
      <c r="G8" s="171"/>
      <c r="H8" s="171"/>
      <c r="I8" s="171"/>
      <c r="J8" s="171"/>
      <c r="K8" s="171"/>
      <c r="L8" s="171"/>
      <c r="M8" s="171"/>
      <c r="N8" s="171"/>
      <c r="O8" s="171"/>
      <c r="P8" s="171"/>
      <c r="Q8" s="171"/>
    </row>
    <row r="9" spans="1:17" x14ac:dyDescent="0.35">
      <c r="A9" s="171"/>
      <c r="B9" s="171"/>
      <c r="C9" s="171"/>
      <c r="D9" s="171"/>
      <c r="E9" s="171"/>
      <c r="F9" s="171"/>
      <c r="G9" s="171"/>
      <c r="H9" s="171"/>
      <c r="I9" s="171"/>
      <c r="J9" s="171"/>
      <c r="K9" s="171"/>
      <c r="L9" s="171"/>
      <c r="M9" s="171"/>
      <c r="N9" s="171"/>
      <c r="O9" s="171"/>
      <c r="P9" s="171"/>
      <c r="Q9" s="171"/>
    </row>
    <row r="10" spans="1:17" s="150" customFormat="1" ht="28" customHeight="1" x14ac:dyDescent="0.25">
      <c r="A10" s="192" t="s">
        <v>1331</v>
      </c>
      <c r="B10" s="194" t="s">
        <v>1332</v>
      </c>
      <c r="C10" s="194" t="s">
        <v>1436</v>
      </c>
      <c r="D10" s="194" t="s">
        <v>1437</v>
      </c>
      <c r="E10" s="194" t="s">
        <v>1438</v>
      </c>
      <c r="F10" s="194" t="s">
        <v>1226</v>
      </c>
      <c r="G10" s="194" t="s">
        <v>1227</v>
      </c>
      <c r="H10" s="194" t="s">
        <v>1439</v>
      </c>
      <c r="I10" s="175"/>
      <c r="J10" s="175"/>
      <c r="K10" s="175"/>
      <c r="L10" s="175"/>
      <c r="M10" s="175"/>
      <c r="N10" s="175"/>
      <c r="O10" s="175"/>
      <c r="P10" s="175"/>
      <c r="Q10" s="175"/>
    </row>
    <row r="11" spans="1:17" ht="15.5" x14ac:dyDescent="0.35">
      <c r="A11" s="193">
        <v>151</v>
      </c>
      <c r="B11" s="195">
        <v>51</v>
      </c>
      <c r="C11" s="195">
        <v>5</v>
      </c>
      <c r="D11" s="196">
        <v>0.63297721982000332</v>
      </c>
      <c r="E11" s="196">
        <v>0.76427085629469349</v>
      </c>
      <c r="F11" s="197">
        <v>3116649</v>
      </c>
      <c r="G11" s="197">
        <v>2381964</v>
      </c>
      <c r="H11" s="196">
        <v>0.14586826345513371</v>
      </c>
      <c r="I11" s="171"/>
      <c r="J11" s="171"/>
      <c r="K11" s="171"/>
      <c r="L11" s="171"/>
      <c r="M11" s="171"/>
      <c r="N11" s="171"/>
      <c r="O11" s="171"/>
      <c r="P11" s="171"/>
      <c r="Q11" s="171"/>
    </row>
    <row r="12" spans="1:17" x14ac:dyDescent="0.35">
      <c r="A12" s="171"/>
      <c r="B12" s="171"/>
      <c r="C12" s="171"/>
      <c r="D12" s="171"/>
      <c r="E12" s="171"/>
      <c r="F12" s="171"/>
      <c r="G12" s="171"/>
      <c r="H12" s="171"/>
      <c r="I12" s="171"/>
      <c r="J12" s="171"/>
      <c r="K12" s="171"/>
      <c r="L12" s="171"/>
      <c r="M12" s="171"/>
      <c r="N12" s="171"/>
      <c r="O12" s="171"/>
      <c r="P12" s="171"/>
      <c r="Q12" s="171"/>
    </row>
    <row r="13" spans="1:17" x14ac:dyDescent="0.35">
      <c r="A13" s="171"/>
      <c r="B13" s="171"/>
      <c r="C13" s="171"/>
      <c r="D13" s="171"/>
      <c r="E13" s="171"/>
      <c r="F13" s="171"/>
      <c r="G13" s="171"/>
      <c r="H13" s="171"/>
      <c r="I13" s="171"/>
      <c r="J13" s="171"/>
      <c r="K13" s="171"/>
      <c r="L13" s="171"/>
      <c r="M13" s="171"/>
      <c r="N13" s="171"/>
      <c r="O13" s="171"/>
      <c r="P13" s="171"/>
      <c r="Q13" s="171"/>
    </row>
    <row r="14" spans="1:17" ht="20" customHeight="1" x14ac:dyDescent="0.35">
      <c r="A14" s="278" t="s">
        <v>1339</v>
      </c>
      <c r="B14" s="278"/>
      <c r="C14" s="278"/>
      <c r="D14" s="278"/>
      <c r="E14" s="278"/>
      <c r="F14" s="278"/>
      <c r="G14" s="278"/>
      <c r="H14" s="278"/>
      <c r="I14" s="278"/>
      <c r="J14" s="278"/>
      <c r="K14" s="278"/>
      <c r="L14" s="278"/>
      <c r="M14" s="278"/>
      <c r="N14" s="278"/>
      <c r="O14" s="278"/>
      <c r="P14" s="278"/>
      <c r="Q14" s="278"/>
    </row>
    <row r="15" spans="1:17" ht="28" customHeight="1" x14ac:dyDescent="0.35">
      <c r="A15" s="192" t="s">
        <v>1340</v>
      </c>
      <c r="B15" s="194" t="s">
        <v>1335</v>
      </c>
      <c r="C15" s="194" t="s">
        <v>1338</v>
      </c>
      <c r="D15" s="194" t="s">
        <v>1336</v>
      </c>
      <c r="E15" s="194" t="s">
        <v>1337</v>
      </c>
      <c r="F15" s="194" t="s">
        <v>1533</v>
      </c>
      <c r="G15" s="194" t="s">
        <v>1226</v>
      </c>
      <c r="H15" s="194" t="s">
        <v>1227</v>
      </c>
      <c r="I15" s="175"/>
      <c r="J15" s="175"/>
      <c r="K15" s="175"/>
      <c r="L15" s="175"/>
      <c r="M15" s="175"/>
      <c r="N15" s="175"/>
      <c r="O15" s="175"/>
      <c r="P15" s="175"/>
      <c r="Q15" s="175"/>
    </row>
    <row r="16" spans="1:17" x14ac:dyDescent="0.35">
      <c r="A16" s="198" t="s">
        <v>1341</v>
      </c>
      <c r="B16" s="199">
        <v>10</v>
      </c>
      <c r="C16" s="200">
        <v>2.9804530976530741E-2</v>
      </c>
      <c r="D16" s="200">
        <v>0.30312933164570854</v>
      </c>
      <c r="E16" s="200">
        <v>0.32005022910349068</v>
      </c>
      <c r="F16" s="201">
        <v>18.99705642229727</v>
      </c>
      <c r="G16" s="202">
        <v>74857</v>
      </c>
      <c r="H16" s="202">
        <v>23958</v>
      </c>
      <c r="I16" s="171"/>
      <c r="J16" s="171"/>
      <c r="K16" s="171"/>
      <c r="L16" s="171"/>
      <c r="M16" s="171"/>
      <c r="N16" s="171"/>
      <c r="O16" s="171"/>
      <c r="P16" s="171"/>
      <c r="Q16" s="171"/>
    </row>
    <row r="17" spans="1:17" x14ac:dyDescent="0.35">
      <c r="A17" s="198" t="s">
        <v>1342</v>
      </c>
      <c r="B17" s="199">
        <v>32</v>
      </c>
      <c r="C17" s="200">
        <v>8.0766125703306491E-2</v>
      </c>
      <c r="D17" s="200">
        <v>0.40201285670044068</v>
      </c>
      <c r="E17" s="200">
        <v>0.83782937131933521</v>
      </c>
      <c r="F17" s="201">
        <v>5.0300993886203447</v>
      </c>
      <c r="G17" s="202">
        <v>810825</v>
      </c>
      <c r="H17" s="202">
        <v>679333</v>
      </c>
      <c r="I17" s="171"/>
      <c r="J17" s="171"/>
      <c r="K17" s="171"/>
      <c r="L17" s="171"/>
      <c r="M17" s="171"/>
      <c r="N17" s="171"/>
      <c r="O17" s="171"/>
      <c r="P17" s="171"/>
      <c r="Q17" s="171"/>
    </row>
    <row r="18" spans="1:17" x14ac:dyDescent="0.35">
      <c r="A18" s="198" t="s">
        <v>1343</v>
      </c>
      <c r="B18" s="199">
        <v>35</v>
      </c>
      <c r="C18" s="200">
        <v>0.12605193649163851</v>
      </c>
      <c r="D18" s="200">
        <v>0.44889397501680667</v>
      </c>
      <c r="E18" s="200">
        <v>0.35213775300317129</v>
      </c>
      <c r="F18" s="201">
        <v>3.5921738465118511</v>
      </c>
      <c r="G18" s="202">
        <v>918862</v>
      </c>
      <c r="H18" s="202">
        <v>323566</v>
      </c>
      <c r="I18" s="171"/>
      <c r="J18" s="171"/>
      <c r="K18" s="171"/>
      <c r="L18" s="171"/>
      <c r="M18" s="171"/>
      <c r="N18" s="171"/>
      <c r="O18" s="171"/>
      <c r="P18" s="171"/>
      <c r="Q18" s="171"/>
    </row>
    <row r="19" spans="1:17" x14ac:dyDescent="0.35">
      <c r="A19" s="198" t="s">
        <v>1626</v>
      </c>
      <c r="B19" s="199">
        <v>46</v>
      </c>
      <c r="C19" s="200">
        <v>0.19440761475447604</v>
      </c>
      <c r="D19" s="200">
        <v>0.62362415936292859</v>
      </c>
      <c r="E19" s="200">
        <v>0.79009618671163795</v>
      </c>
      <c r="F19" s="201">
        <v>3.3252386930109799</v>
      </c>
      <c r="G19" s="202">
        <v>974251</v>
      </c>
      <c r="H19" s="202">
        <v>769752</v>
      </c>
      <c r="I19" s="171"/>
      <c r="J19" s="171"/>
      <c r="K19" s="171"/>
      <c r="L19" s="171"/>
      <c r="M19" s="171"/>
      <c r="N19" s="171"/>
      <c r="O19" s="171"/>
      <c r="P19" s="171"/>
      <c r="Q19" s="171"/>
    </row>
    <row r="20" spans="1:17" x14ac:dyDescent="0.35">
      <c r="A20" s="198" t="s">
        <v>1627</v>
      </c>
      <c r="B20" s="199">
        <v>23</v>
      </c>
      <c r="C20" s="200">
        <v>0.30264841490821121</v>
      </c>
      <c r="D20" s="200">
        <v>0.83452247795831991</v>
      </c>
      <c r="E20" s="200">
        <v>0.83857891328259659</v>
      </c>
      <c r="F20" s="201">
        <v>2.7741571664800593</v>
      </c>
      <c r="G20" s="202">
        <v>291833</v>
      </c>
      <c r="H20" s="202">
        <v>244725</v>
      </c>
      <c r="I20" s="171"/>
      <c r="J20" s="171"/>
      <c r="K20" s="171"/>
      <c r="L20" s="171"/>
      <c r="M20" s="171"/>
      <c r="N20" s="171"/>
      <c r="O20" s="171"/>
      <c r="P20" s="171"/>
      <c r="Q20" s="171"/>
    </row>
    <row r="21" spans="1:17" x14ac:dyDescent="0.35">
      <c r="A21" s="198" t="s">
        <v>1451</v>
      </c>
      <c r="B21" s="199">
        <v>5</v>
      </c>
      <c r="C21" s="200">
        <v>0.46792006017341875</v>
      </c>
      <c r="D21" s="200">
        <v>3.2183676025250199</v>
      </c>
      <c r="E21" s="200">
        <v>7.4016209991091024</v>
      </c>
      <c r="F21" s="201">
        <v>6.7939308861005996</v>
      </c>
      <c r="G21" s="202">
        <v>46021</v>
      </c>
      <c r="H21" s="202">
        <v>340630</v>
      </c>
      <c r="I21" s="171"/>
      <c r="J21" s="171"/>
      <c r="K21" s="171"/>
      <c r="L21" s="171"/>
      <c r="M21" s="171"/>
      <c r="N21" s="171"/>
      <c r="O21" s="171"/>
      <c r="P21" s="171"/>
      <c r="Q21" s="171"/>
    </row>
    <row r="22" spans="1:17" x14ac:dyDescent="0.35">
      <c r="A22" s="171"/>
      <c r="B22" s="171"/>
      <c r="C22" s="171"/>
      <c r="D22" s="171"/>
      <c r="E22" s="171"/>
      <c r="F22" s="171"/>
      <c r="G22" s="171"/>
      <c r="H22" s="171"/>
      <c r="I22" s="171"/>
      <c r="J22" s="171"/>
      <c r="K22" s="171"/>
      <c r="L22" s="171"/>
      <c r="M22" s="171"/>
      <c r="N22" s="171"/>
      <c r="O22" s="171"/>
      <c r="P22" s="171"/>
      <c r="Q22" s="171"/>
    </row>
    <row r="23" spans="1:17" x14ac:dyDescent="0.35">
      <c r="A23" s="171"/>
      <c r="B23" s="171"/>
      <c r="C23" s="171"/>
      <c r="D23" s="171"/>
      <c r="E23" s="171"/>
      <c r="F23" s="171"/>
      <c r="G23" s="171"/>
      <c r="H23" s="171"/>
      <c r="I23" s="171"/>
      <c r="J23" s="171"/>
      <c r="K23" s="171"/>
      <c r="L23" s="171"/>
      <c r="M23" s="171"/>
      <c r="N23" s="171"/>
      <c r="O23" s="171"/>
      <c r="P23" s="171"/>
      <c r="Q23" s="171"/>
    </row>
    <row r="24" spans="1:17" ht="20" customHeight="1" x14ac:dyDescent="0.35">
      <c r="A24" s="278" t="s">
        <v>1534</v>
      </c>
      <c r="B24" s="278"/>
      <c r="C24" s="278"/>
      <c r="D24" s="278"/>
      <c r="E24" s="278"/>
      <c r="F24" s="278"/>
      <c r="G24" s="278"/>
      <c r="H24" s="278"/>
      <c r="I24" s="278"/>
      <c r="J24" s="278"/>
      <c r="K24" s="278"/>
      <c r="L24" s="278"/>
      <c r="M24" s="278"/>
      <c r="N24" s="278"/>
      <c r="O24" s="278"/>
      <c r="P24" s="278"/>
      <c r="Q24" s="278"/>
    </row>
    <row r="25" spans="1:17" ht="28" customHeight="1" x14ac:dyDescent="0.35">
      <c r="A25" s="192" t="s">
        <v>1535</v>
      </c>
      <c r="B25" s="194" t="s">
        <v>1335</v>
      </c>
      <c r="C25" s="194" t="s">
        <v>1332</v>
      </c>
      <c r="D25" s="194" t="s">
        <v>1338</v>
      </c>
      <c r="E25" s="194" t="s">
        <v>1336</v>
      </c>
      <c r="F25" s="194" t="s">
        <v>1337</v>
      </c>
      <c r="G25" s="194" t="s">
        <v>1533</v>
      </c>
      <c r="H25" s="194" t="s">
        <v>1226</v>
      </c>
      <c r="I25" s="194" t="s">
        <v>1227</v>
      </c>
      <c r="J25" s="175"/>
      <c r="K25" s="175"/>
      <c r="L25" s="175"/>
      <c r="M25" s="175"/>
      <c r="N25" s="175"/>
      <c r="O25" s="175"/>
      <c r="P25" s="175"/>
      <c r="Q25" s="175"/>
    </row>
    <row r="26" spans="1:17" x14ac:dyDescent="0.35">
      <c r="A26" s="198" t="s">
        <v>1536</v>
      </c>
      <c r="B26" s="199">
        <v>99</v>
      </c>
      <c r="C26" s="199">
        <v>43</v>
      </c>
      <c r="D26" s="200">
        <v>0.19758382030492541</v>
      </c>
      <c r="E26" s="200">
        <v>0.68908054384685336</v>
      </c>
      <c r="F26" s="200">
        <v>0.75419568528844239</v>
      </c>
      <c r="G26" s="201">
        <v>4.8871285620114229</v>
      </c>
      <c r="H26" s="202">
        <v>1343821</v>
      </c>
      <c r="I26" s="202">
        <v>1013504</v>
      </c>
      <c r="J26" s="171"/>
      <c r="K26" s="171"/>
      <c r="L26" s="171"/>
      <c r="M26" s="171"/>
      <c r="N26" s="171"/>
      <c r="O26" s="171"/>
      <c r="P26" s="171"/>
      <c r="Q26" s="171"/>
    </row>
    <row r="27" spans="1:17" x14ac:dyDescent="0.35">
      <c r="A27" s="198" t="s">
        <v>1537</v>
      </c>
      <c r="B27" s="199">
        <v>51</v>
      </c>
      <c r="C27" s="199">
        <v>22</v>
      </c>
      <c r="D27" s="200">
        <v>0.11392998003240074</v>
      </c>
      <c r="E27" s="200">
        <v>0.52060535987474355</v>
      </c>
      <c r="F27" s="200">
        <v>0.75931432043397895</v>
      </c>
      <c r="G27" s="201">
        <v>4.6804854139552123</v>
      </c>
      <c r="H27" s="202">
        <v>1329834</v>
      </c>
      <c r="I27" s="202">
        <v>1009762</v>
      </c>
      <c r="J27" s="171"/>
      <c r="K27" s="171"/>
      <c r="L27" s="171"/>
      <c r="M27" s="171"/>
      <c r="N27" s="171"/>
      <c r="O27" s="171"/>
      <c r="P27" s="171"/>
      <c r="Q27" s="171"/>
    </row>
    <row r="28" spans="1:17" x14ac:dyDescent="0.35">
      <c r="A28" s="198" t="s">
        <v>1538</v>
      </c>
      <c r="B28" s="199">
        <v>1</v>
      </c>
      <c r="C28" s="199">
        <v>1</v>
      </c>
      <c r="D28" s="200">
        <v>0.16641604010025099</v>
      </c>
      <c r="E28" s="200">
        <v>0.80971299837018107</v>
      </c>
      <c r="F28" s="200">
        <v>0.80971299837018107</v>
      </c>
      <c r="G28" s="201">
        <v>4.8655946739412883</v>
      </c>
      <c r="H28" s="202">
        <v>442994</v>
      </c>
      <c r="I28" s="202">
        <v>358698</v>
      </c>
      <c r="J28" s="171"/>
      <c r="K28" s="171"/>
      <c r="L28" s="171"/>
      <c r="M28" s="171"/>
      <c r="N28" s="171"/>
      <c r="O28" s="171"/>
      <c r="P28" s="171"/>
      <c r="Q28" s="171"/>
    </row>
    <row r="29" spans="1:17" x14ac:dyDescent="0.35">
      <c r="A29" s="198" t="s">
        <v>1539</v>
      </c>
      <c r="B29" s="199">
        <v>0</v>
      </c>
      <c r="C29" s="199">
        <v>0</v>
      </c>
      <c r="D29" s="200"/>
      <c r="E29" s="200"/>
      <c r="F29" s="200"/>
      <c r="G29" s="201"/>
      <c r="H29" s="202">
        <v>0</v>
      </c>
      <c r="I29" s="202">
        <v>0</v>
      </c>
      <c r="J29" s="171"/>
      <c r="K29" s="171"/>
      <c r="L29" s="171"/>
      <c r="M29" s="171"/>
      <c r="N29" s="171"/>
      <c r="O29" s="171"/>
      <c r="P29" s="171"/>
      <c r="Q29" s="171"/>
    </row>
    <row r="30" spans="1:17" x14ac:dyDescent="0.35">
      <c r="A30" s="171"/>
      <c r="B30" s="171"/>
      <c r="C30" s="171"/>
      <c r="D30" s="171"/>
      <c r="E30" s="171"/>
      <c r="F30" s="171"/>
      <c r="G30" s="171"/>
      <c r="H30" s="171"/>
      <c r="I30" s="171"/>
      <c r="J30" s="171"/>
      <c r="K30" s="171"/>
      <c r="L30" s="171"/>
      <c r="M30" s="171"/>
      <c r="N30" s="171"/>
      <c r="O30" s="171"/>
      <c r="P30" s="171"/>
      <c r="Q30" s="171"/>
    </row>
    <row r="31" spans="1:17" x14ac:dyDescent="0.35">
      <c r="A31" s="171"/>
      <c r="B31" s="171"/>
      <c r="C31" s="171"/>
      <c r="D31" s="171"/>
      <c r="E31" s="171"/>
      <c r="F31" s="171"/>
      <c r="G31" s="171"/>
      <c r="H31" s="171"/>
      <c r="I31" s="171"/>
      <c r="J31" s="171"/>
      <c r="K31" s="171"/>
      <c r="L31" s="171"/>
      <c r="M31" s="171"/>
      <c r="N31" s="171"/>
      <c r="O31" s="171"/>
      <c r="P31" s="171"/>
      <c r="Q31" s="171"/>
    </row>
    <row r="32" spans="1:17" ht="20" customHeight="1" x14ac:dyDescent="0.35">
      <c r="A32" s="278" t="s">
        <v>1397</v>
      </c>
      <c r="B32" s="278"/>
      <c r="C32" s="278"/>
      <c r="D32" s="278"/>
      <c r="E32" s="278"/>
      <c r="F32" s="278"/>
      <c r="G32" s="278"/>
      <c r="H32" s="278"/>
      <c r="I32" s="278"/>
      <c r="J32" s="278"/>
      <c r="K32" s="278"/>
      <c r="L32" s="278"/>
      <c r="M32" s="278"/>
      <c r="N32" s="278"/>
      <c r="O32" s="278"/>
      <c r="P32" s="278"/>
      <c r="Q32" s="278"/>
    </row>
    <row r="33" spans="1:17" ht="28" customHeight="1" x14ac:dyDescent="0.35">
      <c r="A33" s="192" t="s">
        <v>1340</v>
      </c>
      <c r="B33" s="194" t="s">
        <v>1398</v>
      </c>
      <c r="C33" s="194" t="s">
        <v>1338</v>
      </c>
      <c r="D33" s="194" t="s">
        <v>1336</v>
      </c>
      <c r="E33" s="194" t="s">
        <v>1337</v>
      </c>
      <c r="F33" s="194" t="s">
        <v>1533</v>
      </c>
      <c r="G33" s="194" t="s">
        <v>1226</v>
      </c>
      <c r="H33" s="194" t="s">
        <v>1227</v>
      </c>
      <c r="I33" s="175"/>
      <c r="J33" s="175"/>
      <c r="K33" s="175"/>
      <c r="L33" s="175"/>
      <c r="M33" s="175"/>
      <c r="N33" s="175"/>
      <c r="O33" s="175"/>
      <c r="P33" s="175"/>
      <c r="Q33" s="175"/>
    </row>
    <row r="34" spans="1:17" x14ac:dyDescent="0.35">
      <c r="A34" s="198" t="s">
        <v>1341</v>
      </c>
      <c r="B34" s="199">
        <v>3</v>
      </c>
      <c r="C34" s="200">
        <v>1.954626969736737E-2</v>
      </c>
      <c r="D34" s="200">
        <v>0.64440819879040756</v>
      </c>
      <c r="E34" s="200">
        <v>1.1316710939386621</v>
      </c>
      <c r="F34" s="201">
        <v>52.540587700158405</v>
      </c>
      <c r="G34" s="202">
        <v>16564</v>
      </c>
      <c r="H34" s="202">
        <v>18745</v>
      </c>
      <c r="I34" s="171"/>
      <c r="J34" s="171"/>
      <c r="K34" s="171"/>
      <c r="L34" s="171"/>
      <c r="M34" s="171"/>
      <c r="N34" s="171"/>
      <c r="O34" s="171"/>
      <c r="P34" s="171"/>
      <c r="Q34" s="171"/>
    </row>
    <row r="35" spans="1:17" x14ac:dyDescent="0.35">
      <c r="A35" s="198" t="s">
        <v>1342</v>
      </c>
      <c r="B35" s="199">
        <v>11</v>
      </c>
      <c r="C35" s="200">
        <v>7.790730774849973E-2</v>
      </c>
      <c r="D35" s="200">
        <v>0.57724407910667352</v>
      </c>
      <c r="E35" s="200">
        <v>0.91199923561902918</v>
      </c>
      <c r="F35" s="201">
        <v>7.4037000224185725</v>
      </c>
      <c r="G35" s="202">
        <v>711687</v>
      </c>
      <c r="H35" s="202">
        <v>649058</v>
      </c>
      <c r="I35" s="171"/>
      <c r="J35" s="171"/>
      <c r="K35" s="171"/>
      <c r="L35" s="171"/>
      <c r="M35" s="171"/>
      <c r="N35" s="171"/>
      <c r="O35" s="171"/>
      <c r="P35" s="171"/>
      <c r="Q35" s="171"/>
    </row>
    <row r="36" spans="1:17" x14ac:dyDescent="0.35">
      <c r="A36" s="198" t="s">
        <v>1343</v>
      </c>
      <c r="B36" s="199">
        <v>13</v>
      </c>
      <c r="C36" s="200">
        <v>0.12520368699382362</v>
      </c>
      <c r="D36" s="200">
        <v>0.43687030697657714</v>
      </c>
      <c r="E36" s="200">
        <v>0.34501354727567507</v>
      </c>
      <c r="F36" s="201">
        <v>3.5176617085764095</v>
      </c>
      <c r="G36" s="202">
        <v>729667</v>
      </c>
      <c r="H36" s="202">
        <v>251745</v>
      </c>
      <c r="I36" s="171"/>
      <c r="J36" s="171"/>
      <c r="K36" s="171"/>
      <c r="L36" s="171"/>
      <c r="M36" s="171"/>
      <c r="N36" s="171"/>
      <c r="O36" s="171"/>
      <c r="P36" s="171"/>
      <c r="Q36" s="171"/>
    </row>
    <row r="37" spans="1:17" x14ac:dyDescent="0.35">
      <c r="A37" s="198" t="s">
        <v>1626</v>
      </c>
      <c r="B37" s="199">
        <v>14</v>
      </c>
      <c r="C37" s="200">
        <v>0.20126534453283237</v>
      </c>
      <c r="D37" s="200">
        <v>0.64884718739090685</v>
      </c>
      <c r="E37" s="200">
        <v>1.1059136115444619</v>
      </c>
      <c r="F37" s="201">
        <v>3.2931837296884794</v>
      </c>
      <c r="G37" s="202">
        <v>205120</v>
      </c>
      <c r="H37" s="202">
        <v>226845</v>
      </c>
      <c r="I37" s="171"/>
      <c r="J37" s="171"/>
      <c r="K37" s="171"/>
      <c r="L37" s="171"/>
      <c r="M37" s="171"/>
      <c r="N37" s="171"/>
      <c r="O37" s="171"/>
      <c r="P37" s="171"/>
      <c r="Q37" s="171"/>
    </row>
    <row r="38" spans="1:17" x14ac:dyDescent="0.35">
      <c r="A38" s="198" t="s">
        <v>1627</v>
      </c>
      <c r="B38" s="199">
        <v>6</v>
      </c>
      <c r="C38" s="200">
        <v>0.34021859709716251</v>
      </c>
      <c r="D38" s="200">
        <v>0.69709573346292508</v>
      </c>
      <c r="E38" s="200">
        <v>0.62404816570588528</v>
      </c>
      <c r="F38" s="201">
        <v>2.0565937402692547</v>
      </c>
      <c r="G38" s="202">
        <v>121082</v>
      </c>
      <c r="H38" s="202">
        <v>75561</v>
      </c>
      <c r="I38" s="171"/>
      <c r="J38" s="171"/>
      <c r="K38" s="171"/>
      <c r="L38" s="171"/>
      <c r="M38" s="171"/>
      <c r="N38" s="171"/>
      <c r="O38" s="171"/>
      <c r="P38" s="171"/>
      <c r="Q38" s="171"/>
    </row>
    <row r="39" spans="1:17" s="51" customFormat="1" x14ac:dyDescent="0.35">
      <c r="A39" s="198" t="s">
        <v>1451</v>
      </c>
      <c r="B39" s="199">
        <v>2</v>
      </c>
      <c r="C39" s="200">
        <v>0.47429811307495007</v>
      </c>
      <c r="D39" s="200">
        <v>2.0533679571923198</v>
      </c>
      <c r="E39" s="200">
        <v>2.8353808353808354</v>
      </c>
      <c r="F39" s="201">
        <v>4.5036866500009847</v>
      </c>
      <c r="G39" s="202">
        <v>2035</v>
      </c>
      <c r="H39" s="202">
        <v>5770</v>
      </c>
      <c r="I39" s="171"/>
      <c r="J39" s="171"/>
      <c r="K39" s="171"/>
      <c r="L39" s="171"/>
      <c r="M39" s="171"/>
      <c r="N39" s="171"/>
      <c r="O39" s="171"/>
      <c r="P39" s="171"/>
      <c r="Q39" s="171"/>
    </row>
    <row r="40" spans="1:17" s="51" customFormat="1" x14ac:dyDescent="0.35">
      <c r="A40" s="171"/>
      <c r="B40" s="171"/>
      <c r="C40" s="171"/>
      <c r="D40" s="171"/>
      <c r="E40" s="171"/>
      <c r="F40" s="171"/>
      <c r="G40" s="171"/>
      <c r="H40" s="171"/>
      <c r="I40" s="171"/>
      <c r="J40" s="171"/>
      <c r="K40" s="171"/>
      <c r="L40" s="171"/>
      <c r="M40" s="171"/>
      <c r="N40" s="171"/>
      <c r="O40" s="171"/>
      <c r="P40" s="171"/>
      <c r="Q40" s="171"/>
    </row>
    <row r="41" spans="1:17" s="51" customFormat="1" x14ac:dyDescent="0.35">
      <c r="A41" s="171"/>
      <c r="B41" s="171"/>
      <c r="C41" s="171"/>
      <c r="D41" s="171"/>
      <c r="E41" s="171"/>
      <c r="F41" s="171"/>
      <c r="G41" s="171"/>
      <c r="H41" s="171"/>
      <c r="I41" s="171"/>
      <c r="J41" s="171"/>
      <c r="K41" s="171"/>
      <c r="L41" s="171"/>
      <c r="M41" s="171"/>
      <c r="N41" s="171"/>
      <c r="O41" s="171"/>
      <c r="P41" s="171"/>
      <c r="Q41" s="171"/>
    </row>
    <row r="42" spans="1:17" ht="20" customHeight="1" x14ac:dyDescent="0.35">
      <c r="A42" s="278" t="s">
        <v>1410</v>
      </c>
      <c r="B42" s="278"/>
      <c r="C42" s="278"/>
      <c r="D42" s="278"/>
      <c r="E42" s="278"/>
      <c r="F42" s="278"/>
      <c r="G42" s="278"/>
      <c r="H42" s="278"/>
      <c r="I42" s="278"/>
      <c r="J42" s="278"/>
      <c r="K42" s="278"/>
      <c r="L42" s="278"/>
      <c r="M42" s="278"/>
      <c r="N42" s="278"/>
      <c r="O42" s="278"/>
      <c r="P42" s="278"/>
      <c r="Q42" s="278"/>
    </row>
    <row r="43" spans="1:17" ht="28" customHeight="1" x14ac:dyDescent="0.35">
      <c r="A43" s="192" t="s">
        <v>1411</v>
      </c>
      <c r="B43" s="194" t="s">
        <v>1335</v>
      </c>
      <c r="C43" s="194" t="s">
        <v>1540</v>
      </c>
      <c r="D43" s="194" t="s">
        <v>1336</v>
      </c>
      <c r="E43" s="194" t="s">
        <v>1337</v>
      </c>
      <c r="F43" s="194" t="s">
        <v>1226</v>
      </c>
      <c r="G43" s="194" t="s">
        <v>1227</v>
      </c>
      <c r="H43" s="194" t="s">
        <v>1412</v>
      </c>
      <c r="I43" s="175"/>
      <c r="J43" s="175"/>
      <c r="K43" s="175"/>
      <c r="L43" s="175"/>
      <c r="M43" s="175"/>
      <c r="N43" s="175"/>
      <c r="O43" s="175"/>
      <c r="P43" s="175"/>
      <c r="Q43" s="175"/>
    </row>
    <row r="44" spans="1:17" x14ac:dyDescent="0.35">
      <c r="A44" s="198" t="s">
        <v>1413</v>
      </c>
      <c r="B44" s="199">
        <v>11</v>
      </c>
      <c r="C44" s="203">
        <v>1</v>
      </c>
      <c r="D44" s="200">
        <v>1.5696513422520113</v>
      </c>
      <c r="E44" s="200">
        <v>1.6500575586600912</v>
      </c>
      <c r="F44" s="202">
        <v>211089</v>
      </c>
      <c r="G44" s="202">
        <v>348309</v>
      </c>
      <c r="H44" s="201">
        <v>2.1589957867291085</v>
      </c>
      <c r="I44" s="171"/>
      <c r="J44" s="171"/>
      <c r="K44" s="171"/>
      <c r="L44" s="171"/>
      <c r="M44" s="171"/>
      <c r="N44" s="171"/>
      <c r="O44" s="171"/>
      <c r="P44" s="171"/>
      <c r="Q44" s="171"/>
    </row>
    <row r="45" spans="1:17" x14ac:dyDescent="0.35">
      <c r="A45" s="198" t="s">
        <v>1414</v>
      </c>
      <c r="B45" s="199">
        <v>33</v>
      </c>
      <c r="C45" s="203">
        <v>2</v>
      </c>
      <c r="D45" s="200">
        <v>0.52292871565786947</v>
      </c>
      <c r="E45" s="200">
        <v>0.44469527130817454</v>
      </c>
      <c r="F45" s="202">
        <v>192696</v>
      </c>
      <c r="G45" s="202">
        <v>85691</v>
      </c>
      <c r="H45" s="201">
        <v>0.58185559169968593</v>
      </c>
      <c r="I45" s="171"/>
      <c r="J45" s="171"/>
      <c r="K45" s="171"/>
      <c r="L45" s="171"/>
      <c r="M45" s="171"/>
      <c r="N45" s="171"/>
      <c r="O45" s="171"/>
      <c r="P45" s="171"/>
      <c r="Q45" s="171"/>
    </row>
    <row r="46" spans="1:17" x14ac:dyDescent="0.35">
      <c r="A46" s="198" t="s">
        <v>1415</v>
      </c>
      <c r="B46" s="199">
        <v>14</v>
      </c>
      <c r="C46" s="203">
        <v>3</v>
      </c>
      <c r="D46" s="200">
        <v>0.45104085199638</v>
      </c>
      <c r="E46" s="200">
        <v>0.61274623406720741</v>
      </c>
      <c r="F46" s="202">
        <v>77670</v>
      </c>
      <c r="G46" s="202">
        <v>47592</v>
      </c>
      <c r="H46" s="201">
        <v>0.80173963068263321</v>
      </c>
      <c r="I46" s="171"/>
      <c r="J46" s="171"/>
      <c r="K46" s="171"/>
      <c r="L46" s="171"/>
      <c r="M46" s="171"/>
      <c r="N46" s="171"/>
      <c r="O46" s="171"/>
      <c r="P46" s="171"/>
      <c r="Q46" s="171"/>
    </row>
    <row r="47" spans="1:17" x14ac:dyDescent="0.35">
      <c r="A47" s="198" t="s">
        <v>1416</v>
      </c>
      <c r="B47" s="199">
        <v>56</v>
      </c>
      <c r="C47" s="203">
        <v>4</v>
      </c>
      <c r="D47" s="200">
        <v>0.47983559682268667</v>
      </c>
      <c r="E47" s="200">
        <v>0.43796555254111014</v>
      </c>
      <c r="F47" s="202">
        <v>692591</v>
      </c>
      <c r="G47" s="202">
        <v>303331</v>
      </c>
      <c r="H47" s="201">
        <v>0.57305018101100536</v>
      </c>
      <c r="I47" s="171"/>
      <c r="J47" s="171"/>
      <c r="K47" s="171"/>
      <c r="L47" s="171"/>
      <c r="M47" s="171"/>
      <c r="N47" s="171"/>
      <c r="O47" s="171"/>
      <c r="P47" s="171"/>
      <c r="Q47" s="171"/>
    </row>
    <row r="48" spans="1:17" x14ac:dyDescent="0.35">
      <c r="A48" s="198" t="s">
        <v>1417</v>
      </c>
      <c r="B48" s="199">
        <v>37</v>
      </c>
      <c r="C48" s="203">
        <v>8.6486486486486491</v>
      </c>
      <c r="D48" s="200">
        <v>0.75328060706267586</v>
      </c>
      <c r="E48" s="200">
        <v>0.82211393681570555</v>
      </c>
      <c r="F48" s="202">
        <v>1942603</v>
      </c>
      <c r="G48" s="202">
        <v>1597041</v>
      </c>
      <c r="H48" s="201">
        <v>1.0756840065856292</v>
      </c>
      <c r="I48" s="171"/>
      <c r="J48" s="171"/>
      <c r="K48" s="171"/>
      <c r="L48" s="171"/>
      <c r="M48" s="171"/>
      <c r="N48" s="171"/>
      <c r="O48" s="171"/>
      <c r="P48" s="171"/>
      <c r="Q48" s="171"/>
    </row>
    <row r="49" spans="1:17" x14ac:dyDescent="0.35">
      <c r="A49" s="171"/>
      <c r="B49" s="171"/>
      <c r="C49" s="171"/>
      <c r="D49" s="171"/>
      <c r="E49" s="171"/>
      <c r="F49" s="171"/>
      <c r="G49" s="171"/>
      <c r="H49" s="171"/>
      <c r="I49" s="171"/>
      <c r="J49" s="171"/>
      <c r="K49" s="171"/>
      <c r="L49" s="171"/>
      <c r="M49" s="171"/>
      <c r="N49" s="171"/>
      <c r="O49" s="171"/>
      <c r="P49" s="171"/>
      <c r="Q49" s="171"/>
    </row>
    <row r="50" spans="1:17" x14ac:dyDescent="0.35">
      <c r="A50" s="171"/>
      <c r="B50" s="171"/>
      <c r="C50" s="171"/>
      <c r="D50" s="171"/>
      <c r="E50" s="171"/>
      <c r="F50" s="171"/>
      <c r="G50" s="171"/>
      <c r="H50" s="171"/>
      <c r="I50" s="171"/>
      <c r="J50" s="171"/>
      <c r="K50" s="171"/>
      <c r="L50" s="171"/>
      <c r="M50" s="171"/>
      <c r="N50" s="171"/>
      <c r="O50" s="171"/>
      <c r="P50" s="171"/>
      <c r="Q50" s="171"/>
    </row>
    <row r="51" spans="1:17" x14ac:dyDescent="0.35">
      <c r="A51" s="278" t="s">
        <v>1596</v>
      </c>
      <c r="B51" s="278"/>
      <c r="C51" s="278"/>
      <c r="D51" s="278"/>
      <c r="E51" s="278"/>
      <c r="F51" s="278"/>
      <c r="G51" s="278"/>
      <c r="H51" s="278"/>
      <c r="I51" s="278"/>
      <c r="J51" s="278"/>
      <c r="K51" s="278"/>
      <c r="L51" s="278"/>
      <c r="M51" s="278"/>
      <c r="N51" s="278"/>
      <c r="O51" s="278"/>
      <c r="P51" s="278"/>
      <c r="Q51" s="278"/>
    </row>
    <row r="52" spans="1:17" x14ac:dyDescent="0.35">
      <c r="A52" s="192" t="s">
        <v>1535</v>
      </c>
      <c r="B52" s="194" t="s">
        <v>1597</v>
      </c>
      <c r="C52" s="194" t="s">
        <v>1335</v>
      </c>
      <c r="D52" s="194" t="s">
        <v>1598</v>
      </c>
      <c r="E52" s="194" t="s">
        <v>1336</v>
      </c>
      <c r="F52" s="194" t="s">
        <v>1337</v>
      </c>
      <c r="G52" s="194" t="s">
        <v>1226</v>
      </c>
      <c r="H52" s="194" t="s">
        <v>1227</v>
      </c>
      <c r="I52" s="194" t="s">
        <v>1599</v>
      </c>
      <c r="J52" s="175"/>
      <c r="K52" s="175"/>
      <c r="L52" s="175"/>
      <c r="M52" s="175"/>
      <c r="N52" s="175"/>
      <c r="O52" s="175"/>
      <c r="P52" s="175"/>
      <c r="Q52" s="175"/>
    </row>
    <row r="53" spans="1:17" x14ac:dyDescent="0.35">
      <c r="A53" s="198" t="s">
        <v>1536</v>
      </c>
      <c r="B53" s="199" t="s">
        <v>1600</v>
      </c>
      <c r="C53" s="204">
        <v>8</v>
      </c>
      <c r="D53" s="205">
        <v>1.6724999999999999</v>
      </c>
      <c r="E53" s="200">
        <v>2.1741834142326186</v>
      </c>
      <c r="F53" s="200">
        <v>4.6594519839440514</v>
      </c>
      <c r="G53" s="202">
        <v>88939</v>
      </c>
      <c r="H53" s="202">
        <v>414407</v>
      </c>
      <c r="I53" s="201">
        <v>6.1780411567351283</v>
      </c>
      <c r="J53" s="171"/>
      <c r="K53" s="171"/>
      <c r="L53" s="171"/>
      <c r="M53" s="171"/>
      <c r="N53" s="171"/>
      <c r="O53" s="171"/>
      <c r="P53" s="171"/>
      <c r="Q53" s="171"/>
    </row>
    <row r="54" spans="1:17" x14ac:dyDescent="0.35">
      <c r="A54" s="198" t="s">
        <v>1536</v>
      </c>
      <c r="B54" s="199" t="s">
        <v>1601</v>
      </c>
      <c r="C54" s="204">
        <v>19</v>
      </c>
      <c r="D54" s="205">
        <v>2.0894736842105268</v>
      </c>
      <c r="E54" s="200">
        <v>0.81566209527713973</v>
      </c>
      <c r="F54" s="200">
        <v>0.70550524640614598</v>
      </c>
      <c r="G54" s="202">
        <v>265801</v>
      </c>
      <c r="H54" s="202">
        <v>187524</v>
      </c>
      <c r="I54" s="201">
        <v>0.9354405761898853</v>
      </c>
      <c r="J54" s="171"/>
      <c r="K54" s="171"/>
      <c r="L54" s="171"/>
      <c r="M54" s="171"/>
      <c r="N54" s="171"/>
      <c r="O54" s="171"/>
      <c r="P54" s="171"/>
      <c r="Q54" s="171"/>
    </row>
    <row r="55" spans="1:17" x14ac:dyDescent="0.35">
      <c r="A55" s="198" t="s">
        <v>1536</v>
      </c>
      <c r="B55" s="199" t="s">
        <v>1602</v>
      </c>
      <c r="C55" s="204">
        <v>19</v>
      </c>
      <c r="D55" s="205">
        <v>2.3863157894736839</v>
      </c>
      <c r="E55" s="200">
        <v>0.47176536343773978</v>
      </c>
      <c r="F55" s="200">
        <v>0.48442038797852727</v>
      </c>
      <c r="G55" s="202">
        <v>269551</v>
      </c>
      <c r="H55" s="202">
        <v>130576</v>
      </c>
      <c r="I55" s="201">
        <v>0.64230066205332448</v>
      </c>
      <c r="J55" s="171"/>
      <c r="K55" s="171"/>
      <c r="L55" s="171"/>
      <c r="M55" s="171"/>
      <c r="N55" s="171"/>
      <c r="O55" s="171"/>
      <c r="P55" s="171"/>
      <c r="Q55" s="171"/>
    </row>
    <row r="56" spans="1:17" x14ac:dyDescent="0.35">
      <c r="A56" s="198" t="s">
        <v>1536</v>
      </c>
      <c r="B56" s="199" t="s">
        <v>1603</v>
      </c>
      <c r="C56" s="204">
        <v>32</v>
      </c>
      <c r="D56" s="205">
        <v>2.5537500000000004</v>
      </c>
      <c r="E56" s="200">
        <v>0.57607917904220696</v>
      </c>
      <c r="F56" s="200">
        <v>0.44603608418289686</v>
      </c>
      <c r="G56" s="202">
        <v>295642</v>
      </c>
      <c r="H56" s="202">
        <v>131867</v>
      </c>
      <c r="I56" s="201">
        <v>0.59140630592749976</v>
      </c>
      <c r="J56" s="171"/>
      <c r="K56" s="171"/>
      <c r="L56" s="171"/>
      <c r="M56" s="171"/>
      <c r="N56" s="171"/>
      <c r="O56" s="171"/>
      <c r="P56" s="171"/>
      <c r="Q56" s="171"/>
    </row>
    <row r="57" spans="1:17" x14ac:dyDescent="0.35">
      <c r="A57" s="198" t="s">
        <v>1536</v>
      </c>
      <c r="B57" s="199" t="s">
        <v>1604</v>
      </c>
      <c r="C57" s="204">
        <v>21</v>
      </c>
      <c r="D57" s="205">
        <v>3.0161904761904763</v>
      </c>
      <c r="E57" s="200">
        <v>0.37761195628781835</v>
      </c>
      <c r="F57" s="200">
        <v>0.35181463027969651</v>
      </c>
      <c r="G57" s="202">
        <v>423888</v>
      </c>
      <c r="H57" s="202">
        <v>149130</v>
      </c>
      <c r="I57" s="201">
        <v>0.4664765884269742</v>
      </c>
      <c r="J57" s="171"/>
      <c r="K57" s="171"/>
      <c r="L57" s="171"/>
      <c r="M57" s="171"/>
      <c r="N57" s="171"/>
      <c r="O57" s="171"/>
      <c r="P57" s="171"/>
      <c r="Q57" s="171"/>
    </row>
    <row r="58" spans="1:17" x14ac:dyDescent="0.35">
      <c r="A58" s="198" t="s">
        <v>1537</v>
      </c>
      <c r="B58" s="199" t="s">
        <v>1605</v>
      </c>
      <c r="C58" s="204">
        <v>6</v>
      </c>
      <c r="D58" s="205">
        <v>7.6316666666666677</v>
      </c>
      <c r="E58" s="200">
        <v>1.3418520108752812</v>
      </c>
      <c r="F58" s="200">
        <v>0.82941224109655609</v>
      </c>
      <c r="G58" s="202">
        <v>1086602</v>
      </c>
      <c r="H58" s="202">
        <v>901241</v>
      </c>
      <c r="I58" s="201">
        <v>1.0923173958085148</v>
      </c>
      <c r="J58" s="171"/>
      <c r="K58" s="171"/>
      <c r="L58" s="171"/>
      <c r="M58" s="171"/>
      <c r="N58" s="171"/>
      <c r="O58" s="171"/>
      <c r="P58" s="171"/>
      <c r="Q58" s="171"/>
    </row>
    <row r="59" spans="1:17" x14ac:dyDescent="0.35">
      <c r="A59" s="198" t="s">
        <v>1537</v>
      </c>
      <c r="B59" s="199" t="s">
        <v>1606</v>
      </c>
      <c r="C59" s="204">
        <v>17</v>
      </c>
      <c r="D59" s="205">
        <v>8.7270588235294113</v>
      </c>
      <c r="E59" s="200">
        <v>0.47036319375616348</v>
      </c>
      <c r="F59" s="200">
        <v>0.46515713030997624</v>
      </c>
      <c r="G59" s="202">
        <v>140043</v>
      </c>
      <c r="H59" s="202">
        <v>65142</v>
      </c>
      <c r="I59" s="201">
        <v>0.61260155088885992</v>
      </c>
      <c r="J59" s="171"/>
      <c r="K59" s="171"/>
      <c r="L59" s="171"/>
      <c r="M59" s="171"/>
      <c r="N59" s="171"/>
      <c r="O59" s="171"/>
      <c r="P59" s="171"/>
      <c r="Q59" s="171"/>
    </row>
    <row r="60" spans="1:17" x14ac:dyDescent="0.35">
      <c r="A60" s="198" t="s">
        <v>1537</v>
      </c>
      <c r="B60" s="199" t="s">
        <v>1607</v>
      </c>
      <c r="C60" s="204">
        <v>14</v>
      </c>
      <c r="D60" s="205">
        <v>9.1685714285714273</v>
      </c>
      <c r="E60" s="200">
        <v>0.43257430273611774</v>
      </c>
      <c r="F60" s="200">
        <v>0.45503038924091554</v>
      </c>
      <c r="G60" s="202">
        <v>61864</v>
      </c>
      <c r="H60" s="202">
        <v>28150</v>
      </c>
      <c r="I60" s="201">
        <v>0.59926485909135385</v>
      </c>
      <c r="J60" s="171"/>
      <c r="K60" s="171"/>
      <c r="L60" s="171"/>
      <c r="M60" s="171"/>
      <c r="N60" s="171"/>
      <c r="O60" s="171"/>
      <c r="P60" s="171"/>
      <c r="Q60" s="171"/>
    </row>
    <row r="61" spans="1:17" x14ac:dyDescent="0.35">
      <c r="A61" s="198" t="s">
        <v>1537</v>
      </c>
      <c r="B61" s="199" t="s">
        <v>1608</v>
      </c>
      <c r="C61" s="204">
        <v>7</v>
      </c>
      <c r="D61" s="205">
        <v>9.8428571428571416</v>
      </c>
      <c r="E61" s="200">
        <v>0.38961162489885787</v>
      </c>
      <c r="F61" s="200">
        <v>0.42588297080835047</v>
      </c>
      <c r="G61" s="202">
        <v>22849</v>
      </c>
      <c r="H61" s="202">
        <v>9731</v>
      </c>
      <c r="I61" s="201">
        <v>0.56087836005113278</v>
      </c>
      <c r="J61" s="171"/>
      <c r="K61" s="171"/>
      <c r="L61" s="171"/>
      <c r="M61" s="171"/>
      <c r="N61" s="171"/>
      <c r="O61" s="171"/>
      <c r="P61" s="171"/>
      <c r="Q61" s="171"/>
    </row>
    <row r="62" spans="1:17" x14ac:dyDescent="0.35">
      <c r="A62" s="198" t="s">
        <v>1537</v>
      </c>
      <c r="B62" s="199" t="s">
        <v>1609</v>
      </c>
      <c r="C62" s="204">
        <v>7</v>
      </c>
      <c r="D62" s="205">
        <v>10.227142857142857</v>
      </c>
      <c r="E62" s="200">
        <v>0.24575219741540091</v>
      </c>
      <c r="F62" s="200">
        <v>0.2975752327343581</v>
      </c>
      <c r="G62" s="202">
        <v>18476</v>
      </c>
      <c r="H62" s="202">
        <v>5498</v>
      </c>
      <c r="I62" s="201">
        <v>0.39189993488372743</v>
      </c>
      <c r="J62" s="171"/>
      <c r="K62" s="171"/>
      <c r="L62" s="171"/>
      <c r="M62" s="171"/>
      <c r="N62" s="171"/>
      <c r="O62" s="171"/>
      <c r="P62" s="171"/>
      <c r="Q62" s="171"/>
    </row>
    <row r="63" spans="1:17" x14ac:dyDescent="0.35">
      <c r="A63" s="191" t="s">
        <v>1614</v>
      </c>
      <c r="B63" s="191"/>
      <c r="C63" s="191"/>
      <c r="D63" s="191"/>
      <c r="E63" s="191"/>
      <c r="F63" s="191"/>
      <c r="G63" s="191"/>
      <c r="H63" s="191"/>
      <c r="I63" s="191"/>
      <c r="J63" s="191"/>
      <c r="K63" s="191"/>
      <c r="L63" s="191"/>
      <c r="M63" s="191"/>
      <c r="N63" s="191"/>
      <c r="O63" s="191"/>
      <c r="P63" s="191"/>
      <c r="Q63" s="191"/>
    </row>
    <row r="64" spans="1:17" ht="20" customHeight="1" x14ac:dyDescent="0.35">
      <c r="A64" s="278" t="s">
        <v>1420</v>
      </c>
      <c r="B64" s="278"/>
      <c r="C64" s="278"/>
      <c r="D64" s="278"/>
      <c r="E64" s="278"/>
      <c r="F64" s="278"/>
      <c r="G64" s="278"/>
      <c r="H64" s="278"/>
      <c r="I64" s="278"/>
      <c r="J64" s="278"/>
      <c r="K64" s="278"/>
      <c r="L64" s="278"/>
      <c r="M64" s="278"/>
      <c r="N64" s="278"/>
      <c r="O64" s="278"/>
      <c r="P64" s="278"/>
      <c r="Q64" s="278"/>
    </row>
    <row r="65" spans="1:17" ht="28" customHeight="1" x14ac:dyDescent="0.35">
      <c r="A65" s="192" t="s">
        <v>1384</v>
      </c>
      <c r="B65" s="194" t="s">
        <v>1411</v>
      </c>
      <c r="C65" s="194" t="s">
        <v>1335</v>
      </c>
      <c r="D65" s="194" t="s">
        <v>1336</v>
      </c>
      <c r="E65" s="194" t="s">
        <v>1337</v>
      </c>
      <c r="F65" s="194" t="s">
        <v>1226</v>
      </c>
      <c r="G65" s="175"/>
      <c r="H65" s="175"/>
      <c r="I65" s="175"/>
      <c r="J65" s="175"/>
      <c r="K65" s="175"/>
      <c r="L65" s="175"/>
      <c r="M65" s="175"/>
      <c r="N65" s="175"/>
      <c r="O65" s="175"/>
      <c r="P65" s="175"/>
      <c r="Q65" s="175"/>
    </row>
    <row r="66" spans="1:17" x14ac:dyDescent="0.35">
      <c r="A66" s="198" t="s">
        <v>1231</v>
      </c>
      <c r="B66" s="199" t="s">
        <v>1413</v>
      </c>
      <c r="C66" s="199">
        <v>0</v>
      </c>
      <c r="D66" s="200"/>
      <c r="E66" s="200"/>
      <c r="F66" s="202">
        <v>0</v>
      </c>
      <c r="G66" s="171"/>
      <c r="H66" s="171"/>
      <c r="I66" s="171"/>
      <c r="J66" s="171"/>
      <c r="K66" s="171"/>
      <c r="L66" s="171"/>
      <c r="M66" s="171"/>
      <c r="N66" s="171"/>
      <c r="O66" s="171"/>
      <c r="P66" s="171"/>
      <c r="Q66" s="171"/>
    </row>
    <row r="67" spans="1:17" x14ac:dyDescent="0.35">
      <c r="A67" s="198" t="s">
        <v>1231</v>
      </c>
      <c r="B67" s="199" t="s">
        <v>1414</v>
      </c>
      <c r="C67" s="199">
        <v>0</v>
      </c>
      <c r="D67" s="200"/>
      <c r="E67" s="200"/>
      <c r="F67" s="202">
        <v>0</v>
      </c>
      <c r="G67" s="171"/>
      <c r="H67" s="171"/>
      <c r="I67" s="171"/>
      <c r="J67" s="171"/>
      <c r="K67" s="171"/>
      <c r="L67" s="171"/>
      <c r="M67" s="171"/>
      <c r="N67" s="171"/>
      <c r="O67" s="171"/>
      <c r="P67" s="171"/>
      <c r="Q67" s="171"/>
    </row>
    <row r="68" spans="1:17" x14ac:dyDescent="0.35">
      <c r="A68" s="198" t="s">
        <v>1231</v>
      </c>
      <c r="B68" s="199" t="s">
        <v>1415</v>
      </c>
      <c r="C68" s="199">
        <v>0</v>
      </c>
      <c r="D68" s="200"/>
      <c r="E68" s="200"/>
      <c r="F68" s="202">
        <v>0</v>
      </c>
      <c r="G68" s="171"/>
      <c r="H68" s="171"/>
      <c r="I68" s="171"/>
      <c r="J68" s="171"/>
      <c r="K68" s="171"/>
      <c r="L68" s="171"/>
      <c r="M68" s="171"/>
      <c r="N68" s="171"/>
      <c r="O68" s="171"/>
      <c r="P68" s="171"/>
      <c r="Q68" s="171"/>
    </row>
    <row r="69" spans="1:17" x14ac:dyDescent="0.35">
      <c r="A69" s="198" t="s">
        <v>1231</v>
      </c>
      <c r="B69" s="199" t="s">
        <v>1416</v>
      </c>
      <c r="C69" s="199">
        <v>0</v>
      </c>
      <c r="D69" s="200"/>
      <c r="E69" s="200"/>
      <c r="F69" s="202">
        <v>0</v>
      </c>
      <c r="G69" s="171"/>
      <c r="H69" s="171"/>
      <c r="I69" s="171"/>
      <c r="J69" s="171"/>
      <c r="K69" s="171"/>
      <c r="L69" s="171"/>
      <c r="M69" s="171"/>
      <c r="N69" s="171"/>
      <c r="O69" s="171"/>
      <c r="P69" s="171"/>
      <c r="Q69" s="171"/>
    </row>
    <row r="70" spans="1:17" x14ac:dyDescent="0.35">
      <c r="A70" s="198" t="s">
        <v>1231</v>
      </c>
      <c r="B70" s="199" t="s">
        <v>1417</v>
      </c>
      <c r="C70" s="199">
        <v>1</v>
      </c>
      <c r="D70" s="200">
        <v>0.80971299837018107</v>
      </c>
      <c r="E70" s="200">
        <v>0.80971299837018107</v>
      </c>
      <c r="F70" s="202">
        <v>442994</v>
      </c>
      <c r="G70" s="171"/>
      <c r="H70" s="171"/>
      <c r="I70" s="171"/>
      <c r="J70" s="171"/>
      <c r="K70" s="171"/>
      <c r="L70" s="171"/>
      <c r="M70" s="171"/>
      <c r="N70" s="171"/>
      <c r="O70" s="171"/>
      <c r="P70" s="171"/>
      <c r="Q70" s="171"/>
    </row>
    <row r="71" spans="1:17" x14ac:dyDescent="0.35">
      <c r="A71" s="198" t="s">
        <v>1230</v>
      </c>
      <c r="B71" s="199" t="s">
        <v>1413</v>
      </c>
      <c r="C71" s="199">
        <v>2</v>
      </c>
      <c r="D71" s="200">
        <v>0.23679344679714803</v>
      </c>
      <c r="E71" s="200">
        <v>0.2234383714445064</v>
      </c>
      <c r="F71" s="202">
        <v>14344</v>
      </c>
      <c r="G71" s="171"/>
      <c r="H71" s="171"/>
      <c r="I71" s="171"/>
      <c r="J71" s="171"/>
      <c r="K71" s="171"/>
      <c r="L71" s="171"/>
      <c r="M71" s="171"/>
      <c r="N71" s="171"/>
      <c r="O71" s="171"/>
      <c r="P71" s="171"/>
      <c r="Q71" s="171"/>
    </row>
    <row r="72" spans="1:17" x14ac:dyDescent="0.35">
      <c r="A72" s="198" t="s">
        <v>1230</v>
      </c>
      <c r="B72" s="199" t="s">
        <v>1414</v>
      </c>
      <c r="C72" s="199">
        <v>1</v>
      </c>
      <c r="D72" s="200">
        <v>6.4592294744716658E-2</v>
      </c>
      <c r="E72" s="200">
        <v>6.4592294744716658E-2</v>
      </c>
      <c r="F72" s="202">
        <v>42776</v>
      </c>
      <c r="G72" s="171"/>
      <c r="H72" s="171"/>
      <c r="I72" s="171"/>
      <c r="J72" s="171"/>
      <c r="K72" s="171"/>
      <c r="L72" s="171"/>
      <c r="M72" s="171"/>
      <c r="N72" s="171"/>
      <c r="O72" s="171"/>
      <c r="P72" s="171"/>
      <c r="Q72" s="171"/>
    </row>
    <row r="73" spans="1:17" x14ac:dyDescent="0.35">
      <c r="A73" s="198" t="s">
        <v>1230</v>
      </c>
      <c r="B73" s="199" t="s">
        <v>1415</v>
      </c>
      <c r="C73" s="199">
        <v>1</v>
      </c>
      <c r="D73" s="200">
        <v>0.31142136901299206</v>
      </c>
      <c r="E73" s="200">
        <v>0.31142136901299206</v>
      </c>
      <c r="F73" s="202">
        <v>5157</v>
      </c>
      <c r="G73" s="171"/>
      <c r="H73" s="171"/>
      <c r="I73" s="171"/>
      <c r="J73" s="171"/>
      <c r="K73" s="171"/>
      <c r="L73" s="171"/>
      <c r="M73" s="171"/>
      <c r="N73" s="171"/>
      <c r="O73" s="171"/>
      <c r="P73" s="171"/>
      <c r="Q73" s="171"/>
    </row>
    <row r="74" spans="1:17" x14ac:dyDescent="0.35">
      <c r="A74" s="198" t="s">
        <v>1230</v>
      </c>
      <c r="B74" s="199" t="s">
        <v>1416</v>
      </c>
      <c r="C74" s="199">
        <v>9</v>
      </c>
      <c r="D74" s="200">
        <v>0.29873925238951432</v>
      </c>
      <c r="E74" s="200">
        <v>0.37022880552252674</v>
      </c>
      <c r="F74" s="202">
        <v>207731</v>
      </c>
      <c r="G74" s="171"/>
      <c r="H74" s="171"/>
      <c r="I74" s="171"/>
      <c r="J74" s="171"/>
      <c r="K74" s="171"/>
      <c r="L74" s="171"/>
      <c r="M74" s="171"/>
      <c r="N74" s="171"/>
      <c r="O74" s="171"/>
      <c r="P74" s="171"/>
      <c r="Q74" s="171"/>
    </row>
    <row r="75" spans="1:17" x14ac:dyDescent="0.35">
      <c r="A75" s="198" t="s">
        <v>1230</v>
      </c>
      <c r="B75" s="199" t="s">
        <v>1417</v>
      </c>
      <c r="C75" s="199">
        <v>4</v>
      </c>
      <c r="D75" s="200">
        <v>0.33966066588574756</v>
      </c>
      <c r="E75" s="200">
        <v>0.33818313136987399</v>
      </c>
      <c r="F75" s="202">
        <v>124610</v>
      </c>
      <c r="G75" s="171"/>
      <c r="H75" s="171"/>
      <c r="I75" s="171"/>
      <c r="J75" s="171"/>
      <c r="K75" s="171"/>
      <c r="L75" s="171"/>
      <c r="M75" s="171"/>
      <c r="N75" s="171"/>
      <c r="O75" s="171"/>
      <c r="P75" s="171"/>
      <c r="Q75" s="171"/>
    </row>
    <row r="76" spans="1:17" x14ac:dyDescent="0.35">
      <c r="A76" s="198" t="s">
        <v>1234</v>
      </c>
      <c r="B76" s="199" t="s">
        <v>1413</v>
      </c>
      <c r="C76" s="199">
        <v>1</v>
      </c>
      <c r="D76" s="200">
        <v>0.58006323228566115</v>
      </c>
      <c r="E76" s="200">
        <v>0.58006323228566115</v>
      </c>
      <c r="F76" s="202">
        <v>5377</v>
      </c>
      <c r="G76" s="171"/>
      <c r="H76" s="171"/>
      <c r="I76" s="171"/>
      <c r="J76" s="171"/>
      <c r="K76" s="171"/>
      <c r="L76" s="171"/>
      <c r="M76" s="171"/>
      <c r="N76" s="171"/>
      <c r="O76" s="171"/>
      <c r="P76" s="171"/>
      <c r="Q76" s="171"/>
    </row>
    <row r="77" spans="1:17" x14ac:dyDescent="0.35">
      <c r="A77" s="198" t="s">
        <v>1234</v>
      </c>
      <c r="B77" s="199" t="s">
        <v>1414</v>
      </c>
      <c r="C77" s="199">
        <v>5</v>
      </c>
      <c r="D77" s="200">
        <v>0.49386804012792734</v>
      </c>
      <c r="E77" s="200">
        <v>0.60118409772824688</v>
      </c>
      <c r="F77" s="202">
        <v>37328</v>
      </c>
      <c r="G77" s="171"/>
      <c r="H77" s="171"/>
      <c r="I77" s="171"/>
      <c r="J77" s="171"/>
      <c r="K77" s="171"/>
      <c r="L77" s="171"/>
      <c r="M77" s="171"/>
      <c r="N77" s="171"/>
      <c r="O77" s="171"/>
      <c r="P77" s="171"/>
      <c r="Q77" s="171"/>
    </row>
    <row r="78" spans="1:17" x14ac:dyDescent="0.35">
      <c r="A78" s="198" t="s">
        <v>1234</v>
      </c>
      <c r="B78" s="199" t="s">
        <v>1415</v>
      </c>
      <c r="C78" s="199">
        <v>0</v>
      </c>
      <c r="D78" s="200"/>
      <c r="E78" s="200"/>
      <c r="F78" s="202">
        <v>0</v>
      </c>
      <c r="G78" s="171"/>
      <c r="H78" s="171"/>
      <c r="I78" s="171"/>
      <c r="J78" s="171"/>
      <c r="K78" s="171"/>
      <c r="L78" s="171"/>
      <c r="M78" s="171"/>
      <c r="N78" s="171"/>
      <c r="O78" s="171"/>
      <c r="P78" s="171"/>
      <c r="Q78" s="171"/>
    </row>
    <row r="79" spans="1:17" x14ac:dyDescent="0.35">
      <c r="A79" s="198" t="s">
        <v>1234</v>
      </c>
      <c r="B79" s="199" t="s">
        <v>1416</v>
      </c>
      <c r="C79" s="199">
        <v>2</v>
      </c>
      <c r="D79" s="200">
        <v>0.26729010557113092</v>
      </c>
      <c r="E79" s="200">
        <v>0.26707549941245595</v>
      </c>
      <c r="F79" s="202">
        <v>81696</v>
      </c>
      <c r="G79" s="171"/>
      <c r="H79" s="171"/>
      <c r="I79" s="171"/>
      <c r="J79" s="171"/>
      <c r="K79" s="171"/>
      <c r="L79" s="171"/>
      <c r="M79" s="171"/>
      <c r="N79" s="171"/>
      <c r="O79" s="171"/>
      <c r="P79" s="171"/>
      <c r="Q79" s="171"/>
    </row>
    <row r="80" spans="1:17" x14ac:dyDescent="0.35">
      <c r="A80" s="198" t="s">
        <v>1234</v>
      </c>
      <c r="B80" s="199" t="s">
        <v>1417</v>
      </c>
      <c r="C80" s="199">
        <v>0</v>
      </c>
      <c r="D80" s="200"/>
      <c r="E80" s="200"/>
      <c r="F80" s="202">
        <v>0</v>
      </c>
      <c r="G80" s="171"/>
      <c r="H80" s="171"/>
      <c r="I80" s="171"/>
      <c r="J80" s="171"/>
      <c r="K80" s="171"/>
      <c r="L80" s="171"/>
      <c r="M80" s="171"/>
      <c r="N80" s="171"/>
      <c r="O80" s="171"/>
      <c r="P80" s="171"/>
      <c r="Q80" s="171"/>
    </row>
    <row r="81" spans="1:17" x14ac:dyDescent="0.35">
      <c r="A81" s="198" t="s">
        <v>1232</v>
      </c>
      <c r="B81" s="199" t="s">
        <v>1413</v>
      </c>
      <c r="C81" s="199">
        <v>8</v>
      </c>
      <c r="D81" s="200">
        <v>2.0265643298615212</v>
      </c>
      <c r="E81" s="200">
        <v>1.7870542619455709</v>
      </c>
      <c r="F81" s="202">
        <v>191368</v>
      </c>
      <c r="G81" s="171"/>
      <c r="H81" s="171"/>
      <c r="I81" s="171"/>
      <c r="J81" s="171"/>
      <c r="K81" s="171"/>
      <c r="L81" s="171"/>
      <c r="M81" s="171"/>
      <c r="N81" s="171"/>
      <c r="O81" s="171"/>
      <c r="P81" s="171"/>
      <c r="Q81" s="171"/>
    </row>
    <row r="82" spans="1:17" x14ac:dyDescent="0.35">
      <c r="A82" s="198" t="s">
        <v>1232</v>
      </c>
      <c r="B82" s="199" t="s">
        <v>1414</v>
      </c>
      <c r="C82" s="199">
        <v>26</v>
      </c>
      <c r="D82" s="200">
        <v>0.47340530408213338</v>
      </c>
      <c r="E82" s="200">
        <v>0.50371100282958314</v>
      </c>
      <c r="F82" s="202">
        <v>110617</v>
      </c>
      <c r="G82" s="171"/>
      <c r="H82" s="171"/>
      <c r="I82" s="171"/>
      <c r="J82" s="171"/>
      <c r="K82" s="171"/>
      <c r="L82" s="171"/>
      <c r="M82" s="171"/>
      <c r="N82" s="171"/>
      <c r="O82" s="171"/>
      <c r="P82" s="171"/>
      <c r="Q82" s="171"/>
    </row>
    <row r="83" spans="1:17" x14ac:dyDescent="0.35">
      <c r="A83" s="198" t="s">
        <v>1232</v>
      </c>
      <c r="B83" s="199" t="s">
        <v>1415</v>
      </c>
      <c r="C83" s="199">
        <v>12</v>
      </c>
      <c r="D83" s="200">
        <v>0.45595136883356618</v>
      </c>
      <c r="E83" s="200">
        <v>0.63708304969366913</v>
      </c>
      <c r="F83" s="202">
        <v>70512</v>
      </c>
      <c r="G83" s="171"/>
      <c r="H83" s="171"/>
      <c r="I83" s="171"/>
      <c r="J83" s="171"/>
      <c r="K83" s="171"/>
      <c r="L83" s="171"/>
      <c r="M83" s="171"/>
      <c r="N83" s="171"/>
      <c r="O83" s="171"/>
      <c r="P83" s="171"/>
      <c r="Q83" s="171"/>
    </row>
    <row r="84" spans="1:17" x14ac:dyDescent="0.35">
      <c r="A84" s="198" t="s">
        <v>1232</v>
      </c>
      <c r="B84" s="199" t="s">
        <v>1416</v>
      </c>
      <c r="C84" s="199">
        <v>39</v>
      </c>
      <c r="D84" s="200">
        <v>0.51003793372075468</v>
      </c>
      <c r="E84" s="200">
        <v>0.52780120502250139</v>
      </c>
      <c r="F84" s="202">
        <v>296426</v>
      </c>
      <c r="G84" s="171"/>
      <c r="H84" s="171"/>
      <c r="I84" s="171"/>
      <c r="J84" s="171"/>
      <c r="K84" s="171"/>
      <c r="L84" s="171"/>
      <c r="M84" s="171"/>
      <c r="N84" s="171"/>
      <c r="O84" s="171"/>
      <c r="P84" s="171"/>
      <c r="Q84" s="171"/>
    </row>
    <row r="85" spans="1:17" x14ac:dyDescent="0.35">
      <c r="A85" s="198" t="s">
        <v>1232</v>
      </c>
      <c r="B85" s="199" t="s">
        <v>1417</v>
      </c>
      <c r="C85" s="199">
        <v>30</v>
      </c>
      <c r="D85" s="200">
        <v>0.81556196574852935</v>
      </c>
      <c r="E85" s="200">
        <v>0.87243403160953981</v>
      </c>
      <c r="F85" s="202">
        <v>1360159</v>
      </c>
      <c r="G85" s="171"/>
      <c r="H85" s="171"/>
      <c r="I85" s="171"/>
      <c r="J85" s="171"/>
      <c r="K85" s="171"/>
      <c r="L85" s="171"/>
      <c r="M85" s="171"/>
      <c r="N85" s="171"/>
      <c r="O85" s="171"/>
      <c r="P85" s="171"/>
      <c r="Q85" s="171"/>
    </row>
    <row r="86" spans="1:17" x14ac:dyDescent="0.35">
      <c r="A86" s="198" t="s">
        <v>1512</v>
      </c>
      <c r="B86" s="199" t="s">
        <v>1413</v>
      </c>
      <c r="C86" s="199">
        <v>0</v>
      </c>
      <c r="D86" s="200"/>
      <c r="E86" s="200"/>
      <c r="F86" s="202">
        <v>0</v>
      </c>
      <c r="G86" s="171"/>
      <c r="H86" s="171"/>
      <c r="I86" s="171"/>
      <c r="J86" s="171"/>
      <c r="K86" s="171"/>
      <c r="L86" s="171"/>
      <c r="M86" s="171"/>
      <c r="N86" s="171"/>
      <c r="O86" s="171"/>
      <c r="P86" s="171"/>
      <c r="Q86" s="171"/>
    </row>
    <row r="87" spans="1:17" x14ac:dyDescent="0.35">
      <c r="A87" s="198" t="s">
        <v>1512</v>
      </c>
      <c r="B87" s="199" t="s">
        <v>1414</v>
      </c>
      <c r="C87" s="199">
        <v>1</v>
      </c>
      <c r="D87" s="200">
        <v>2.4141772151898735</v>
      </c>
      <c r="E87" s="200">
        <v>2.4141772151898735</v>
      </c>
      <c r="F87" s="202">
        <v>1975</v>
      </c>
      <c r="G87" s="171"/>
      <c r="H87" s="171"/>
      <c r="I87" s="171"/>
      <c r="J87" s="171"/>
      <c r="K87" s="171"/>
      <c r="L87" s="171"/>
      <c r="M87" s="171"/>
      <c r="N87" s="171"/>
      <c r="O87" s="171"/>
      <c r="P87" s="171"/>
      <c r="Q87" s="171"/>
    </row>
    <row r="88" spans="1:17" x14ac:dyDescent="0.35">
      <c r="A88" s="198" t="s">
        <v>1512</v>
      </c>
      <c r="B88" s="199" t="s">
        <v>1415</v>
      </c>
      <c r="C88" s="199">
        <v>1</v>
      </c>
      <c r="D88" s="200">
        <v>0.53173413293353322</v>
      </c>
      <c r="E88" s="200">
        <v>0.53173413293353322</v>
      </c>
      <c r="F88" s="202">
        <v>2001</v>
      </c>
      <c r="G88" s="171"/>
      <c r="H88" s="171"/>
      <c r="I88" s="171"/>
      <c r="J88" s="171"/>
      <c r="K88" s="171"/>
      <c r="L88" s="171"/>
      <c r="M88" s="171"/>
      <c r="N88" s="171"/>
      <c r="O88" s="171"/>
      <c r="P88" s="171"/>
      <c r="Q88" s="171"/>
    </row>
    <row r="89" spans="1:17" x14ac:dyDescent="0.35">
      <c r="A89" s="198" t="s">
        <v>1512</v>
      </c>
      <c r="B89" s="199" t="s">
        <v>1416</v>
      </c>
      <c r="C89" s="199">
        <v>6</v>
      </c>
      <c r="D89" s="200">
        <v>0.62601342071885369</v>
      </c>
      <c r="E89" s="200">
        <v>0.4511045738162604</v>
      </c>
      <c r="F89" s="202">
        <v>106738</v>
      </c>
      <c r="G89" s="171"/>
      <c r="H89" s="171"/>
      <c r="I89" s="171"/>
      <c r="J89" s="171"/>
      <c r="K89" s="171"/>
      <c r="L89" s="171"/>
      <c r="M89" s="171"/>
      <c r="N89" s="171"/>
      <c r="O89" s="171"/>
      <c r="P89" s="171"/>
      <c r="Q89" s="171"/>
    </row>
    <row r="90" spans="1:17" x14ac:dyDescent="0.35">
      <c r="A90" s="198" t="s">
        <v>1512</v>
      </c>
      <c r="B90" s="199" t="s">
        <v>1417</v>
      </c>
      <c r="C90" s="199">
        <v>2</v>
      </c>
      <c r="D90" s="200">
        <v>0.61808391347497849</v>
      </c>
      <c r="E90" s="200">
        <v>0.643733153638814</v>
      </c>
      <c r="F90" s="202">
        <v>14840</v>
      </c>
      <c r="G90" s="171"/>
      <c r="H90" s="171"/>
      <c r="I90" s="171"/>
      <c r="J90" s="171"/>
      <c r="K90" s="171"/>
      <c r="L90" s="171"/>
      <c r="M90" s="171"/>
      <c r="N90" s="171"/>
      <c r="O90" s="171"/>
      <c r="P90" s="171"/>
      <c r="Q90" s="171"/>
    </row>
    <row r="91" spans="1:17" x14ac:dyDescent="0.35">
      <c r="A91" s="171"/>
      <c r="B91" s="171"/>
      <c r="C91" s="171"/>
      <c r="D91" s="171"/>
      <c r="E91" s="171"/>
      <c r="F91" s="171"/>
      <c r="G91" s="171"/>
      <c r="H91" s="171"/>
      <c r="I91" s="171"/>
      <c r="J91" s="171"/>
      <c r="K91" s="171"/>
      <c r="L91" s="171"/>
      <c r="M91" s="171"/>
      <c r="N91" s="171"/>
      <c r="O91" s="171"/>
      <c r="P91" s="171"/>
      <c r="Q91" s="171"/>
    </row>
    <row r="92" spans="1:17" x14ac:dyDescent="0.35">
      <c r="A92" s="171"/>
      <c r="B92" s="171"/>
      <c r="C92" s="171"/>
      <c r="D92" s="171"/>
      <c r="E92" s="171"/>
      <c r="F92" s="171"/>
      <c r="G92" s="171"/>
      <c r="H92" s="171"/>
      <c r="I92" s="171"/>
      <c r="J92" s="171"/>
      <c r="K92" s="171"/>
      <c r="L92" s="171"/>
      <c r="M92" s="171"/>
      <c r="N92" s="171"/>
      <c r="O92" s="171"/>
      <c r="P92" s="171"/>
      <c r="Q92" s="171"/>
    </row>
    <row r="93" spans="1:17" ht="20" customHeight="1" x14ac:dyDescent="0.35">
      <c r="A93" s="278" t="s">
        <v>1333</v>
      </c>
      <c r="B93" s="278"/>
      <c r="C93" s="278"/>
      <c r="D93" s="278"/>
      <c r="E93" s="278"/>
      <c r="F93" s="278"/>
      <c r="G93" s="278"/>
      <c r="H93" s="278"/>
      <c r="I93" s="278"/>
      <c r="J93" s="278"/>
      <c r="K93" s="278"/>
      <c r="L93" s="278"/>
      <c r="M93" s="278"/>
      <c r="N93" s="278"/>
      <c r="O93" s="278"/>
      <c r="P93" s="278"/>
      <c r="Q93" s="278"/>
    </row>
    <row r="94" spans="1:17" ht="28" customHeight="1" x14ac:dyDescent="0.35">
      <c r="A94" s="192" t="s">
        <v>1334</v>
      </c>
      <c r="B94" s="194" t="s">
        <v>1384</v>
      </c>
      <c r="C94" s="194" t="s">
        <v>1335</v>
      </c>
      <c r="D94" s="194" t="s">
        <v>1336</v>
      </c>
      <c r="E94" s="194" t="s">
        <v>1337</v>
      </c>
      <c r="F94" s="194" t="s">
        <v>1226</v>
      </c>
      <c r="G94" s="194" t="s">
        <v>1227</v>
      </c>
      <c r="H94" s="194" t="s">
        <v>1459</v>
      </c>
      <c r="I94" s="194" t="s">
        <v>1460</v>
      </c>
      <c r="J94" s="194" t="s">
        <v>1461</v>
      </c>
      <c r="K94" s="194" t="s">
        <v>1541</v>
      </c>
      <c r="L94" s="194" t="s">
        <v>1505</v>
      </c>
      <c r="M94" s="194" t="s">
        <v>1462</v>
      </c>
      <c r="N94" s="175"/>
      <c r="O94" s="175"/>
      <c r="P94" s="175"/>
      <c r="Q94" s="175"/>
    </row>
    <row r="95" spans="1:17" x14ac:dyDescent="0.35">
      <c r="A95" s="198" t="s">
        <v>66</v>
      </c>
      <c r="B95" s="199" t="s">
        <v>1232</v>
      </c>
      <c r="C95" s="199">
        <v>3</v>
      </c>
      <c r="D95" s="200">
        <v>3.6872781493900475</v>
      </c>
      <c r="E95" s="200">
        <v>5.5777920843680064</v>
      </c>
      <c r="F95" s="202">
        <v>65238</v>
      </c>
      <c r="G95" s="202">
        <v>363884</v>
      </c>
      <c r="H95" s="202">
        <v>2</v>
      </c>
      <c r="I95" s="202">
        <v>1</v>
      </c>
      <c r="J95" s="202">
        <v>1</v>
      </c>
      <c r="K95" s="202">
        <v>0</v>
      </c>
      <c r="L95" s="202">
        <v>1</v>
      </c>
      <c r="M95" s="200">
        <v>1.0447309640424389</v>
      </c>
      <c r="N95" s="171"/>
      <c r="O95" s="171"/>
      <c r="P95" s="171"/>
      <c r="Q95" s="171"/>
    </row>
    <row r="96" spans="1:17" x14ac:dyDescent="0.35">
      <c r="A96" s="198" t="s">
        <v>90</v>
      </c>
      <c r="B96" s="199" t="s">
        <v>1232</v>
      </c>
      <c r="C96" s="199">
        <v>2</v>
      </c>
      <c r="D96" s="200">
        <v>2.9259701353263017</v>
      </c>
      <c r="E96" s="200">
        <v>2.9272056039379022</v>
      </c>
      <c r="F96" s="202">
        <v>10564</v>
      </c>
      <c r="G96" s="202">
        <v>30923</v>
      </c>
      <c r="H96" s="202">
        <v>2</v>
      </c>
      <c r="I96" s="202">
        <v>2</v>
      </c>
      <c r="J96" s="202">
        <v>0</v>
      </c>
      <c r="K96" s="202">
        <v>0</v>
      </c>
      <c r="L96" s="202">
        <v>0</v>
      </c>
      <c r="M96" s="200">
        <v>2.5509701353262999</v>
      </c>
      <c r="N96" s="171"/>
      <c r="O96" s="171"/>
      <c r="P96" s="171"/>
      <c r="Q96" s="171"/>
    </row>
    <row r="97" spans="1:17" x14ac:dyDescent="0.35">
      <c r="A97" s="198" t="s">
        <v>162</v>
      </c>
      <c r="B97" s="199" t="s">
        <v>1512</v>
      </c>
      <c r="C97" s="199">
        <v>3</v>
      </c>
      <c r="D97" s="200">
        <v>1.5724782674298405</v>
      </c>
      <c r="E97" s="200">
        <v>1.654578606158833</v>
      </c>
      <c r="F97" s="202">
        <v>4936</v>
      </c>
      <c r="G97" s="202">
        <v>8167</v>
      </c>
      <c r="H97" s="202">
        <v>3</v>
      </c>
      <c r="I97" s="202">
        <v>3</v>
      </c>
      <c r="J97" s="202">
        <v>0</v>
      </c>
      <c r="K97" s="202">
        <v>0</v>
      </c>
      <c r="L97" s="202">
        <v>0</v>
      </c>
      <c r="M97" s="200">
        <v>1.2724782674298407</v>
      </c>
      <c r="N97" s="171"/>
      <c r="O97" s="171"/>
      <c r="P97" s="171"/>
      <c r="Q97" s="171"/>
    </row>
    <row r="98" spans="1:17" x14ac:dyDescent="0.35">
      <c r="A98" s="198" t="s">
        <v>225</v>
      </c>
      <c r="B98" s="199" t="s">
        <v>1232</v>
      </c>
      <c r="C98" s="199">
        <v>2</v>
      </c>
      <c r="D98" s="200">
        <v>1.2500634585425763</v>
      </c>
      <c r="E98" s="200">
        <v>1.260233918128655</v>
      </c>
      <c r="F98" s="202">
        <v>16416</v>
      </c>
      <c r="G98" s="202">
        <v>20688</v>
      </c>
      <c r="H98" s="202">
        <v>0</v>
      </c>
      <c r="I98" s="202">
        <v>0</v>
      </c>
      <c r="J98" s="202">
        <v>0</v>
      </c>
      <c r="K98" s="202">
        <v>0</v>
      </c>
      <c r="L98" s="202">
        <v>2</v>
      </c>
      <c r="M98" s="200"/>
      <c r="N98" s="171"/>
      <c r="O98" s="171"/>
      <c r="P98" s="171"/>
      <c r="Q98" s="171"/>
    </row>
    <row r="99" spans="1:17" x14ac:dyDescent="0.35">
      <c r="A99" s="198" t="s">
        <v>490</v>
      </c>
      <c r="B99" s="199" t="s">
        <v>1232</v>
      </c>
      <c r="C99" s="199">
        <v>4</v>
      </c>
      <c r="D99" s="200">
        <v>1.2192006136804807</v>
      </c>
      <c r="E99" s="200">
        <v>0.82673276922778705</v>
      </c>
      <c r="F99" s="202">
        <v>1083367</v>
      </c>
      <c r="G99" s="202">
        <v>895655</v>
      </c>
      <c r="H99" s="202">
        <v>4</v>
      </c>
      <c r="I99" s="202">
        <v>3</v>
      </c>
      <c r="J99" s="202">
        <v>1</v>
      </c>
      <c r="K99" s="202">
        <v>0</v>
      </c>
      <c r="L99" s="202">
        <v>0</v>
      </c>
      <c r="M99" s="200">
        <v>4.9200613680480787E-2</v>
      </c>
      <c r="N99" s="171"/>
      <c r="O99" s="171"/>
      <c r="P99" s="171"/>
      <c r="Q99" s="171"/>
    </row>
    <row r="100" spans="1:17" x14ac:dyDescent="0.35">
      <c r="A100" s="198" t="s">
        <v>217</v>
      </c>
      <c r="B100" s="199" t="s">
        <v>1232</v>
      </c>
      <c r="C100" s="199">
        <v>2</v>
      </c>
      <c r="D100" s="200">
        <v>1.1798685884336457</v>
      </c>
      <c r="E100" s="200">
        <v>1.0053539804785634</v>
      </c>
      <c r="F100" s="202">
        <v>24281</v>
      </c>
      <c r="G100" s="202">
        <v>24411</v>
      </c>
      <c r="H100" s="202">
        <v>2</v>
      </c>
      <c r="I100" s="202">
        <v>2</v>
      </c>
      <c r="J100" s="202">
        <v>0</v>
      </c>
      <c r="K100" s="202">
        <v>0</v>
      </c>
      <c r="L100" s="202">
        <v>0</v>
      </c>
      <c r="M100" s="200">
        <v>0.57986858843364353</v>
      </c>
      <c r="N100" s="171"/>
      <c r="O100" s="171"/>
      <c r="P100" s="171"/>
      <c r="Q100" s="171"/>
    </row>
    <row r="101" spans="1:17" x14ac:dyDescent="0.35">
      <c r="A101" s="198" t="s">
        <v>121</v>
      </c>
      <c r="B101" s="199" t="s">
        <v>1232</v>
      </c>
      <c r="C101" s="199">
        <v>3</v>
      </c>
      <c r="D101" s="200">
        <v>1.0279875102544125</v>
      </c>
      <c r="E101" s="200">
        <v>1.0566808438960711</v>
      </c>
      <c r="F101" s="202">
        <v>94988</v>
      </c>
      <c r="G101" s="202">
        <v>100372</v>
      </c>
      <c r="H101" s="202">
        <v>3</v>
      </c>
      <c r="I101" s="202">
        <v>3</v>
      </c>
      <c r="J101" s="202">
        <v>0</v>
      </c>
      <c r="K101" s="202">
        <v>0</v>
      </c>
      <c r="L101" s="202">
        <v>0</v>
      </c>
      <c r="M101" s="200">
        <v>0.72798751025441211</v>
      </c>
      <c r="N101" s="171"/>
      <c r="O101" s="171"/>
      <c r="P101" s="171"/>
      <c r="Q101" s="171"/>
    </row>
    <row r="102" spans="1:17" x14ac:dyDescent="0.35">
      <c r="A102" s="198" t="s">
        <v>244</v>
      </c>
      <c r="B102" s="199" t="s">
        <v>1232</v>
      </c>
      <c r="C102" s="199">
        <v>5</v>
      </c>
      <c r="D102" s="200">
        <v>0.99759169739379805</v>
      </c>
      <c r="E102" s="200">
        <v>0.74287527402792197</v>
      </c>
      <c r="F102" s="202">
        <v>17334</v>
      </c>
      <c r="G102" s="202">
        <v>12877</v>
      </c>
      <c r="H102" s="202">
        <v>4</v>
      </c>
      <c r="I102" s="202">
        <v>1</v>
      </c>
      <c r="J102" s="202">
        <v>3</v>
      </c>
      <c r="K102" s="202">
        <v>0</v>
      </c>
      <c r="L102" s="202">
        <v>1</v>
      </c>
      <c r="M102" s="200">
        <v>0.27479574419122721</v>
      </c>
      <c r="N102" s="171"/>
      <c r="O102" s="171"/>
      <c r="P102" s="171"/>
      <c r="Q102" s="171"/>
    </row>
    <row r="103" spans="1:17" x14ac:dyDescent="0.35">
      <c r="A103" s="198" t="s">
        <v>308</v>
      </c>
      <c r="B103" s="199" t="s">
        <v>1232</v>
      </c>
      <c r="C103" s="199">
        <v>2</v>
      </c>
      <c r="D103" s="200">
        <v>0.96598270466150549</v>
      </c>
      <c r="E103" s="200">
        <v>0.99713713140566851</v>
      </c>
      <c r="F103" s="202">
        <v>3493</v>
      </c>
      <c r="G103" s="202">
        <v>3483</v>
      </c>
      <c r="H103" s="202">
        <v>2</v>
      </c>
      <c r="I103" s="202">
        <v>0</v>
      </c>
      <c r="J103" s="202">
        <v>2</v>
      </c>
      <c r="K103" s="202">
        <v>0</v>
      </c>
      <c r="L103" s="202">
        <v>0</v>
      </c>
      <c r="M103" s="200">
        <v>-0.78401729533849451</v>
      </c>
      <c r="N103" s="171"/>
      <c r="O103" s="171"/>
      <c r="P103" s="171"/>
      <c r="Q103" s="171"/>
    </row>
    <row r="104" spans="1:17" x14ac:dyDescent="0.35">
      <c r="A104" s="198" t="s">
        <v>361</v>
      </c>
      <c r="B104" s="199" t="s">
        <v>1232</v>
      </c>
      <c r="C104" s="199">
        <v>2</v>
      </c>
      <c r="D104" s="200">
        <v>0.8430227643276369</v>
      </c>
      <c r="E104" s="200">
        <v>0.84845980226976503</v>
      </c>
      <c r="F104" s="202">
        <v>31457</v>
      </c>
      <c r="G104" s="202">
        <v>26690</v>
      </c>
      <c r="H104" s="202">
        <v>0</v>
      </c>
      <c r="I104" s="202">
        <v>0</v>
      </c>
      <c r="J104" s="202">
        <v>0</v>
      </c>
      <c r="K104" s="202">
        <v>0</v>
      </c>
      <c r="L104" s="202">
        <v>2</v>
      </c>
      <c r="M104" s="200"/>
      <c r="N104" s="171"/>
      <c r="O104" s="171"/>
      <c r="P104" s="171"/>
      <c r="Q104" s="171"/>
    </row>
    <row r="105" spans="1:17" x14ac:dyDescent="0.35">
      <c r="A105" s="198" t="s">
        <v>858</v>
      </c>
      <c r="B105" s="199" t="s">
        <v>1232</v>
      </c>
      <c r="C105" s="199">
        <v>2</v>
      </c>
      <c r="D105" s="200">
        <v>0.8113174815942652</v>
      </c>
      <c r="E105" s="200">
        <v>0.81257720381807974</v>
      </c>
      <c r="F105" s="202">
        <v>26715</v>
      </c>
      <c r="G105" s="202">
        <v>21708</v>
      </c>
      <c r="H105" s="202">
        <v>0</v>
      </c>
      <c r="I105" s="202">
        <v>0</v>
      </c>
      <c r="J105" s="202">
        <v>0</v>
      </c>
      <c r="K105" s="202">
        <v>0</v>
      </c>
      <c r="L105" s="202">
        <v>2</v>
      </c>
      <c r="M105" s="200"/>
      <c r="N105" s="171"/>
      <c r="O105" s="171"/>
      <c r="P105" s="171"/>
      <c r="Q105" s="171"/>
    </row>
    <row r="106" spans="1:17" x14ac:dyDescent="0.35">
      <c r="A106" s="198" t="s">
        <v>201</v>
      </c>
      <c r="B106" s="199" t="s">
        <v>1231</v>
      </c>
      <c r="C106" s="199">
        <v>1</v>
      </c>
      <c r="D106" s="200">
        <v>0.80971299837018107</v>
      </c>
      <c r="E106" s="200">
        <v>0.80971299837018107</v>
      </c>
      <c r="F106" s="202">
        <v>442994</v>
      </c>
      <c r="G106" s="202">
        <v>358698</v>
      </c>
      <c r="H106" s="202">
        <v>1</v>
      </c>
      <c r="I106" s="202">
        <v>1</v>
      </c>
      <c r="J106" s="202">
        <v>0</v>
      </c>
      <c r="K106" s="202">
        <v>0</v>
      </c>
      <c r="L106" s="202">
        <v>0</v>
      </c>
      <c r="M106" s="200">
        <v>5.9712998370181097E-2</v>
      </c>
      <c r="N106" s="171"/>
      <c r="O106" s="171"/>
      <c r="P106" s="171"/>
      <c r="Q106" s="171"/>
    </row>
    <row r="107" spans="1:17" x14ac:dyDescent="0.35">
      <c r="A107" s="198" t="s">
        <v>293</v>
      </c>
      <c r="B107" s="199" t="s">
        <v>1232</v>
      </c>
      <c r="C107" s="199">
        <v>5</v>
      </c>
      <c r="D107" s="200">
        <v>0.67474486044580073</v>
      </c>
      <c r="E107" s="200">
        <v>0.70054761586750369</v>
      </c>
      <c r="F107" s="202">
        <v>7487</v>
      </c>
      <c r="G107" s="202">
        <v>5245</v>
      </c>
      <c r="H107" s="202">
        <v>3</v>
      </c>
      <c r="I107" s="202">
        <v>3</v>
      </c>
      <c r="J107" s="202">
        <v>0</v>
      </c>
      <c r="K107" s="202">
        <v>0</v>
      </c>
      <c r="L107" s="202">
        <v>2</v>
      </c>
      <c r="M107" s="200">
        <v>0.58095737057361874</v>
      </c>
      <c r="N107" s="171"/>
      <c r="O107" s="171"/>
      <c r="P107" s="171"/>
      <c r="Q107" s="171"/>
    </row>
    <row r="108" spans="1:17" x14ac:dyDescent="0.35">
      <c r="A108" s="198" t="s">
        <v>314</v>
      </c>
      <c r="B108" s="199" t="s">
        <v>1512</v>
      </c>
      <c r="C108" s="199">
        <v>2</v>
      </c>
      <c r="D108" s="200">
        <v>0.64777171922862764</v>
      </c>
      <c r="E108" s="200">
        <v>0.72051831826232871</v>
      </c>
      <c r="F108" s="202">
        <v>10727</v>
      </c>
      <c r="G108" s="202">
        <v>7729</v>
      </c>
      <c r="H108" s="202">
        <v>2</v>
      </c>
      <c r="I108" s="202">
        <v>2</v>
      </c>
      <c r="J108" s="202">
        <v>0</v>
      </c>
      <c r="K108" s="202">
        <v>0</v>
      </c>
      <c r="L108" s="202">
        <v>0</v>
      </c>
      <c r="M108" s="200">
        <v>0.47277171922862748</v>
      </c>
      <c r="N108" s="171"/>
      <c r="O108" s="171"/>
      <c r="P108" s="171"/>
      <c r="Q108" s="171"/>
    </row>
    <row r="109" spans="1:17" x14ac:dyDescent="0.35">
      <c r="A109" s="198" t="s">
        <v>302</v>
      </c>
      <c r="B109" s="199" t="s">
        <v>1232</v>
      </c>
      <c r="C109" s="199">
        <v>3</v>
      </c>
      <c r="D109" s="200">
        <v>0.60696944638510175</v>
      </c>
      <c r="E109" s="200">
        <v>0.59394124847001228</v>
      </c>
      <c r="F109" s="202">
        <v>3268</v>
      </c>
      <c r="G109" s="202">
        <v>1941</v>
      </c>
      <c r="H109" s="202">
        <v>3</v>
      </c>
      <c r="I109" s="202">
        <v>0</v>
      </c>
      <c r="J109" s="202">
        <v>3</v>
      </c>
      <c r="K109" s="202">
        <v>0</v>
      </c>
      <c r="L109" s="202">
        <v>0</v>
      </c>
      <c r="M109" s="200">
        <v>-0.30969722028156493</v>
      </c>
      <c r="N109" s="171"/>
      <c r="O109" s="171"/>
      <c r="P109" s="171"/>
      <c r="Q109" s="171"/>
    </row>
    <row r="110" spans="1:17" x14ac:dyDescent="0.35">
      <c r="A110" s="198" t="s">
        <v>149</v>
      </c>
      <c r="B110" s="199" t="s">
        <v>1232</v>
      </c>
      <c r="C110" s="199">
        <v>4</v>
      </c>
      <c r="D110" s="200">
        <v>0.54854698202018071</v>
      </c>
      <c r="E110" s="200">
        <v>0.54442217768871071</v>
      </c>
      <c r="F110" s="202">
        <v>8982</v>
      </c>
      <c r="G110" s="202">
        <v>4890</v>
      </c>
      <c r="H110" s="202">
        <v>4</v>
      </c>
      <c r="I110" s="202">
        <v>3</v>
      </c>
      <c r="J110" s="202">
        <v>1</v>
      </c>
      <c r="K110" s="202">
        <v>0</v>
      </c>
      <c r="L110" s="202">
        <v>0</v>
      </c>
      <c r="M110" s="200">
        <v>0.12354698202018069</v>
      </c>
      <c r="N110" s="171"/>
      <c r="O110" s="171"/>
      <c r="P110" s="171"/>
      <c r="Q110" s="171"/>
    </row>
    <row r="111" spans="1:17" x14ac:dyDescent="0.35">
      <c r="A111" s="198" t="s">
        <v>513</v>
      </c>
      <c r="B111" s="199" t="s">
        <v>1232</v>
      </c>
      <c r="C111" s="199">
        <v>2</v>
      </c>
      <c r="D111" s="200">
        <v>0.53512879619907394</v>
      </c>
      <c r="E111" s="200">
        <v>0.52928722653493299</v>
      </c>
      <c r="F111" s="202">
        <v>1417</v>
      </c>
      <c r="G111" s="202">
        <v>750</v>
      </c>
      <c r="H111" s="202">
        <v>2</v>
      </c>
      <c r="I111" s="202">
        <v>0</v>
      </c>
      <c r="J111" s="202">
        <v>2</v>
      </c>
      <c r="K111" s="202">
        <v>0</v>
      </c>
      <c r="L111" s="202">
        <v>0</v>
      </c>
      <c r="M111" s="200">
        <v>-0.214871203800926</v>
      </c>
      <c r="N111" s="171"/>
      <c r="O111" s="171"/>
      <c r="P111" s="171"/>
      <c r="Q111" s="171"/>
    </row>
    <row r="112" spans="1:17" x14ac:dyDescent="0.35">
      <c r="A112" s="198" t="s">
        <v>100</v>
      </c>
      <c r="B112" s="199" t="s">
        <v>1232</v>
      </c>
      <c r="C112" s="199">
        <v>7</v>
      </c>
      <c r="D112" s="200">
        <v>0.52896539005091392</v>
      </c>
      <c r="E112" s="200">
        <v>0.63199428956656223</v>
      </c>
      <c r="F112" s="202">
        <v>25217</v>
      </c>
      <c r="G112" s="202">
        <v>15937</v>
      </c>
      <c r="H112" s="202">
        <v>7</v>
      </c>
      <c r="I112" s="202">
        <v>6</v>
      </c>
      <c r="J112" s="202">
        <v>1</v>
      </c>
      <c r="K112" s="202">
        <v>0</v>
      </c>
      <c r="L112" s="202">
        <v>0</v>
      </c>
      <c r="M112" s="200">
        <v>0.18610824719377103</v>
      </c>
      <c r="N112" s="171"/>
      <c r="O112" s="171"/>
      <c r="P112" s="171"/>
      <c r="Q112" s="171"/>
    </row>
    <row r="113" spans="1:17" x14ac:dyDescent="0.35">
      <c r="A113" s="198" t="s">
        <v>475</v>
      </c>
      <c r="B113" s="199" t="s">
        <v>1232</v>
      </c>
      <c r="C113" s="199">
        <v>4</v>
      </c>
      <c r="D113" s="200">
        <v>0.52723462475109439</v>
      </c>
      <c r="E113" s="200">
        <v>0.50570385151161479</v>
      </c>
      <c r="F113" s="202">
        <v>26561</v>
      </c>
      <c r="G113" s="202">
        <v>13432</v>
      </c>
      <c r="H113" s="202">
        <v>4</v>
      </c>
      <c r="I113" s="202">
        <v>4</v>
      </c>
      <c r="J113" s="202">
        <v>0</v>
      </c>
      <c r="K113" s="202">
        <v>0</v>
      </c>
      <c r="L113" s="202">
        <v>0</v>
      </c>
      <c r="M113" s="200">
        <v>0.27723462475109439</v>
      </c>
      <c r="N113" s="171"/>
      <c r="O113" s="171"/>
      <c r="P113" s="171"/>
      <c r="Q113" s="171"/>
    </row>
    <row r="114" spans="1:17" x14ac:dyDescent="0.35">
      <c r="A114" s="198" t="s">
        <v>42</v>
      </c>
      <c r="B114" s="199" t="s">
        <v>1234</v>
      </c>
      <c r="C114" s="199">
        <v>6</v>
      </c>
      <c r="D114" s="200">
        <v>0.50823390548754965</v>
      </c>
      <c r="E114" s="200">
        <v>0.59852476290832457</v>
      </c>
      <c r="F114" s="202">
        <v>42705</v>
      </c>
      <c r="G114" s="202">
        <v>25560</v>
      </c>
      <c r="H114" s="202">
        <v>6</v>
      </c>
      <c r="I114" s="202">
        <v>5</v>
      </c>
      <c r="J114" s="202">
        <v>1</v>
      </c>
      <c r="K114" s="202">
        <v>0</v>
      </c>
      <c r="L114" s="202">
        <v>0</v>
      </c>
      <c r="M114" s="200">
        <v>0.27490057215421648</v>
      </c>
      <c r="N114" s="171"/>
      <c r="O114" s="171"/>
      <c r="P114" s="171"/>
      <c r="Q114" s="171"/>
    </row>
    <row r="115" spans="1:17" x14ac:dyDescent="0.35">
      <c r="A115" s="198" t="s">
        <v>46</v>
      </c>
      <c r="B115" s="199" t="s">
        <v>1232</v>
      </c>
      <c r="C115" s="199">
        <v>4</v>
      </c>
      <c r="D115" s="200">
        <v>0.49811764963660926</v>
      </c>
      <c r="E115" s="200">
        <v>0.44982209723279626</v>
      </c>
      <c r="F115" s="202">
        <v>64361</v>
      </c>
      <c r="G115" s="202">
        <v>28951</v>
      </c>
      <c r="H115" s="202">
        <v>3</v>
      </c>
      <c r="I115" s="202">
        <v>3</v>
      </c>
      <c r="J115" s="202">
        <v>0</v>
      </c>
      <c r="K115" s="202">
        <v>0</v>
      </c>
      <c r="L115" s="202">
        <v>1</v>
      </c>
      <c r="M115" s="200">
        <v>0.21900182053869766</v>
      </c>
      <c r="N115" s="171"/>
      <c r="O115" s="171"/>
      <c r="P115" s="171"/>
      <c r="Q115" s="171"/>
    </row>
    <row r="116" spans="1:17" x14ac:dyDescent="0.35">
      <c r="A116" s="198" t="s">
        <v>141</v>
      </c>
      <c r="B116" s="199" t="s">
        <v>1232</v>
      </c>
      <c r="C116" s="199">
        <v>4</v>
      </c>
      <c r="D116" s="200">
        <v>0.49593587174843579</v>
      </c>
      <c r="E116" s="200">
        <v>0.34207525655644244</v>
      </c>
      <c r="F116" s="202">
        <v>17540</v>
      </c>
      <c r="G116" s="202">
        <v>6000</v>
      </c>
      <c r="H116" s="202">
        <v>4</v>
      </c>
      <c r="I116" s="202">
        <v>2</v>
      </c>
      <c r="J116" s="202">
        <v>2</v>
      </c>
      <c r="K116" s="202">
        <v>0</v>
      </c>
      <c r="L116" s="202">
        <v>0</v>
      </c>
      <c r="M116" s="200">
        <v>9.5935871748435778E-2</v>
      </c>
      <c r="N116" s="171"/>
      <c r="O116" s="171"/>
      <c r="P116" s="171"/>
      <c r="Q116" s="171"/>
    </row>
    <row r="117" spans="1:17" x14ac:dyDescent="0.35">
      <c r="A117" s="198" t="s">
        <v>181</v>
      </c>
      <c r="B117" s="199" t="s">
        <v>1232</v>
      </c>
      <c r="C117" s="199">
        <v>3</v>
      </c>
      <c r="D117" s="200">
        <v>0.47122056630660086</v>
      </c>
      <c r="E117" s="200">
        <v>0.47050546195149046</v>
      </c>
      <c r="F117" s="202">
        <v>27005</v>
      </c>
      <c r="G117" s="202">
        <v>12706</v>
      </c>
      <c r="H117" s="202">
        <v>3</v>
      </c>
      <c r="I117" s="202">
        <v>3</v>
      </c>
      <c r="J117" s="202">
        <v>0</v>
      </c>
      <c r="K117" s="202">
        <v>0</v>
      </c>
      <c r="L117" s="202">
        <v>0</v>
      </c>
      <c r="M117" s="200">
        <v>0.13788723297326747</v>
      </c>
      <c r="N117" s="171"/>
      <c r="O117" s="171"/>
      <c r="P117" s="171"/>
      <c r="Q117" s="171"/>
    </row>
    <row r="118" spans="1:17" x14ac:dyDescent="0.35">
      <c r="A118" s="198" t="s">
        <v>175</v>
      </c>
      <c r="B118" s="199" t="s">
        <v>1232</v>
      </c>
      <c r="C118" s="199">
        <v>1</v>
      </c>
      <c r="D118" s="200">
        <v>0.45627615062761506</v>
      </c>
      <c r="E118" s="200">
        <v>0.45627615062761506</v>
      </c>
      <c r="F118" s="202">
        <v>4780</v>
      </c>
      <c r="G118" s="202">
        <v>2181</v>
      </c>
      <c r="H118" s="202">
        <v>1</v>
      </c>
      <c r="I118" s="202">
        <v>1</v>
      </c>
      <c r="J118" s="202">
        <v>0</v>
      </c>
      <c r="K118" s="202">
        <v>0</v>
      </c>
      <c r="L118" s="202">
        <v>0</v>
      </c>
      <c r="M118" s="200">
        <v>0.256276150627615</v>
      </c>
      <c r="N118" s="171"/>
      <c r="O118" s="171"/>
      <c r="P118" s="171"/>
      <c r="Q118" s="171"/>
    </row>
    <row r="119" spans="1:17" x14ac:dyDescent="0.35">
      <c r="A119" s="198" t="s">
        <v>63</v>
      </c>
      <c r="B119" s="199" t="s">
        <v>1232</v>
      </c>
      <c r="C119" s="199">
        <v>4</v>
      </c>
      <c r="D119" s="200">
        <v>0.45460157066433399</v>
      </c>
      <c r="E119" s="200">
        <v>0.50449531930670122</v>
      </c>
      <c r="F119" s="202">
        <v>10789</v>
      </c>
      <c r="G119" s="202">
        <v>5443</v>
      </c>
      <c r="H119" s="202">
        <v>4</v>
      </c>
      <c r="I119" s="202">
        <v>3</v>
      </c>
      <c r="J119" s="202">
        <v>1</v>
      </c>
      <c r="K119" s="202">
        <v>0</v>
      </c>
      <c r="L119" s="202">
        <v>0</v>
      </c>
      <c r="M119" s="200">
        <v>0.15460157066433391</v>
      </c>
      <c r="N119" s="171"/>
      <c r="O119" s="171"/>
      <c r="P119" s="171"/>
      <c r="Q119" s="171"/>
    </row>
    <row r="120" spans="1:17" x14ac:dyDescent="0.35">
      <c r="A120" s="198" t="s">
        <v>55</v>
      </c>
      <c r="B120" s="199" t="s">
        <v>1232</v>
      </c>
      <c r="C120" s="199">
        <v>3</v>
      </c>
      <c r="D120" s="200">
        <v>0.45317052197726054</v>
      </c>
      <c r="E120" s="200">
        <v>0.38091171335307067</v>
      </c>
      <c r="F120" s="202">
        <v>52692</v>
      </c>
      <c r="G120" s="202">
        <v>20071</v>
      </c>
      <c r="H120" s="202">
        <v>3</v>
      </c>
      <c r="I120" s="202">
        <v>3</v>
      </c>
      <c r="J120" s="202">
        <v>0</v>
      </c>
      <c r="K120" s="202">
        <v>0</v>
      </c>
      <c r="L120" s="202">
        <v>0</v>
      </c>
      <c r="M120" s="200">
        <v>0.21983718864392718</v>
      </c>
      <c r="N120" s="171"/>
      <c r="O120" s="171"/>
      <c r="P120" s="171"/>
      <c r="Q120" s="171"/>
    </row>
    <row r="121" spans="1:17" x14ac:dyDescent="0.35">
      <c r="A121" s="198" t="s">
        <v>434</v>
      </c>
      <c r="B121" s="199" t="s">
        <v>1512</v>
      </c>
      <c r="C121" s="199">
        <v>2</v>
      </c>
      <c r="D121" s="200">
        <v>0.43959292472031497</v>
      </c>
      <c r="E121" s="200">
        <v>0.44561474364424791</v>
      </c>
      <c r="F121" s="202">
        <v>94088</v>
      </c>
      <c r="G121" s="202">
        <v>41927</v>
      </c>
      <c r="H121" s="202">
        <v>2</v>
      </c>
      <c r="I121" s="202">
        <v>2</v>
      </c>
      <c r="J121" s="202">
        <v>0</v>
      </c>
      <c r="K121" s="202">
        <v>0</v>
      </c>
      <c r="L121" s="202">
        <v>0</v>
      </c>
      <c r="M121" s="200">
        <v>3.9592924720315004E-2</v>
      </c>
      <c r="N121" s="171"/>
      <c r="O121" s="171"/>
      <c r="P121" s="171"/>
      <c r="Q121" s="171"/>
    </row>
    <row r="122" spans="1:17" x14ac:dyDescent="0.35">
      <c r="A122" s="198" t="s">
        <v>425</v>
      </c>
      <c r="B122" s="199" t="s">
        <v>1232</v>
      </c>
      <c r="C122" s="199">
        <v>2</v>
      </c>
      <c r="D122" s="200">
        <v>0.43618316065184382</v>
      </c>
      <c r="E122" s="200">
        <v>0.43630178248697687</v>
      </c>
      <c r="F122" s="202">
        <v>56438</v>
      </c>
      <c r="G122" s="202">
        <v>24624</v>
      </c>
      <c r="H122" s="202">
        <v>2</v>
      </c>
      <c r="I122" s="202">
        <v>2</v>
      </c>
      <c r="J122" s="202">
        <v>0</v>
      </c>
      <c r="K122" s="202">
        <v>0</v>
      </c>
      <c r="L122" s="202">
        <v>0</v>
      </c>
      <c r="M122" s="200">
        <v>0.13618316065184399</v>
      </c>
      <c r="N122" s="171"/>
      <c r="O122" s="171"/>
      <c r="P122" s="171"/>
      <c r="Q122" s="171"/>
    </row>
    <row r="123" spans="1:17" x14ac:dyDescent="0.35">
      <c r="A123" s="198" t="s">
        <v>118</v>
      </c>
      <c r="B123" s="199" t="s">
        <v>1232</v>
      </c>
      <c r="C123" s="199">
        <v>5</v>
      </c>
      <c r="D123" s="200">
        <v>0.42830869091589807</v>
      </c>
      <c r="E123" s="200">
        <v>0.50715657301611083</v>
      </c>
      <c r="F123" s="202">
        <v>73429</v>
      </c>
      <c r="G123" s="202">
        <v>37240</v>
      </c>
      <c r="H123" s="202">
        <v>5</v>
      </c>
      <c r="I123" s="202">
        <v>4</v>
      </c>
      <c r="J123" s="202">
        <v>1</v>
      </c>
      <c r="K123" s="202">
        <v>0</v>
      </c>
      <c r="L123" s="202">
        <v>0</v>
      </c>
      <c r="M123" s="200">
        <v>0.20830869091589807</v>
      </c>
      <c r="N123" s="171"/>
      <c r="O123" s="171"/>
      <c r="P123" s="171"/>
      <c r="Q123" s="171"/>
    </row>
    <row r="124" spans="1:17" x14ac:dyDescent="0.35">
      <c r="A124" s="198" t="s">
        <v>800</v>
      </c>
      <c r="B124" s="199" t="s">
        <v>1232</v>
      </c>
      <c r="C124" s="199">
        <v>2</v>
      </c>
      <c r="D124" s="200">
        <v>0.4157824171151932</v>
      </c>
      <c r="E124" s="200">
        <v>0.40835326272634098</v>
      </c>
      <c r="F124" s="202">
        <v>11708</v>
      </c>
      <c r="G124" s="202">
        <v>4781</v>
      </c>
      <c r="H124" s="202">
        <v>2</v>
      </c>
      <c r="I124" s="202">
        <v>1</v>
      </c>
      <c r="J124" s="202">
        <v>1</v>
      </c>
      <c r="K124" s="202">
        <v>0</v>
      </c>
      <c r="L124" s="202">
        <v>0</v>
      </c>
      <c r="M124" s="200">
        <v>1.5782417115193247E-2</v>
      </c>
      <c r="N124" s="171"/>
      <c r="O124" s="171"/>
      <c r="P124" s="171"/>
      <c r="Q124" s="171"/>
    </row>
    <row r="125" spans="1:17" x14ac:dyDescent="0.35">
      <c r="A125" s="198" t="s">
        <v>27</v>
      </c>
      <c r="B125" s="199" t="s">
        <v>1232</v>
      </c>
      <c r="C125" s="199">
        <v>3</v>
      </c>
      <c r="D125" s="200">
        <v>0.40926524319646979</v>
      </c>
      <c r="E125" s="200">
        <v>0.39987044234684432</v>
      </c>
      <c r="F125" s="202">
        <v>21612</v>
      </c>
      <c r="G125" s="202">
        <v>8642</v>
      </c>
      <c r="H125" s="202">
        <v>3</v>
      </c>
      <c r="I125" s="202">
        <v>1</v>
      </c>
      <c r="J125" s="202">
        <v>2</v>
      </c>
      <c r="K125" s="202">
        <v>0</v>
      </c>
      <c r="L125" s="202">
        <v>0</v>
      </c>
      <c r="M125" s="200">
        <v>2.5931909863136676E-2</v>
      </c>
      <c r="N125" s="171"/>
      <c r="O125" s="171"/>
      <c r="P125" s="171"/>
      <c r="Q125" s="171"/>
    </row>
    <row r="126" spans="1:17" x14ac:dyDescent="0.35">
      <c r="A126" s="198" t="s">
        <v>644</v>
      </c>
      <c r="B126" s="199" t="s">
        <v>1230</v>
      </c>
      <c r="C126" s="199">
        <v>2</v>
      </c>
      <c r="D126" s="200">
        <v>0.4056903862782345</v>
      </c>
      <c r="E126" s="200">
        <v>0.40598516949152541</v>
      </c>
      <c r="F126" s="202">
        <v>3776</v>
      </c>
      <c r="G126" s="202">
        <v>1533</v>
      </c>
      <c r="H126" s="202">
        <v>2</v>
      </c>
      <c r="I126" s="202">
        <v>2</v>
      </c>
      <c r="J126" s="202">
        <v>0</v>
      </c>
      <c r="K126" s="202">
        <v>0</v>
      </c>
      <c r="L126" s="202">
        <v>0</v>
      </c>
      <c r="M126" s="200">
        <v>0.20569038627823449</v>
      </c>
      <c r="N126" s="171"/>
      <c r="O126" s="171"/>
      <c r="P126" s="171"/>
      <c r="Q126" s="171"/>
    </row>
    <row r="127" spans="1:17" x14ac:dyDescent="0.35">
      <c r="A127" s="198" t="s">
        <v>649</v>
      </c>
      <c r="B127" s="199" t="s">
        <v>1230</v>
      </c>
      <c r="C127" s="199">
        <v>1</v>
      </c>
      <c r="D127" s="200">
        <v>0.40453786614053727</v>
      </c>
      <c r="E127" s="200">
        <v>0.40453786614053727</v>
      </c>
      <c r="F127" s="202">
        <v>13178</v>
      </c>
      <c r="G127" s="202">
        <v>5331</v>
      </c>
      <c r="H127" s="202">
        <v>1</v>
      </c>
      <c r="I127" s="202">
        <v>1</v>
      </c>
      <c r="J127" s="202">
        <v>0</v>
      </c>
      <c r="K127" s="202">
        <v>0</v>
      </c>
      <c r="L127" s="202">
        <v>0</v>
      </c>
      <c r="M127" s="200">
        <v>0.25453786614053697</v>
      </c>
      <c r="N127" s="171"/>
      <c r="O127" s="171"/>
      <c r="P127" s="171"/>
      <c r="Q127" s="171"/>
    </row>
    <row r="128" spans="1:17" x14ac:dyDescent="0.35">
      <c r="A128" s="198" t="s">
        <v>412</v>
      </c>
      <c r="B128" s="199" t="s">
        <v>1232</v>
      </c>
      <c r="C128" s="199">
        <v>4</v>
      </c>
      <c r="D128" s="200">
        <v>0.39086200056880094</v>
      </c>
      <c r="E128" s="200">
        <v>0.40792790521804889</v>
      </c>
      <c r="F128" s="202">
        <v>47604</v>
      </c>
      <c r="G128" s="202">
        <v>19419</v>
      </c>
      <c r="H128" s="202">
        <v>2</v>
      </c>
      <c r="I128" s="202">
        <v>2</v>
      </c>
      <c r="J128" s="202">
        <v>0</v>
      </c>
      <c r="K128" s="202">
        <v>0</v>
      </c>
      <c r="L128" s="202">
        <v>2</v>
      </c>
      <c r="M128" s="200">
        <v>7.8849737516695398E-2</v>
      </c>
      <c r="N128" s="171"/>
      <c r="O128" s="171"/>
      <c r="P128" s="171"/>
      <c r="Q128" s="171"/>
    </row>
    <row r="129" spans="1:17" x14ac:dyDescent="0.35">
      <c r="A129" s="198" t="s">
        <v>21</v>
      </c>
      <c r="B129" s="199" t="s">
        <v>1232</v>
      </c>
      <c r="C129" s="199">
        <v>3</v>
      </c>
      <c r="D129" s="200">
        <v>0.36976208383349979</v>
      </c>
      <c r="E129" s="200">
        <v>0.50920371129410891</v>
      </c>
      <c r="F129" s="202">
        <v>53674</v>
      </c>
      <c r="G129" s="202">
        <v>27331</v>
      </c>
      <c r="H129" s="202">
        <v>3</v>
      </c>
      <c r="I129" s="202">
        <v>3</v>
      </c>
      <c r="J129" s="202">
        <v>0</v>
      </c>
      <c r="K129" s="202">
        <v>0</v>
      </c>
      <c r="L129" s="202">
        <v>0</v>
      </c>
      <c r="M129" s="200">
        <v>8.6428750500166296E-2</v>
      </c>
      <c r="N129" s="171"/>
      <c r="O129" s="171"/>
      <c r="P129" s="171"/>
      <c r="Q129" s="171"/>
    </row>
    <row r="130" spans="1:17" x14ac:dyDescent="0.35">
      <c r="A130" s="198" t="s">
        <v>86</v>
      </c>
      <c r="B130" s="199" t="s">
        <v>1232</v>
      </c>
      <c r="C130" s="199">
        <v>2</v>
      </c>
      <c r="D130" s="200">
        <v>0.35726721173976406</v>
      </c>
      <c r="E130" s="200">
        <v>0.35268185157972082</v>
      </c>
      <c r="F130" s="202">
        <v>5444</v>
      </c>
      <c r="G130" s="202">
        <v>1920</v>
      </c>
      <c r="H130" s="202">
        <v>2</v>
      </c>
      <c r="I130" s="202">
        <v>2</v>
      </c>
      <c r="J130" s="202">
        <v>0</v>
      </c>
      <c r="K130" s="202">
        <v>0</v>
      </c>
      <c r="L130" s="202">
        <v>0</v>
      </c>
      <c r="M130" s="200">
        <v>8.2267211739764062E-2</v>
      </c>
      <c r="N130" s="171"/>
      <c r="O130" s="171"/>
      <c r="P130" s="171"/>
      <c r="Q130" s="171"/>
    </row>
    <row r="131" spans="1:17" x14ac:dyDescent="0.35">
      <c r="A131" s="198" t="s">
        <v>156</v>
      </c>
      <c r="B131" s="199" t="s">
        <v>1230</v>
      </c>
      <c r="C131" s="199">
        <v>2</v>
      </c>
      <c r="D131" s="200">
        <v>0.35072198556597489</v>
      </c>
      <c r="E131" s="200">
        <v>0.3499875164960588</v>
      </c>
      <c r="F131" s="202">
        <v>140185</v>
      </c>
      <c r="G131" s="202">
        <v>49063</v>
      </c>
      <c r="H131" s="202">
        <v>2</v>
      </c>
      <c r="I131" s="202">
        <v>2</v>
      </c>
      <c r="J131" s="202">
        <v>0</v>
      </c>
      <c r="K131" s="202">
        <v>0</v>
      </c>
      <c r="L131" s="202">
        <v>0</v>
      </c>
      <c r="M131" s="200">
        <v>0.15072198556597449</v>
      </c>
      <c r="N131" s="171"/>
      <c r="O131" s="171"/>
      <c r="P131" s="171"/>
      <c r="Q131" s="171"/>
    </row>
    <row r="132" spans="1:17" x14ac:dyDescent="0.35">
      <c r="A132" s="198" t="s">
        <v>868</v>
      </c>
      <c r="B132" s="199" t="s">
        <v>1512</v>
      </c>
      <c r="C132" s="199">
        <v>3</v>
      </c>
      <c r="D132" s="200">
        <v>0.34866520306635956</v>
      </c>
      <c r="E132" s="200">
        <v>0.36145035752705185</v>
      </c>
      <c r="F132" s="202">
        <v>15803</v>
      </c>
      <c r="G132" s="202">
        <v>5712</v>
      </c>
      <c r="H132" s="202">
        <v>3</v>
      </c>
      <c r="I132" s="202">
        <v>0</v>
      </c>
      <c r="J132" s="202">
        <v>3</v>
      </c>
      <c r="K132" s="202">
        <v>0</v>
      </c>
      <c r="L132" s="202">
        <v>0</v>
      </c>
      <c r="M132" s="200">
        <v>-0.15133479693364035</v>
      </c>
      <c r="N132" s="171"/>
      <c r="O132" s="171"/>
      <c r="P132" s="171"/>
      <c r="Q132" s="171"/>
    </row>
    <row r="133" spans="1:17" x14ac:dyDescent="0.35">
      <c r="A133" s="198" t="s">
        <v>448</v>
      </c>
      <c r="B133" s="199" t="s">
        <v>1232</v>
      </c>
      <c r="C133" s="199">
        <v>4</v>
      </c>
      <c r="D133" s="200">
        <v>0.34785892705638033</v>
      </c>
      <c r="E133" s="200">
        <v>0.39728027744820665</v>
      </c>
      <c r="F133" s="202">
        <v>10957</v>
      </c>
      <c r="G133" s="202">
        <v>4353</v>
      </c>
      <c r="H133" s="202">
        <v>4</v>
      </c>
      <c r="I133" s="202">
        <v>3</v>
      </c>
      <c r="J133" s="202">
        <v>1</v>
      </c>
      <c r="K133" s="202">
        <v>0</v>
      </c>
      <c r="L133" s="202">
        <v>0</v>
      </c>
      <c r="M133" s="200">
        <v>9.7858927056380413E-2</v>
      </c>
      <c r="N133" s="171"/>
      <c r="O133" s="171"/>
      <c r="P133" s="171"/>
      <c r="Q133" s="171"/>
    </row>
    <row r="134" spans="1:17" x14ac:dyDescent="0.35">
      <c r="A134" s="198" t="s">
        <v>291</v>
      </c>
      <c r="B134" s="199" t="s">
        <v>1232</v>
      </c>
      <c r="C134" s="199">
        <v>5</v>
      </c>
      <c r="D134" s="200">
        <v>0.3255563192451924</v>
      </c>
      <c r="E134" s="200">
        <v>0.34729036881856773</v>
      </c>
      <c r="F134" s="202">
        <v>36278</v>
      </c>
      <c r="G134" s="202">
        <v>12599</v>
      </c>
      <c r="H134" s="202">
        <v>5</v>
      </c>
      <c r="I134" s="202">
        <v>2</v>
      </c>
      <c r="J134" s="202">
        <v>3</v>
      </c>
      <c r="K134" s="202">
        <v>0</v>
      </c>
      <c r="L134" s="202">
        <v>0</v>
      </c>
      <c r="M134" s="200">
        <v>-0.15444368075480758</v>
      </c>
      <c r="N134" s="171"/>
      <c r="O134" s="171"/>
      <c r="P134" s="171"/>
      <c r="Q134" s="171"/>
    </row>
    <row r="135" spans="1:17" x14ac:dyDescent="0.35">
      <c r="A135" s="198" t="s">
        <v>230</v>
      </c>
      <c r="B135" s="199" t="s">
        <v>1232</v>
      </c>
      <c r="C135" s="199">
        <v>3</v>
      </c>
      <c r="D135" s="200">
        <v>0.31590727890986164</v>
      </c>
      <c r="E135" s="200">
        <v>0.32247155829245383</v>
      </c>
      <c r="F135" s="202">
        <v>47905</v>
      </c>
      <c r="G135" s="202">
        <v>15448</v>
      </c>
      <c r="H135" s="202">
        <v>3</v>
      </c>
      <c r="I135" s="202">
        <v>0</v>
      </c>
      <c r="J135" s="202">
        <v>3</v>
      </c>
      <c r="K135" s="202">
        <v>0</v>
      </c>
      <c r="L135" s="202">
        <v>0</v>
      </c>
      <c r="M135" s="200">
        <v>-0.13409272109013853</v>
      </c>
      <c r="N135" s="171"/>
      <c r="O135" s="171"/>
      <c r="P135" s="171"/>
      <c r="Q135" s="171"/>
    </row>
    <row r="136" spans="1:17" x14ac:dyDescent="0.35">
      <c r="A136" s="198" t="s">
        <v>178</v>
      </c>
      <c r="B136" s="199" t="s">
        <v>1230</v>
      </c>
      <c r="C136" s="199">
        <v>3</v>
      </c>
      <c r="D136" s="200">
        <v>0.30991015324669008</v>
      </c>
      <c r="E136" s="200">
        <v>0.31204352727807461</v>
      </c>
      <c r="F136" s="202">
        <v>20401</v>
      </c>
      <c r="G136" s="202">
        <v>6366</v>
      </c>
      <c r="H136" s="202">
        <v>3</v>
      </c>
      <c r="I136" s="202">
        <v>2</v>
      </c>
      <c r="J136" s="202">
        <v>1</v>
      </c>
      <c r="K136" s="202">
        <v>0</v>
      </c>
      <c r="L136" s="202">
        <v>0</v>
      </c>
      <c r="M136" s="200">
        <v>4.3243486580023499E-2</v>
      </c>
      <c r="N136" s="171"/>
      <c r="O136" s="171"/>
      <c r="P136" s="171"/>
      <c r="Q136" s="171"/>
    </row>
    <row r="137" spans="1:17" x14ac:dyDescent="0.35">
      <c r="A137" s="198" t="s">
        <v>786</v>
      </c>
      <c r="B137" s="199" t="s">
        <v>1230</v>
      </c>
      <c r="C137" s="199">
        <v>2</v>
      </c>
      <c r="D137" s="200">
        <v>0.29990497139397021</v>
      </c>
      <c r="E137" s="200">
        <v>0.3371719057993568</v>
      </c>
      <c r="F137" s="202">
        <v>9639</v>
      </c>
      <c r="G137" s="202">
        <v>3250</v>
      </c>
      <c r="H137" s="202">
        <v>2</v>
      </c>
      <c r="I137" s="202">
        <v>1</v>
      </c>
      <c r="J137" s="202">
        <v>1</v>
      </c>
      <c r="K137" s="202">
        <v>0</v>
      </c>
      <c r="L137" s="202">
        <v>0</v>
      </c>
      <c r="M137" s="200">
        <v>-9.5028606029751161E-5</v>
      </c>
      <c r="N137" s="171"/>
      <c r="O137" s="171"/>
      <c r="P137" s="171"/>
      <c r="Q137" s="171"/>
    </row>
    <row r="138" spans="1:17" x14ac:dyDescent="0.35">
      <c r="A138" s="198" t="s">
        <v>379</v>
      </c>
      <c r="B138" s="199" t="s">
        <v>1232</v>
      </c>
      <c r="C138" s="199">
        <v>4</v>
      </c>
      <c r="D138" s="200">
        <v>0.27159321596796782</v>
      </c>
      <c r="E138" s="200">
        <v>0.29777937391512538</v>
      </c>
      <c r="F138" s="202">
        <v>16707</v>
      </c>
      <c r="G138" s="202">
        <v>4975</v>
      </c>
      <c r="H138" s="202">
        <v>4</v>
      </c>
      <c r="I138" s="202">
        <v>0</v>
      </c>
      <c r="J138" s="202">
        <v>4</v>
      </c>
      <c r="K138" s="202">
        <v>0</v>
      </c>
      <c r="L138" s="202">
        <v>0</v>
      </c>
      <c r="M138" s="200">
        <v>-0.17840678403203231</v>
      </c>
      <c r="N138" s="171"/>
      <c r="O138" s="171"/>
      <c r="P138" s="171"/>
      <c r="Q138" s="171"/>
    </row>
    <row r="139" spans="1:17" x14ac:dyDescent="0.35">
      <c r="A139" s="198" t="s">
        <v>31</v>
      </c>
      <c r="B139" s="199" t="s">
        <v>1234</v>
      </c>
      <c r="C139" s="199">
        <v>2</v>
      </c>
      <c r="D139" s="200">
        <v>0.26729010557113092</v>
      </c>
      <c r="E139" s="200">
        <v>0.26707549941245595</v>
      </c>
      <c r="F139" s="202">
        <v>81696</v>
      </c>
      <c r="G139" s="202">
        <v>21819</v>
      </c>
      <c r="H139" s="202">
        <v>0</v>
      </c>
      <c r="I139" s="202">
        <v>0</v>
      </c>
      <c r="J139" s="202">
        <v>0</v>
      </c>
      <c r="K139" s="202">
        <v>0</v>
      </c>
      <c r="L139" s="202">
        <v>2</v>
      </c>
      <c r="M139" s="200"/>
      <c r="N139" s="171"/>
      <c r="O139" s="171"/>
      <c r="P139" s="171"/>
      <c r="Q139" s="171"/>
    </row>
    <row r="140" spans="1:17" x14ac:dyDescent="0.35">
      <c r="A140" s="198" t="s">
        <v>613</v>
      </c>
      <c r="B140" s="199" t="s">
        <v>1230</v>
      </c>
      <c r="C140" s="199">
        <v>1</v>
      </c>
      <c r="D140" s="200">
        <v>0.260321869910911</v>
      </c>
      <c r="E140" s="200">
        <v>0.260321869910911</v>
      </c>
      <c r="F140" s="202">
        <v>20878</v>
      </c>
      <c r="G140" s="202">
        <v>5435</v>
      </c>
      <c r="H140" s="202">
        <v>1</v>
      </c>
      <c r="I140" s="202">
        <v>1</v>
      </c>
      <c r="J140" s="202">
        <v>0</v>
      </c>
      <c r="K140" s="202">
        <v>0</v>
      </c>
      <c r="L140" s="202">
        <v>0</v>
      </c>
      <c r="M140" s="200">
        <v>0.11032186991091099</v>
      </c>
      <c r="N140" s="171"/>
      <c r="O140" s="171"/>
      <c r="P140" s="171"/>
      <c r="Q140" s="171"/>
    </row>
    <row r="141" spans="1:17" x14ac:dyDescent="0.35">
      <c r="A141" s="198" t="s">
        <v>265</v>
      </c>
      <c r="B141" s="199" t="s">
        <v>1230</v>
      </c>
      <c r="C141" s="199">
        <v>2</v>
      </c>
      <c r="D141" s="200">
        <v>0.23122101072675189</v>
      </c>
      <c r="E141" s="200">
        <v>0.31135206635640478</v>
      </c>
      <c r="F141" s="202">
        <v>164807</v>
      </c>
      <c r="G141" s="202">
        <v>51313</v>
      </c>
      <c r="H141" s="202">
        <v>2</v>
      </c>
      <c r="I141" s="202">
        <v>0</v>
      </c>
      <c r="J141" s="202">
        <v>2</v>
      </c>
      <c r="K141" s="202">
        <v>0</v>
      </c>
      <c r="L141" s="202">
        <v>0</v>
      </c>
      <c r="M141" s="200">
        <v>-0.36877898927324804</v>
      </c>
      <c r="N141" s="171"/>
      <c r="O141" s="171"/>
      <c r="P141" s="171"/>
      <c r="Q141" s="171"/>
    </row>
    <row r="142" spans="1:17" x14ac:dyDescent="0.35">
      <c r="A142" s="198" t="s">
        <v>159</v>
      </c>
      <c r="B142" s="199" t="s">
        <v>1232</v>
      </c>
      <c r="C142" s="199">
        <v>4</v>
      </c>
      <c r="D142" s="200">
        <v>0.22667866505295603</v>
      </c>
      <c r="E142" s="200">
        <v>0.29513574660633485</v>
      </c>
      <c r="F142" s="202">
        <v>8840</v>
      </c>
      <c r="G142" s="202">
        <v>2609</v>
      </c>
      <c r="H142" s="202">
        <v>4</v>
      </c>
      <c r="I142" s="202">
        <v>1</v>
      </c>
      <c r="J142" s="202">
        <v>3</v>
      </c>
      <c r="K142" s="202">
        <v>0</v>
      </c>
      <c r="L142" s="202">
        <v>0</v>
      </c>
      <c r="M142" s="200">
        <v>-2.3321334947043977E-2</v>
      </c>
      <c r="N142" s="171"/>
      <c r="O142" s="171"/>
      <c r="P142" s="171"/>
      <c r="Q142" s="171"/>
    </row>
    <row r="143" spans="1:17" x14ac:dyDescent="0.35">
      <c r="A143" s="198" t="s">
        <v>386</v>
      </c>
      <c r="B143" s="199" t="s">
        <v>1232</v>
      </c>
      <c r="C143" s="199">
        <v>3</v>
      </c>
      <c r="D143" s="200">
        <v>0.22412977169198278</v>
      </c>
      <c r="E143" s="200">
        <v>0.24425485069492225</v>
      </c>
      <c r="F143" s="202">
        <v>14534</v>
      </c>
      <c r="G143" s="202">
        <v>3550</v>
      </c>
      <c r="H143" s="202">
        <v>3</v>
      </c>
      <c r="I143" s="202">
        <v>2</v>
      </c>
      <c r="J143" s="202">
        <v>1</v>
      </c>
      <c r="K143" s="202">
        <v>0</v>
      </c>
      <c r="L143" s="202">
        <v>0</v>
      </c>
      <c r="M143" s="200">
        <v>2.4129771691982594E-2</v>
      </c>
      <c r="N143" s="171"/>
      <c r="O143" s="171"/>
      <c r="P143" s="171"/>
      <c r="Q143" s="171"/>
    </row>
    <row r="144" spans="1:17" x14ac:dyDescent="0.35">
      <c r="A144" s="198" t="s">
        <v>247</v>
      </c>
      <c r="B144" s="199" t="s">
        <v>1230</v>
      </c>
      <c r="C144" s="199">
        <v>1</v>
      </c>
      <c r="D144" s="200">
        <v>0.22117841575229219</v>
      </c>
      <c r="E144" s="200">
        <v>0.22117841575229219</v>
      </c>
      <c r="F144" s="202">
        <v>13306</v>
      </c>
      <c r="G144" s="202">
        <v>2943</v>
      </c>
      <c r="H144" s="202">
        <v>1</v>
      </c>
      <c r="I144" s="202">
        <v>0</v>
      </c>
      <c r="J144" s="202">
        <v>1</v>
      </c>
      <c r="K144" s="202">
        <v>0</v>
      </c>
      <c r="L144" s="202">
        <v>0</v>
      </c>
      <c r="M144" s="200">
        <v>-7.8821584247707799E-2</v>
      </c>
      <c r="N144" s="171"/>
      <c r="O144" s="171"/>
      <c r="P144" s="171"/>
      <c r="Q144" s="171"/>
    </row>
    <row r="145" spans="1:17" x14ac:dyDescent="0.35">
      <c r="A145" s="198" t="s">
        <v>234</v>
      </c>
      <c r="B145" s="199" t="s">
        <v>1230</v>
      </c>
      <c r="C145" s="199">
        <v>3</v>
      </c>
      <c r="D145" s="200">
        <v>0.16868372430898351</v>
      </c>
      <c r="E145" s="200">
        <v>0.16441761363636365</v>
      </c>
      <c r="F145" s="202">
        <v>8448</v>
      </c>
      <c r="G145" s="202">
        <v>1389</v>
      </c>
      <c r="H145" s="202">
        <v>3</v>
      </c>
      <c r="I145" s="202">
        <v>2</v>
      </c>
      <c r="J145" s="202">
        <v>1</v>
      </c>
      <c r="K145" s="202">
        <v>0</v>
      </c>
      <c r="L145" s="202">
        <v>0</v>
      </c>
      <c r="M145" s="200">
        <v>-0.31464960902435063</v>
      </c>
      <c r="N145" s="171"/>
      <c r="O145" s="171"/>
      <c r="P145" s="171"/>
      <c r="Q145" s="171"/>
    </row>
    <row r="148" spans="1:17" ht="20" customHeight="1" x14ac:dyDescent="0.35">
      <c r="A148" s="278" t="s">
        <v>1570</v>
      </c>
      <c r="B148" s="278"/>
      <c r="C148" s="278"/>
      <c r="D148" s="278"/>
      <c r="E148" s="278"/>
      <c r="F148" s="278"/>
      <c r="G148" s="278"/>
      <c r="H148" s="278"/>
      <c r="I148" s="278"/>
      <c r="J148" s="278"/>
      <c r="K148" s="278"/>
      <c r="L148" s="278"/>
      <c r="M148" s="278"/>
      <c r="N148" s="278"/>
      <c r="O148" s="278"/>
      <c r="P148" s="278"/>
      <c r="Q148" s="278"/>
    </row>
    <row r="149" spans="1:17" ht="28" customHeight="1" x14ac:dyDescent="0.35">
      <c r="A149" s="192" t="s">
        <v>1571</v>
      </c>
      <c r="B149" s="194" t="s">
        <v>1384</v>
      </c>
      <c r="C149" s="194" t="s">
        <v>1334</v>
      </c>
      <c r="D149" s="194" t="s">
        <v>1335</v>
      </c>
      <c r="E149" s="206" t="s">
        <v>1336</v>
      </c>
      <c r="F149" s="206" t="s">
        <v>1337</v>
      </c>
      <c r="G149" s="207" t="s">
        <v>1226</v>
      </c>
      <c r="H149" s="207" t="s">
        <v>1227</v>
      </c>
      <c r="I149" s="194" t="s">
        <v>1459</v>
      </c>
      <c r="J149" s="194" t="s">
        <v>1460</v>
      </c>
      <c r="K149" s="194" t="s">
        <v>1461</v>
      </c>
      <c r="L149" s="194" t="s">
        <v>1541</v>
      </c>
      <c r="M149" s="194" t="s">
        <v>1505</v>
      </c>
      <c r="N149" s="206" t="s">
        <v>1462</v>
      </c>
      <c r="O149" s="175"/>
      <c r="P149" s="175"/>
      <c r="Q149" s="175"/>
    </row>
    <row r="150" spans="1:17" x14ac:dyDescent="0.35">
      <c r="A150" s="198">
        <v>1</v>
      </c>
      <c r="B150" s="199" t="s">
        <v>1231</v>
      </c>
      <c r="C150" s="199" t="s">
        <v>201</v>
      </c>
      <c r="D150" s="199">
        <v>1</v>
      </c>
      <c r="E150" s="200">
        <v>0.80971299837018107</v>
      </c>
      <c r="F150" s="200">
        <v>0.80971299837018107</v>
      </c>
      <c r="G150" s="202">
        <v>442994</v>
      </c>
      <c r="H150" s="202">
        <v>358698</v>
      </c>
      <c r="I150" s="202">
        <v>1</v>
      </c>
      <c r="J150" s="202">
        <v>1</v>
      </c>
      <c r="K150" s="202">
        <v>0</v>
      </c>
      <c r="L150" s="202">
        <v>0</v>
      </c>
      <c r="M150" s="202">
        <v>0</v>
      </c>
      <c r="N150" s="200">
        <v>5.9712998370181097E-2</v>
      </c>
      <c r="O150" s="171"/>
      <c r="P150" s="171"/>
      <c r="Q150" s="171"/>
    </row>
    <row r="151" spans="1:17" x14ac:dyDescent="0.35">
      <c r="A151" s="198">
        <v>1</v>
      </c>
      <c r="B151" s="199" t="s">
        <v>1230</v>
      </c>
      <c r="C151" s="199" t="s">
        <v>644</v>
      </c>
      <c r="D151" s="199">
        <v>2</v>
      </c>
      <c r="E151" s="200">
        <v>0.4056903862782345</v>
      </c>
      <c r="F151" s="200">
        <v>0.40598516949152541</v>
      </c>
      <c r="G151" s="202">
        <v>3776</v>
      </c>
      <c r="H151" s="202">
        <v>1533</v>
      </c>
      <c r="I151" s="202">
        <v>2</v>
      </c>
      <c r="J151" s="202">
        <v>2</v>
      </c>
      <c r="K151" s="202">
        <v>0</v>
      </c>
      <c r="L151" s="202">
        <v>0</v>
      </c>
      <c r="M151" s="202">
        <v>0</v>
      </c>
      <c r="N151" s="200">
        <v>0.20569038627823449</v>
      </c>
      <c r="O151" s="171"/>
      <c r="P151" s="171"/>
      <c r="Q151" s="171"/>
    </row>
    <row r="152" spans="1:17" x14ac:dyDescent="0.35">
      <c r="A152" s="198">
        <v>2</v>
      </c>
      <c r="B152" s="199" t="s">
        <v>1230</v>
      </c>
      <c r="C152" s="199" t="s">
        <v>649</v>
      </c>
      <c r="D152" s="199">
        <v>1</v>
      </c>
      <c r="E152" s="200">
        <v>0.40453786614053727</v>
      </c>
      <c r="F152" s="200">
        <v>0.40453786614053727</v>
      </c>
      <c r="G152" s="202">
        <v>13178</v>
      </c>
      <c r="H152" s="202">
        <v>5331</v>
      </c>
      <c r="I152" s="202">
        <v>1</v>
      </c>
      <c r="J152" s="202">
        <v>1</v>
      </c>
      <c r="K152" s="202">
        <v>0</v>
      </c>
      <c r="L152" s="202">
        <v>0</v>
      </c>
      <c r="M152" s="202">
        <v>0</v>
      </c>
      <c r="N152" s="200">
        <v>0.25453786614053697</v>
      </c>
      <c r="O152" s="171"/>
      <c r="P152" s="171"/>
      <c r="Q152" s="171"/>
    </row>
    <row r="153" spans="1:17" x14ac:dyDescent="0.35">
      <c r="A153" s="198">
        <v>3</v>
      </c>
      <c r="B153" s="199" t="s">
        <v>1230</v>
      </c>
      <c r="C153" s="199" t="s">
        <v>156</v>
      </c>
      <c r="D153" s="199">
        <v>2</v>
      </c>
      <c r="E153" s="200">
        <v>0.35072198556597489</v>
      </c>
      <c r="F153" s="200">
        <v>0.3499875164960588</v>
      </c>
      <c r="G153" s="202">
        <v>140185</v>
      </c>
      <c r="H153" s="202">
        <v>49063</v>
      </c>
      <c r="I153" s="202">
        <v>2</v>
      </c>
      <c r="J153" s="202">
        <v>2</v>
      </c>
      <c r="K153" s="202">
        <v>0</v>
      </c>
      <c r="L153" s="202">
        <v>0</v>
      </c>
      <c r="M153" s="202">
        <v>0</v>
      </c>
      <c r="N153" s="200">
        <v>0.15072198556597449</v>
      </c>
      <c r="O153" s="171"/>
      <c r="P153" s="171"/>
      <c r="Q153" s="171"/>
    </row>
    <row r="154" spans="1:17" x14ac:dyDescent="0.35">
      <c r="A154" s="198">
        <v>4</v>
      </c>
      <c r="B154" s="199" t="s">
        <v>1230</v>
      </c>
      <c r="C154" s="199" t="s">
        <v>786</v>
      </c>
      <c r="D154" s="199">
        <v>2</v>
      </c>
      <c r="E154" s="200">
        <v>0.29990497139397021</v>
      </c>
      <c r="F154" s="200">
        <v>0.3371719057993568</v>
      </c>
      <c r="G154" s="202">
        <v>9639</v>
      </c>
      <c r="H154" s="202">
        <v>3250</v>
      </c>
      <c r="I154" s="202">
        <v>2</v>
      </c>
      <c r="J154" s="202">
        <v>1</v>
      </c>
      <c r="K154" s="202">
        <v>1</v>
      </c>
      <c r="L154" s="202">
        <v>0</v>
      </c>
      <c r="M154" s="202">
        <v>0</v>
      </c>
      <c r="N154" s="200">
        <v>-9.5028606029751161E-5</v>
      </c>
      <c r="O154" s="171"/>
      <c r="P154" s="171"/>
      <c r="Q154" s="171"/>
    </row>
    <row r="155" spans="1:17" x14ac:dyDescent="0.35">
      <c r="A155" s="198">
        <v>5</v>
      </c>
      <c r="B155" s="199" t="s">
        <v>1230</v>
      </c>
      <c r="C155" s="199" t="s">
        <v>178</v>
      </c>
      <c r="D155" s="199">
        <v>3</v>
      </c>
      <c r="E155" s="200">
        <v>0.30991015324669008</v>
      </c>
      <c r="F155" s="200">
        <v>0.31204352727807461</v>
      </c>
      <c r="G155" s="202">
        <v>20401</v>
      </c>
      <c r="H155" s="202">
        <v>6366</v>
      </c>
      <c r="I155" s="202">
        <v>3</v>
      </c>
      <c r="J155" s="202">
        <v>2</v>
      </c>
      <c r="K155" s="202">
        <v>1</v>
      </c>
      <c r="L155" s="202">
        <v>0</v>
      </c>
      <c r="M155" s="202">
        <v>0</v>
      </c>
      <c r="N155" s="200">
        <v>4.3243486580023499E-2</v>
      </c>
      <c r="O155" s="171"/>
      <c r="P155" s="171"/>
      <c r="Q155" s="171"/>
    </row>
    <row r="156" spans="1:17" x14ac:dyDescent="0.35">
      <c r="A156" s="198">
        <v>6</v>
      </c>
      <c r="B156" s="199" t="s">
        <v>1230</v>
      </c>
      <c r="C156" s="199" t="s">
        <v>265</v>
      </c>
      <c r="D156" s="199">
        <v>2</v>
      </c>
      <c r="E156" s="200">
        <v>0.23122101072675189</v>
      </c>
      <c r="F156" s="200">
        <v>0.31135206635640478</v>
      </c>
      <c r="G156" s="202">
        <v>164807</v>
      </c>
      <c r="H156" s="202">
        <v>51313</v>
      </c>
      <c r="I156" s="202">
        <v>2</v>
      </c>
      <c r="J156" s="202">
        <v>0</v>
      </c>
      <c r="K156" s="202">
        <v>2</v>
      </c>
      <c r="L156" s="202">
        <v>0</v>
      </c>
      <c r="M156" s="202">
        <v>0</v>
      </c>
      <c r="N156" s="200">
        <v>-0.36877898927324804</v>
      </c>
      <c r="O156" s="171"/>
      <c r="P156" s="171"/>
      <c r="Q156" s="171"/>
    </row>
    <row r="157" spans="1:17" x14ac:dyDescent="0.35">
      <c r="A157" s="198">
        <v>7</v>
      </c>
      <c r="B157" s="199" t="s">
        <v>1230</v>
      </c>
      <c r="C157" s="199" t="s">
        <v>613</v>
      </c>
      <c r="D157" s="199">
        <v>1</v>
      </c>
      <c r="E157" s="200">
        <v>0.260321869910911</v>
      </c>
      <c r="F157" s="200">
        <v>0.260321869910911</v>
      </c>
      <c r="G157" s="202">
        <v>20878</v>
      </c>
      <c r="H157" s="202">
        <v>5435</v>
      </c>
      <c r="I157" s="202">
        <v>1</v>
      </c>
      <c r="J157" s="202">
        <v>1</v>
      </c>
      <c r="K157" s="202">
        <v>0</v>
      </c>
      <c r="L157" s="202">
        <v>0</v>
      </c>
      <c r="M157" s="202">
        <v>0</v>
      </c>
      <c r="N157" s="200">
        <v>0.11032186991091099</v>
      </c>
      <c r="O157" s="171"/>
      <c r="P157" s="171"/>
      <c r="Q157" s="171"/>
    </row>
    <row r="158" spans="1:17" x14ac:dyDescent="0.35">
      <c r="A158" s="198">
        <v>8</v>
      </c>
      <c r="B158" s="199" t="s">
        <v>1230</v>
      </c>
      <c r="C158" s="199" t="s">
        <v>247</v>
      </c>
      <c r="D158" s="199">
        <v>1</v>
      </c>
      <c r="E158" s="200">
        <v>0.22117841575229219</v>
      </c>
      <c r="F158" s="200">
        <v>0.22117841575229219</v>
      </c>
      <c r="G158" s="202">
        <v>13306</v>
      </c>
      <c r="H158" s="202">
        <v>2943</v>
      </c>
      <c r="I158" s="202">
        <v>1</v>
      </c>
      <c r="J158" s="202">
        <v>0</v>
      </c>
      <c r="K158" s="202">
        <v>1</v>
      </c>
      <c r="L158" s="202">
        <v>0</v>
      </c>
      <c r="M158" s="202">
        <v>0</v>
      </c>
      <c r="N158" s="200">
        <v>-7.8821584247707799E-2</v>
      </c>
      <c r="O158" s="171"/>
      <c r="P158" s="171"/>
      <c r="Q158" s="171"/>
    </row>
    <row r="159" spans="1:17" x14ac:dyDescent="0.35">
      <c r="A159" s="198">
        <v>9</v>
      </c>
      <c r="B159" s="199" t="s">
        <v>1230</v>
      </c>
      <c r="C159" s="199" t="s">
        <v>234</v>
      </c>
      <c r="D159" s="199">
        <v>3</v>
      </c>
      <c r="E159" s="200">
        <v>0.16868372430898351</v>
      </c>
      <c r="F159" s="200">
        <v>0.16441761363636365</v>
      </c>
      <c r="G159" s="202">
        <v>8448</v>
      </c>
      <c r="H159" s="202">
        <v>1389</v>
      </c>
      <c r="I159" s="202">
        <v>3</v>
      </c>
      <c r="J159" s="202">
        <v>2</v>
      </c>
      <c r="K159" s="202">
        <v>1</v>
      </c>
      <c r="L159" s="202">
        <v>0</v>
      </c>
      <c r="M159" s="202">
        <v>0</v>
      </c>
      <c r="N159" s="200">
        <v>-0.31464960902435063</v>
      </c>
      <c r="O159" s="171"/>
      <c r="P159" s="171"/>
      <c r="Q159" s="171"/>
    </row>
    <row r="160" spans="1:17" x14ac:dyDescent="0.35">
      <c r="A160" s="198">
        <v>1</v>
      </c>
      <c r="B160" s="199" t="s">
        <v>1234</v>
      </c>
      <c r="C160" s="199" t="s">
        <v>42</v>
      </c>
      <c r="D160" s="199">
        <v>6</v>
      </c>
      <c r="E160" s="200">
        <v>0.50823390548754965</v>
      </c>
      <c r="F160" s="200">
        <v>0.59852476290832457</v>
      </c>
      <c r="G160" s="202">
        <v>42705</v>
      </c>
      <c r="H160" s="202">
        <v>25560</v>
      </c>
      <c r="I160" s="202">
        <v>6</v>
      </c>
      <c r="J160" s="202">
        <v>5</v>
      </c>
      <c r="K160" s="202">
        <v>1</v>
      </c>
      <c r="L160" s="202">
        <v>0</v>
      </c>
      <c r="M160" s="202">
        <v>0</v>
      </c>
      <c r="N160" s="200">
        <v>0.27490057215421648</v>
      </c>
      <c r="O160" s="171"/>
      <c r="P160" s="171"/>
      <c r="Q160" s="171"/>
    </row>
    <row r="161" spans="1:17" x14ac:dyDescent="0.35">
      <c r="A161" s="198">
        <v>2</v>
      </c>
      <c r="B161" s="199" t="s">
        <v>1234</v>
      </c>
      <c r="C161" s="199" t="s">
        <v>31</v>
      </c>
      <c r="D161" s="199">
        <v>2</v>
      </c>
      <c r="E161" s="200">
        <v>0.26729010557113092</v>
      </c>
      <c r="F161" s="200">
        <v>0.26707549941245595</v>
      </c>
      <c r="G161" s="202">
        <v>81696</v>
      </c>
      <c r="H161" s="202">
        <v>21819</v>
      </c>
      <c r="I161" s="202">
        <v>0</v>
      </c>
      <c r="J161" s="202">
        <v>0</v>
      </c>
      <c r="K161" s="202">
        <v>0</v>
      </c>
      <c r="L161" s="202">
        <v>0</v>
      </c>
      <c r="M161" s="202">
        <v>2</v>
      </c>
      <c r="N161" s="200"/>
      <c r="O161" s="171"/>
      <c r="P161" s="171"/>
      <c r="Q161" s="171"/>
    </row>
    <row r="162" spans="1:17" x14ac:dyDescent="0.35">
      <c r="A162" s="198">
        <v>1</v>
      </c>
      <c r="B162" s="199" t="s">
        <v>1232</v>
      </c>
      <c r="C162" s="199" t="s">
        <v>66</v>
      </c>
      <c r="D162" s="199">
        <v>3</v>
      </c>
      <c r="E162" s="200">
        <v>3.6872781493900475</v>
      </c>
      <c r="F162" s="200">
        <v>5.5777920843680064</v>
      </c>
      <c r="G162" s="202">
        <v>65238</v>
      </c>
      <c r="H162" s="202">
        <v>363884</v>
      </c>
      <c r="I162" s="202">
        <v>2</v>
      </c>
      <c r="J162" s="202">
        <v>1</v>
      </c>
      <c r="K162" s="202">
        <v>1</v>
      </c>
      <c r="L162" s="202">
        <v>0</v>
      </c>
      <c r="M162" s="202">
        <v>1</v>
      </c>
      <c r="N162" s="200">
        <v>1.0447309640424389</v>
      </c>
      <c r="O162" s="171"/>
      <c r="P162" s="171"/>
      <c r="Q162" s="171"/>
    </row>
    <row r="163" spans="1:17" x14ac:dyDescent="0.35">
      <c r="A163" s="198">
        <v>2</v>
      </c>
      <c r="B163" s="199" t="s">
        <v>1232</v>
      </c>
      <c r="C163" s="199" t="s">
        <v>90</v>
      </c>
      <c r="D163" s="199">
        <v>2</v>
      </c>
      <c r="E163" s="200">
        <v>2.9259701353263017</v>
      </c>
      <c r="F163" s="200">
        <v>2.9272056039379022</v>
      </c>
      <c r="G163" s="202">
        <v>10564</v>
      </c>
      <c r="H163" s="202">
        <v>30923</v>
      </c>
      <c r="I163" s="202">
        <v>2</v>
      </c>
      <c r="J163" s="202">
        <v>2</v>
      </c>
      <c r="K163" s="202">
        <v>0</v>
      </c>
      <c r="L163" s="202">
        <v>0</v>
      </c>
      <c r="M163" s="202">
        <v>0</v>
      </c>
      <c r="N163" s="200">
        <v>2.5509701353262999</v>
      </c>
      <c r="O163" s="171"/>
      <c r="P163" s="171"/>
      <c r="Q163" s="171"/>
    </row>
    <row r="164" spans="1:17" x14ac:dyDescent="0.35">
      <c r="A164" s="198">
        <v>3</v>
      </c>
      <c r="B164" s="199" t="s">
        <v>1232</v>
      </c>
      <c r="C164" s="199" t="s">
        <v>225</v>
      </c>
      <c r="D164" s="199">
        <v>2</v>
      </c>
      <c r="E164" s="200">
        <v>1.2500634585425763</v>
      </c>
      <c r="F164" s="200">
        <v>1.260233918128655</v>
      </c>
      <c r="G164" s="202">
        <v>16416</v>
      </c>
      <c r="H164" s="202">
        <v>20688</v>
      </c>
      <c r="I164" s="202">
        <v>0</v>
      </c>
      <c r="J164" s="202">
        <v>0</v>
      </c>
      <c r="K164" s="202">
        <v>0</v>
      </c>
      <c r="L164" s="202">
        <v>0</v>
      </c>
      <c r="M164" s="202">
        <v>2</v>
      </c>
      <c r="N164" s="200"/>
      <c r="O164" s="171"/>
      <c r="P164" s="171"/>
      <c r="Q164" s="171"/>
    </row>
    <row r="165" spans="1:17" x14ac:dyDescent="0.35">
      <c r="A165" s="198">
        <v>4</v>
      </c>
      <c r="B165" s="199" t="s">
        <v>1232</v>
      </c>
      <c r="C165" s="199" t="s">
        <v>121</v>
      </c>
      <c r="D165" s="199">
        <v>3</v>
      </c>
      <c r="E165" s="200">
        <v>1.0279875102544125</v>
      </c>
      <c r="F165" s="200">
        <v>1.0566808438960711</v>
      </c>
      <c r="G165" s="202">
        <v>94988</v>
      </c>
      <c r="H165" s="202">
        <v>100372</v>
      </c>
      <c r="I165" s="202">
        <v>3</v>
      </c>
      <c r="J165" s="202">
        <v>3</v>
      </c>
      <c r="K165" s="202">
        <v>0</v>
      </c>
      <c r="L165" s="202">
        <v>0</v>
      </c>
      <c r="M165" s="202">
        <v>0</v>
      </c>
      <c r="N165" s="200">
        <v>0.72798751025441211</v>
      </c>
      <c r="O165" s="171"/>
      <c r="P165" s="171"/>
      <c r="Q165" s="171"/>
    </row>
    <row r="166" spans="1:17" x14ac:dyDescent="0.35">
      <c r="A166" s="198">
        <v>5</v>
      </c>
      <c r="B166" s="199" t="s">
        <v>1232</v>
      </c>
      <c r="C166" s="199" t="s">
        <v>217</v>
      </c>
      <c r="D166" s="199">
        <v>2</v>
      </c>
      <c r="E166" s="200">
        <v>1.1798685884336457</v>
      </c>
      <c r="F166" s="200">
        <v>1.0053539804785634</v>
      </c>
      <c r="G166" s="202">
        <v>24281</v>
      </c>
      <c r="H166" s="202">
        <v>24411</v>
      </c>
      <c r="I166" s="202">
        <v>2</v>
      </c>
      <c r="J166" s="202">
        <v>2</v>
      </c>
      <c r="K166" s="202">
        <v>0</v>
      </c>
      <c r="L166" s="202">
        <v>0</v>
      </c>
      <c r="M166" s="202">
        <v>0</v>
      </c>
      <c r="N166" s="200">
        <v>0.57986858843364353</v>
      </c>
      <c r="O166" s="171"/>
      <c r="P166" s="171"/>
      <c r="Q166" s="171"/>
    </row>
    <row r="167" spans="1:17" x14ac:dyDescent="0.35">
      <c r="A167" s="198">
        <v>6</v>
      </c>
      <c r="B167" s="199" t="s">
        <v>1232</v>
      </c>
      <c r="C167" s="199" t="s">
        <v>308</v>
      </c>
      <c r="D167" s="199">
        <v>2</v>
      </c>
      <c r="E167" s="200">
        <v>0.96598270466150549</v>
      </c>
      <c r="F167" s="200">
        <v>0.99713713140566851</v>
      </c>
      <c r="G167" s="202">
        <v>3493</v>
      </c>
      <c r="H167" s="202">
        <v>3483</v>
      </c>
      <c r="I167" s="202">
        <v>2</v>
      </c>
      <c r="J167" s="202">
        <v>0</v>
      </c>
      <c r="K167" s="202">
        <v>2</v>
      </c>
      <c r="L167" s="202">
        <v>0</v>
      </c>
      <c r="M167" s="202">
        <v>0</v>
      </c>
      <c r="N167" s="200">
        <v>-0.78401729533849451</v>
      </c>
      <c r="O167" s="171"/>
      <c r="P167" s="171"/>
      <c r="Q167" s="171"/>
    </row>
    <row r="168" spans="1:17" x14ac:dyDescent="0.35">
      <c r="A168" s="198">
        <v>7</v>
      </c>
      <c r="B168" s="199" t="s">
        <v>1232</v>
      </c>
      <c r="C168" s="199" t="s">
        <v>361</v>
      </c>
      <c r="D168" s="199">
        <v>2</v>
      </c>
      <c r="E168" s="200">
        <v>0.8430227643276369</v>
      </c>
      <c r="F168" s="200">
        <v>0.84845980226976503</v>
      </c>
      <c r="G168" s="202">
        <v>31457</v>
      </c>
      <c r="H168" s="202">
        <v>26690</v>
      </c>
      <c r="I168" s="202">
        <v>0</v>
      </c>
      <c r="J168" s="202">
        <v>0</v>
      </c>
      <c r="K168" s="202">
        <v>0</v>
      </c>
      <c r="L168" s="202">
        <v>0</v>
      </c>
      <c r="M168" s="202">
        <v>2</v>
      </c>
      <c r="N168" s="200"/>
      <c r="O168" s="171"/>
      <c r="P168" s="171"/>
      <c r="Q168" s="171"/>
    </row>
    <row r="169" spans="1:17" x14ac:dyDescent="0.35">
      <c r="A169" s="198">
        <v>8</v>
      </c>
      <c r="B169" s="199" t="s">
        <v>1232</v>
      </c>
      <c r="C169" s="199" t="s">
        <v>490</v>
      </c>
      <c r="D169" s="199">
        <v>4</v>
      </c>
      <c r="E169" s="200">
        <v>1.2192006136804807</v>
      </c>
      <c r="F169" s="200">
        <v>0.82673276922778705</v>
      </c>
      <c r="G169" s="202">
        <v>1083367</v>
      </c>
      <c r="H169" s="202">
        <v>895655</v>
      </c>
      <c r="I169" s="202">
        <v>4</v>
      </c>
      <c r="J169" s="202">
        <v>3</v>
      </c>
      <c r="K169" s="202">
        <v>1</v>
      </c>
      <c r="L169" s="202">
        <v>0</v>
      </c>
      <c r="M169" s="202">
        <v>0</v>
      </c>
      <c r="N169" s="200">
        <v>4.9200613680480787E-2</v>
      </c>
      <c r="O169" s="171"/>
      <c r="P169" s="171"/>
      <c r="Q169" s="171"/>
    </row>
    <row r="170" spans="1:17" x14ac:dyDescent="0.35">
      <c r="A170" s="198">
        <v>9</v>
      </c>
      <c r="B170" s="199" t="s">
        <v>1232</v>
      </c>
      <c r="C170" s="199" t="s">
        <v>858</v>
      </c>
      <c r="D170" s="199">
        <v>2</v>
      </c>
      <c r="E170" s="200">
        <v>0.8113174815942652</v>
      </c>
      <c r="F170" s="200">
        <v>0.81257720381807974</v>
      </c>
      <c r="G170" s="202">
        <v>26715</v>
      </c>
      <c r="H170" s="202">
        <v>21708</v>
      </c>
      <c r="I170" s="202">
        <v>0</v>
      </c>
      <c r="J170" s="202">
        <v>0</v>
      </c>
      <c r="K170" s="202">
        <v>0</v>
      </c>
      <c r="L170" s="202">
        <v>0</v>
      </c>
      <c r="M170" s="202">
        <v>2</v>
      </c>
      <c r="N170" s="200"/>
      <c r="O170" s="171"/>
      <c r="P170" s="171"/>
      <c r="Q170" s="171"/>
    </row>
    <row r="171" spans="1:17" x14ac:dyDescent="0.35">
      <c r="A171" s="198">
        <v>10</v>
      </c>
      <c r="B171" s="199" t="s">
        <v>1232</v>
      </c>
      <c r="C171" s="199" t="s">
        <v>244</v>
      </c>
      <c r="D171" s="199">
        <v>5</v>
      </c>
      <c r="E171" s="200">
        <v>0.99759169739379805</v>
      </c>
      <c r="F171" s="200">
        <v>0.74287527402792197</v>
      </c>
      <c r="G171" s="202">
        <v>17334</v>
      </c>
      <c r="H171" s="202">
        <v>12877</v>
      </c>
      <c r="I171" s="202">
        <v>4</v>
      </c>
      <c r="J171" s="202">
        <v>1</v>
      </c>
      <c r="K171" s="202">
        <v>3</v>
      </c>
      <c r="L171" s="202">
        <v>0</v>
      </c>
      <c r="M171" s="202">
        <v>1</v>
      </c>
      <c r="N171" s="200">
        <v>0.27479574419122721</v>
      </c>
      <c r="O171" s="171"/>
      <c r="P171" s="171"/>
      <c r="Q171" s="171"/>
    </row>
    <row r="172" spans="1:17" x14ac:dyDescent="0.35">
      <c r="A172" s="198">
        <v>11</v>
      </c>
      <c r="B172" s="199" t="s">
        <v>1232</v>
      </c>
      <c r="C172" s="199" t="s">
        <v>293</v>
      </c>
      <c r="D172" s="199">
        <v>5</v>
      </c>
      <c r="E172" s="200">
        <v>0.67474486044580073</v>
      </c>
      <c r="F172" s="200">
        <v>0.70054761586750369</v>
      </c>
      <c r="G172" s="202">
        <v>7487</v>
      </c>
      <c r="H172" s="202">
        <v>5245</v>
      </c>
      <c r="I172" s="202">
        <v>3</v>
      </c>
      <c r="J172" s="202">
        <v>3</v>
      </c>
      <c r="K172" s="202">
        <v>0</v>
      </c>
      <c r="L172" s="202">
        <v>0</v>
      </c>
      <c r="M172" s="202">
        <v>2</v>
      </c>
      <c r="N172" s="200">
        <v>0.58095737057361874</v>
      </c>
      <c r="O172" s="171"/>
      <c r="P172" s="171"/>
      <c r="Q172" s="171"/>
    </row>
    <row r="173" spans="1:17" x14ac:dyDescent="0.35">
      <c r="A173" s="198">
        <v>12</v>
      </c>
      <c r="B173" s="199" t="s">
        <v>1232</v>
      </c>
      <c r="C173" s="199" t="s">
        <v>100</v>
      </c>
      <c r="D173" s="199">
        <v>7</v>
      </c>
      <c r="E173" s="200">
        <v>0.52896539005091392</v>
      </c>
      <c r="F173" s="200">
        <v>0.63199428956656223</v>
      </c>
      <c r="G173" s="202">
        <v>25217</v>
      </c>
      <c r="H173" s="202">
        <v>15937</v>
      </c>
      <c r="I173" s="202">
        <v>7</v>
      </c>
      <c r="J173" s="202">
        <v>6</v>
      </c>
      <c r="K173" s="202">
        <v>1</v>
      </c>
      <c r="L173" s="202">
        <v>0</v>
      </c>
      <c r="M173" s="202">
        <v>0</v>
      </c>
      <c r="N173" s="200">
        <v>0.18610824719377103</v>
      </c>
      <c r="O173" s="171"/>
      <c r="P173" s="171"/>
      <c r="Q173" s="171"/>
    </row>
    <row r="174" spans="1:17" x14ac:dyDescent="0.35">
      <c r="A174" s="198">
        <v>13</v>
      </c>
      <c r="B174" s="199" t="s">
        <v>1232</v>
      </c>
      <c r="C174" s="199" t="s">
        <v>302</v>
      </c>
      <c r="D174" s="199">
        <v>3</v>
      </c>
      <c r="E174" s="200">
        <v>0.60696944638510175</v>
      </c>
      <c r="F174" s="200">
        <v>0.59394124847001228</v>
      </c>
      <c r="G174" s="202">
        <v>3268</v>
      </c>
      <c r="H174" s="202">
        <v>1941</v>
      </c>
      <c r="I174" s="202">
        <v>3</v>
      </c>
      <c r="J174" s="202">
        <v>0</v>
      </c>
      <c r="K174" s="202">
        <v>3</v>
      </c>
      <c r="L174" s="202">
        <v>0</v>
      </c>
      <c r="M174" s="202">
        <v>0</v>
      </c>
      <c r="N174" s="200">
        <v>-0.30969722028156493</v>
      </c>
      <c r="O174" s="171"/>
      <c r="P174" s="171"/>
      <c r="Q174" s="171"/>
    </row>
    <row r="175" spans="1:17" x14ac:dyDescent="0.35">
      <c r="A175" s="198">
        <v>14</v>
      </c>
      <c r="B175" s="199" t="s">
        <v>1232</v>
      </c>
      <c r="C175" s="199" t="s">
        <v>149</v>
      </c>
      <c r="D175" s="199">
        <v>4</v>
      </c>
      <c r="E175" s="200">
        <v>0.54854698202018071</v>
      </c>
      <c r="F175" s="200">
        <v>0.54442217768871071</v>
      </c>
      <c r="G175" s="202">
        <v>8982</v>
      </c>
      <c r="H175" s="202">
        <v>4890</v>
      </c>
      <c r="I175" s="202">
        <v>4</v>
      </c>
      <c r="J175" s="202">
        <v>3</v>
      </c>
      <c r="K175" s="202">
        <v>1</v>
      </c>
      <c r="L175" s="202">
        <v>0</v>
      </c>
      <c r="M175" s="202">
        <v>0</v>
      </c>
      <c r="N175" s="200">
        <v>0.12354698202018069</v>
      </c>
      <c r="O175" s="171"/>
      <c r="P175" s="171"/>
      <c r="Q175" s="171"/>
    </row>
    <row r="176" spans="1:17" x14ac:dyDescent="0.35">
      <c r="A176" s="198">
        <v>15</v>
      </c>
      <c r="B176" s="199" t="s">
        <v>1232</v>
      </c>
      <c r="C176" s="199" t="s">
        <v>513</v>
      </c>
      <c r="D176" s="199">
        <v>2</v>
      </c>
      <c r="E176" s="200">
        <v>0.53512879619907394</v>
      </c>
      <c r="F176" s="200">
        <v>0.52928722653493299</v>
      </c>
      <c r="G176" s="202">
        <v>1417</v>
      </c>
      <c r="H176" s="202">
        <v>750</v>
      </c>
      <c r="I176" s="202">
        <v>2</v>
      </c>
      <c r="J176" s="202">
        <v>0</v>
      </c>
      <c r="K176" s="202">
        <v>2</v>
      </c>
      <c r="L176" s="202">
        <v>0</v>
      </c>
      <c r="M176" s="202">
        <v>0</v>
      </c>
      <c r="N176" s="200">
        <v>-0.214871203800926</v>
      </c>
      <c r="O176" s="171"/>
      <c r="P176" s="171"/>
      <c r="Q176" s="171"/>
    </row>
    <row r="177" spans="1:17" x14ac:dyDescent="0.35">
      <c r="A177" s="198">
        <v>16</v>
      </c>
      <c r="B177" s="199" t="s">
        <v>1232</v>
      </c>
      <c r="C177" s="199" t="s">
        <v>21</v>
      </c>
      <c r="D177" s="199">
        <v>3</v>
      </c>
      <c r="E177" s="200">
        <v>0.36976208383349979</v>
      </c>
      <c r="F177" s="200">
        <v>0.50920371129410891</v>
      </c>
      <c r="G177" s="202">
        <v>53674</v>
      </c>
      <c r="H177" s="202">
        <v>27331</v>
      </c>
      <c r="I177" s="202">
        <v>3</v>
      </c>
      <c r="J177" s="202">
        <v>3</v>
      </c>
      <c r="K177" s="202">
        <v>0</v>
      </c>
      <c r="L177" s="202">
        <v>0</v>
      </c>
      <c r="M177" s="202">
        <v>0</v>
      </c>
      <c r="N177" s="200">
        <v>8.6428750500166296E-2</v>
      </c>
      <c r="O177" s="171"/>
      <c r="P177" s="171"/>
      <c r="Q177" s="171"/>
    </row>
    <row r="178" spans="1:17" x14ac:dyDescent="0.35">
      <c r="A178" s="198">
        <v>17</v>
      </c>
      <c r="B178" s="199" t="s">
        <v>1232</v>
      </c>
      <c r="C178" s="199" t="s">
        <v>118</v>
      </c>
      <c r="D178" s="199">
        <v>5</v>
      </c>
      <c r="E178" s="200">
        <v>0.42830869091589807</v>
      </c>
      <c r="F178" s="200">
        <v>0.50715657301611083</v>
      </c>
      <c r="G178" s="202">
        <v>73429</v>
      </c>
      <c r="H178" s="202">
        <v>37240</v>
      </c>
      <c r="I178" s="202">
        <v>5</v>
      </c>
      <c r="J178" s="202">
        <v>4</v>
      </c>
      <c r="K178" s="202">
        <v>1</v>
      </c>
      <c r="L178" s="202">
        <v>0</v>
      </c>
      <c r="M178" s="202">
        <v>0</v>
      </c>
      <c r="N178" s="200">
        <v>0.20830869091589807</v>
      </c>
      <c r="O178" s="171"/>
      <c r="P178" s="171"/>
      <c r="Q178" s="171"/>
    </row>
    <row r="179" spans="1:17" x14ac:dyDescent="0.35">
      <c r="A179" s="198">
        <v>18</v>
      </c>
      <c r="B179" s="199" t="s">
        <v>1232</v>
      </c>
      <c r="C179" s="199" t="s">
        <v>475</v>
      </c>
      <c r="D179" s="199">
        <v>4</v>
      </c>
      <c r="E179" s="200">
        <v>0.52723462475109439</v>
      </c>
      <c r="F179" s="200">
        <v>0.50570385151161479</v>
      </c>
      <c r="G179" s="202">
        <v>26561</v>
      </c>
      <c r="H179" s="202">
        <v>13432</v>
      </c>
      <c r="I179" s="202">
        <v>4</v>
      </c>
      <c r="J179" s="202">
        <v>4</v>
      </c>
      <c r="K179" s="202">
        <v>0</v>
      </c>
      <c r="L179" s="202">
        <v>0</v>
      </c>
      <c r="M179" s="202">
        <v>0</v>
      </c>
      <c r="N179" s="200">
        <v>0.27723462475109439</v>
      </c>
      <c r="O179" s="171"/>
      <c r="P179" s="171"/>
      <c r="Q179" s="171"/>
    </row>
    <row r="180" spans="1:17" x14ac:dyDescent="0.35">
      <c r="A180" s="198">
        <v>19</v>
      </c>
      <c r="B180" s="199" t="s">
        <v>1232</v>
      </c>
      <c r="C180" s="199" t="s">
        <v>63</v>
      </c>
      <c r="D180" s="199">
        <v>4</v>
      </c>
      <c r="E180" s="200">
        <v>0.45460157066433399</v>
      </c>
      <c r="F180" s="200">
        <v>0.50449531930670122</v>
      </c>
      <c r="G180" s="202">
        <v>10789</v>
      </c>
      <c r="H180" s="202">
        <v>5443</v>
      </c>
      <c r="I180" s="202">
        <v>4</v>
      </c>
      <c r="J180" s="202">
        <v>3</v>
      </c>
      <c r="K180" s="202">
        <v>1</v>
      </c>
      <c r="L180" s="202">
        <v>0</v>
      </c>
      <c r="M180" s="202">
        <v>0</v>
      </c>
      <c r="N180" s="200">
        <v>0.15460157066433391</v>
      </c>
      <c r="O180" s="171"/>
      <c r="P180" s="171"/>
      <c r="Q180" s="171"/>
    </row>
    <row r="181" spans="1:17" x14ac:dyDescent="0.35">
      <c r="A181" s="198">
        <v>20</v>
      </c>
      <c r="B181" s="199" t="s">
        <v>1232</v>
      </c>
      <c r="C181" s="199" t="s">
        <v>181</v>
      </c>
      <c r="D181" s="199">
        <v>3</v>
      </c>
      <c r="E181" s="200">
        <v>0.47122056630660086</v>
      </c>
      <c r="F181" s="200">
        <v>0.47050546195149046</v>
      </c>
      <c r="G181" s="202">
        <v>27005</v>
      </c>
      <c r="H181" s="202">
        <v>12706</v>
      </c>
      <c r="I181" s="202">
        <v>3</v>
      </c>
      <c r="J181" s="202">
        <v>3</v>
      </c>
      <c r="K181" s="202">
        <v>0</v>
      </c>
      <c r="L181" s="202">
        <v>0</v>
      </c>
      <c r="M181" s="202">
        <v>0</v>
      </c>
      <c r="N181" s="200">
        <v>0.13788723297326747</v>
      </c>
      <c r="O181" s="171"/>
      <c r="P181" s="171"/>
      <c r="Q181" s="171"/>
    </row>
    <row r="182" spans="1:17" x14ac:dyDescent="0.35">
      <c r="A182" s="198">
        <v>21</v>
      </c>
      <c r="B182" s="199" t="s">
        <v>1232</v>
      </c>
      <c r="C182" s="199" t="s">
        <v>175</v>
      </c>
      <c r="D182" s="199">
        <v>1</v>
      </c>
      <c r="E182" s="200">
        <v>0.45627615062761506</v>
      </c>
      <c r="F182" s="200">
        <v>0.45627615062761506</v>
      </c>
      <c r="G182" s="202">
        <v>4780</v>
      </c>
      <c r="H182" s="202">
        <v>2181</v>
      </c>
      <c r="I182" s="202">
        <v>1</v>
      </c>
      <c r="J182" s="202">
        <v>1</v>
      </c>
      <c r="K182" s="202">
        <v>0</v>
      </c>
      <c r="L182" s="202">
        <v>0</v>
      </c>
      <c r="M182" s="202">
        <v>0</v>
      </c>
      <c r="N182" s="200">
        <v>0.256276150627615</v>
      </c>
      <c r="O182" s="171"/>
      <c r="P182" s="171"/>
      <c r="Q182" s="171"/>
    </row>
    <row r="183" spans="1:17" x14ac:dyDescent="0.35">
      <c r="A183" s="198">
        <v>22</v>
      </c>
      <c r="B183" s="199" t="s">
        <v>1232</v>
      </c>
      <c r="C183" s="199" t="s">
        <v>46</v>
      </c>
      <c r="D183" s="199">
        <v>4</v>
      </c>
      <c r="E183" s="200">
        <v>0.49811764963660926</v>
      </c>
      <c r="F183" s="200">
        <v>0.44982209723279626</v>
      </c>
      <c r="G183" s="202">
        <v>64361</v>
      </c>
      <c r="H183" s="202">
        <v>28951</v>
      </c>
      <c r="I183" s="202">
        <v>3</v>
      </c>
      <c r="J183" s="202">
        <v>3</v>
      </c>
      <c r="K183" s="202">
        <v>0</v>
      </c>
      <c r="L183" s="202">
        <v>0</v>
      </c>
      <c r="M183" s="202">
        <v>1</v>
      </c>
      <c r="N183" s="200">
        <v>0.21900182053869766</v>
      </c>
      <c r="O183" s="171"/>
      <c r="P183" s="171"/>
      <c r="Q183" s="171"/>
    </row>
    <row r="184" spans="1:17" x14ac:dyDescent="0.35">
      <c r="A184" s="198">
        <v>23</v>
      </c>
      <c r="B184" s="199" t="s">
        <v>1232</v>
      </c>
      <c r="C184" s="199" t="s">
        <v>425</v>
      </c>
      <c r="D184" s="199">
        <v>2</v>
      </c>
      <c r="E184" s="200">
        <v>0.43618316065184382</v>
      </c>
      <c r="F184" s="200">
        <v>0.43630178248697687</v>
      </c>
      <c r="G184" s="202">
        <v>56438</v>
      </c>
      <c r="H184" s="202">
        <v>24624</v>
      </c>
      <c r="I184" s="202">
        <v>2</v>
      </c>
      <c r="J184" s="202">
        <v>2</v>
      </c>
      <c r="K184" s="202">
        <v>0</v>
      </c>
      <c r="L184" s="202">
        <v>0</v>
      </c>
      <c r="M184" s="202">
        <v>0</v>
      </c>
      <c r="N184" s="200">
        <v>0.13618316065184399</v>
      </c>
      <c r="O184" s="171"/>
      <c r="P184" s="171"/>
      <c r="Q184" s="171"/>
    </row>
    <row r="185" spans="1:17" x14ac:dyDescent="0.35">
      <c r="A185" s="198">
        <v>24</v>
      </c>
      <c r="B185" s="199" t="s">
        <v>1232</v>
      </c>
      <c r="C185" s="199" t="s">
        <v>800</v>
      </c>
      <c r="D185" s="199">
        <v>2</v>
      </c>
      <c r="E185" s="200">
        <v>0.4157824171151932</v>
      </c>
      <c r="F185" s="200">
        <v>0.40835326272634098</v>
      </c>
      <c r="G185" s="202">
        <v>11708</v>
      </c>
      <c r="H185" s="202">
        <v>4781</v>
      </c>
      <c r="I185" s="202">
        <v>2</v>
      </c>
      <c r="J185" s="202">
        <v>1</v>
      </c>
      <c r="K185" s="202">
        <v>1</v>
      </c>
      <c r="L185" s="202">
        <v>0</v>
      </c>
      <c r="M185" s="202">
        <v>0</v>
      </c>
      <c r="N185" s="200">
        <v>1.5782417115193247E-2</v>
      </c>
      <c r="O185" s="171"/>
      <c r="P185" s="171"/>
      <c r="Q185" s="171"/>
    </row>
    <row r="186" spans="1:17" x14ac:dyDescent="0.35">
      <c r="A186" s="198">
        <v>25</v>
      </c>
      <c r="B186" s="199" t="s">
        <v>1232</v>
      </c>
      <c r="C186" s="199" t="s">
        <v>412</v>
      </c>
      <c r="D186" s="199">
        <v>4</v>
      </c>
      <c r="E186" s="200">
        <v>0.39086200056880094</v>
      </c>
      <c r="F186" s="200">
        <v>0.40792790521804889</v>
      </c>
      <c r="G186" s="202">
        <v>47604</v>
      </c>
      <c r="H186" s="202">
        <v>19419</v>
      </c>
      <c r="I186" s="202">
        <v>2</v>
      </c>
      <c r="J186" s="202">
        <v>2</v>
      </c>
      <c r="K186" s="202">
        <v>0</v>
      </c>
      <c r="L186" s="202">
        <v>0</v>
      </c>
      <c r="M186" s="202">
        <v>2</v>
      </c>
      <c r="N186" s="200">
        <v>7.8849737516695398E-2</v>
      </c>
      <c r="O186" s="171"/>
      <c r="P186" s="171"/>
      <c r="Q186" s="171"/>
    </row>
    <row r="187" spans="1:17" x14ac:dyDescent="0.35">
      <c r="A187" s="198">
        <v>26</v>
      </c>
      <c r="B187" s="199" t="s">
        <v>1232</v>
      </c>
      <c r="C187" s="199" t="s">
        <v>27</v>
      </c>
      <c r="D187" s="199">
        <v>3</v>
      </c>
      <c r="E187" s="200">
        <v>0.40926524319646979</v>
      </c>
      <c r="F187" s="200">
        <v>0.39987044234684432</v>
      </c>
      <c r="G187" s="202">
        <v>21612</v>
      </c>
      <c r="H187" s="202">
        <v>8642</v>
      </c>
      <c r="I187" s="202">
        <v>3</v>
      </c>
      <c r="J187" s="202">
        <v>1</v>
      </c>
      <c r="K187" s="202">
        <v>2</v>
      </c>
      <c r="L187" s="202">
        <v>0</v>
      </c>
      <c r="M187" s="202">
        <v>0</v>
      </c>
      <c r="N187" s="200">
        <v>2.5931909863136676E-2</v>
      </c>
      <c r="O187" s="171"/>
      <c r="P187" s="171"/>
      <c r="Q187" s="171"/>
    </row>
    <row r="188" spans="1:17" x14ac:dyDescent="0.35">
      <c r="A188" s="198">
        <v>27</v>
      </c>
      <c r="B188" s="199" t="s">
        <v>1232</v>
      </c>
      <c r="C188" s="199" t="s">
        <v>448</v>
      </c>
      <c r="D188" s="199">
        <v>4</v>
      </c>
      <c r="E188" s="200">
        <v>0.34785892705638033</v>
      </c>
      <c r="F188" s="200">
        <v>0.39728027744820665</v>
      </c>
      <c r="G188" s="202">
        <v>10957</v>
      </c>
      <c r="H188" s="202">
        <v>4353</v>
      </c>
      <c r="I188" s="202">
        <v>4</v>
      </c>
      <c r="J188" s="202">
        <v>3</v>
      </c>
      <c r="K188" s="202">
        <v>1</v>
      </c>
      <c r="L188" s="202">
        <v>0</v>
      </c>
      <c r="M188" s="202">
        <v>0</v>
      </c>
      <c r="N188" s="200">
        <v>9.7858927056380413E-2</v>
      </c>
      <c r="O188" s="171"/>
      <c r="P188" s="171"/>
      <c r="Q188" s="171"/>
    </row>
    <row r="189" spans="1:17" x14ac:dyDescent="0.35">
      <c r="A189" s="198">
        <v>28</v>
      </c>
      <c r="B189" s="199" t="s">
        <v>1232</v>
      </c>
      <c r="C189" s="199" t="s">
        <v>55</v>
      </c>
      <c r="D189" s="199">
        <v>3</v>
      </c>
      <c r="E189" s="200">
        <v>0.45317052197726054</v>
      </c>
      <c r="F189" s="200">
        <v>0.38091171335307067</v>
      </c>
      <c r="G189" s="202">
        <v>52692</v>
      </c>
      <c r="H189" s="202">
        <v>20071</v>
      </c>
      <c r="I189" s="202">
        <v>3</v>
      </c>
      <c r="J189" s="202">
        <v>3</v>
      </c>
      <c r="K189" s="202">
        <v>0</v>
      </c>
      <c r="L189" s="202">
        <v>0</v>
      </c>
      <c r="M189" s="202">
        <v>0</v>
      </c>
      <c r="N189" s="200">
        <v>0.21983718864392718</v>
      </c>
      <c r="O189" s="171"/>
      <c r="P189" s="171"/>
      <c r="Q189" s="171"/>
    </row>
    <row r="190" spans="1:17" x14ac:dyDescent="0.35">
      <c r="A190" s="198">
        <v>29</v>
      </c>
      <c r="B190" s="199" t="s">
        <v>1232</v>
      </c>
      <c r="C190" s="199" t="s">
        <v>86</v>
      </c>
      <c r="D190" s="199">
        <v>2</v>
      </c>
      <c r="E190" s="200">
        <v>0.35726721173976406</v>
      </c>
      <c r="F190" s="200">
        <v>0.35268185157972082</v>
      </c>
      <c r="G190" s="202">
        <v>5444</v>
      </c>
      <c r="H190" s="202">
        <v>1920</v>
      </c>
      <c r="I190" s="202">
        <v>2</v>
      </c>
      <c r="J190" s="202">
        <v>2</v>
      </c>
      <c r="K190" s="202">
        <v>0</v>
      </c>
      <c r="L190" s="202">
        <v>0</v>
      </c>
      <c r="M190" s="202">
        <v>0</v>
      </c>
      <c r="N190" s="200">
        <v>8.2267211739764062E-2</v>
      </c>
      <c r="O190" s="171"/>
      <c r="P190" s="171"/>
      <c r="Q190" s="171"/>
    </row>
    <row r="191" spans="1:17" x14ac:dyDescent="0.35">
      <c r="A191" s="198">
        <v>30</v>
      </c>
      <c r="B191" s="199" t="s">
        <v>1232</v>
      </c>
      <c r="C191" s="199" t="s">
        <v>291</v>
      </c>
      <c r="D191" s="199">
        <v>5</v>
      </c>
      <c r="E191" s="200">
        <v>0.3255563192451924</v>
      </c>
      <c r="F191" s="200">
        <v>0.34729036881856773</v>
      </c>
      <c r="G191" s="202">
        <v>36278</v>
      </c>
      <c r="H191" s="202">
        <v>12599</v>
      </c>
      <c r="I191" s="202">
        <v>5</v>
      </c>
      <c r="J191" s="202">
        <v>2</v>
      </c>
      <c r="K191" s="202">
        <v>3</v>
      </c>
      <c r="L191" s="202">
        <v>0</v>
      </c>
      <c r="M191" s="202">
        <v>0</v>
      </c>
      <c r="N191" s="200">
        <v>-0.15444368075480758</v>
      </c>
      <c r="O191" s="171"/>
      <c r="P191" s="171"/>
      <c r="Q191" s="171"/>
    </row>
    <row r="192" spans="1:17" x14ac:dyDescent="0.35">
      <c r="A192" s="198">
        <v>31</v>
      </c>
      <c r="B192" s="199" t="s">
        <v>1232</v>
      </c>
      <c r="C192" s="199" t="s">
        <v>141</v>
      </c>
      <c r="D192" s="199">
        <v>4</v>
      </c>
      <c r="E192" s="200">
        <v>0.49593587174843579</v>
      </c>
      <c r="F192" s="200">
        <v>0.34207525655644244</v>
      </c>
      <c r="G192" s="202">
        <v>17540</v>
      </c>
      <c r="H192" s="202">
        <v>6000</v>
      </c>
      <c r="I192" s="202">
        <v>4</v>
      </c>
      <c r="J192" s="202">
        <v>2</v>
      </c>
      <c r="K192" s="202">
        <v>2</v>
      </c>
      <c r="L192" s="202">
        <v>0</v>
      </c>
      <c r="M192" s="202">
        <v>0</v>
      </c>
      <c r="N192" s="200">
        <v>9.5935871748435778E-2</v>
      </c>
      <c r="O192" s="171"/>
      <c r="P192" s="171"/>
      <c r="Q192" s="171"/>
    </row>
    <row r="193" spans="1:17" x14ac:dyDescent="0.35">
      <c r="A193" s="198">
        <v>32</v>
      </c>
      <c r="B193" s="199" t="s">
        <v>1232</v>
      </c>
      <c r="C193" s="199" t="s">
        <v>230</v>
      </c>
      <c r="D193" s="199">
        <v>3</v>
      </c>
      <c r="E193" s="200">
        <v>0.31590727890986164</v>
      </c>
      <c r="F193" s="200">
        <v>0.32247155829245383</v>
      </c>
      <c r="G193" s="202">
        <v>47905</v>
      </c>
      <c r="H193" s="202">
        <v>15448</v>
      </c>
      <c r="I193" s="202">
        <v>3</v>
      </c>
      <c r="J193" s="202">
        <v>0</v>
      </c>
      <c r="K193" s="202">
        <v>3</v>
      </c>
      <c r="L193" s="202">
        <v>0</v>
      </c>
      <c r="M193" s="202">
        <v>0</v>
      </c>
      <c r="N193" s="200">
        <v>-0.13409272109013853</v>
      </c>
      <c r="O193" s="171"/>
      <c r="P193" s="171"/>
      <c r="Q193" s="171"/>
    </row>
    <row r="194" spans="1:17" x14ac:dyDescent="0.35">
      <c r="A194" s="198">
        <v>33</v>
      </c>
      <c r="B194" s="199" t="s">
        <v>1232</v>
      </c>
      <c r="C194" s="199" t="s">
        <v>379</v>
      </c>
      <c r="D194" s="199">
        <v>4</v>
      </c>
      <c r="E194" s="200">
        <v>0.27159321596796782</v>
      </c>
      <c r="F194" s="200">
        <v>0.29777937391512538</v>
      </c>
      <c r="G194" s="202">
        <v>16707</v>
      </c>
      <c r="H194" s="202">
        <v>4975</v>
      </c>
      <c r="I194" s="202">
        <v>4</v>
      </c>
      <c r="J194" s="202">
        <v>0</v>
      </c>
      <c r="K194" s="202">
        <v>4</v>
      </c>
      <c r="L194" s="202">
        <v>0</v>
      </c>
      <c r="M194" s="202">
        <v>0</v>
      </c>
      <c r="N194" s="200">
        <v>-0.17840678403203231</v>
      </c>
      <c r="O194" s="171"/>
      <c r="P194" s="171"/>
      <c r="Q194" s="171"/>
    </row>
    <row r="195" spans="1:17" x14ac:dyDescent="0.35">
      <c r="A195" s="198">
        <v>34</v>
      </c>
      <c r="B195" s="199" t="s">
        <v>1232</v>
      </c>
      <c r="C195" s="199" t="s">
        <v>159</v>
      </c>
      <c r="D195" s="199">
        <v>4</v>
      </c>
      <c r="E195" s="200">
        <v>0.22667866505295603</v>
      </c>
      <c r="F195" s="200">
        <v>0.29513574660633485</v>
      </c>
      <c r="G195" s="202">
        <v>8840</v>
      </c>
      <c r="H195" s="202">
        <v>2609</v>
      </c>
      <c r="I195" s="202">
        <v>4</v>
      </c>
      <c r="J195" s="202">
        <v>1</v>
      </c>
      <c r="K195" s="202">
        <v>3</v>
      </c>
      <c r="L195" s="202">
        <v>0</v>
      </c>
      <c r="M195" s="202">
        <v>0</v>
      </c>
      <c r="N195" s="200">
        <v>-2.3321334947043977E-2</v>
      </c>
      <c r="O195" s="171"/>
      <c r="P195" s="171"/>
      <c r="Q195" s="171"/>
    </row>
    <row r="196" spans="1:17" x14ac:dyDescent="0.35">
      <c r="A196" s="198">
        <v>35</v>
      </c>
      <c r="B196" s="199" t="s">
        <v>1232</v>
      </c>
      <c r="C196" s="199" t="s">
        <v>386</v>
      </c>
      <c r="D196" s="199">
        <v>3</v>
      </c>
      <c r="E196" s="200">
        <v>0.22412977169198278</v>
      </c>
      <c r="F196" s="200">
        <v>0.24425485069492225</v>
      </c>
      <c r="G196" s="202">
        <v>14534</v>
      </c>
      <c r="H196" s="202">
        <v>3550</v>
      </c>
      <c r="I196" s="202">
        <v>3</v>
      </c>
      <c r="J196" s="202">
        <v>2</v>
      </c>
      <c r="K196" s="202">
        <v>1</v>
      </c>
      <c r="L196" s="202">
        <v>0</v>
      </c>
      <c r="M196" s="202">
        <v>0</v>
      </c>
      <c r="N196" s="200">
        <v>2.4129771691982594E-2</v>
      </c>
      <c r="O196" s="171"/>
      <c r="P196" s="171"/>
      <c r="Q196" s="171"/>
    </row>
    <row r="197" spans="1:17" x14ac:dyDescent="0.35">
      <c r="A197" s="198">
        <v>1</v>
      </c>
      <c r="B197" s="199" t="s">
        <v>1512</v>
      </c>
      <c r="C197" s="199" t="s">
        <v>162</v>
      </c>
      <c r="D197" s="199">
        <v>3</v>
      </c>
      <c r="E197" s="200">
        <v>1.5724782674298405</v>
      </c>
      <c r="F197" s="200">
        <v>1.654578606158833</v>
      </c>
      <c r="G197" s="202">
        <v>4936</v>
      </c>
      <c r="H197" s="202">
        <v>8167</v>
      </c>
      <c r="I197" s="202">
        <v>3</v>
      </c>
      <c r="J197" s="202">
        <v>3</v>
      </c>
      <c r="K197" s="202">
        <v>0</v>
      </c>
      <c r="L197" s="202">
        <v>0</v>
      </c>
      <c r="M197" s="202">
        <v>0</v>
      </c>
      <c r="N197" s="200">
        <v>1.2724782674298407</v>
      </c>
      <c r="O197" s="171"/>
      <c r="P197" s="171"/>
      <c r="Q197" s="171"/>
    </row>
    <row r="198" spans="1:17" x14ac:dyDescent="0.35">
      <c r="A198" s="198">
        <v>2</v>
      </c>
      <c r="B198" s="199" t="s">
        <v>1512</v>
      </c>
      <c r="C198" s="199" t="s">
        <v>314</v>
      </c>
      <c r="D198" s="199">
        <v>2</v>
      </c>
      <c r="E198" s="200">
        <v>0.64777171922862764</v>
      </c>
      <c r="F198" s="200">
        <v>0.72051831826232871</v>
      </c>
      <c r="G198" s="202">
        <v>10727</v>
      </c>
      <c r="H198" s="202">
        <v>7729</v>
      </c>
      <c r="I198" s="202">
        <v>2</v>
      </c>
      <c r="J198" s="202">
        <v>2</v>
      </c>
      <c r="K198" s="202">
        <v>0</v>
      </c>
      <c r="L198" s="202">
        <v>0</v>
      </c>
      <c r="M198" s="202">
        <v>0</v>
      </c>
      <c r="N198" s="200">
        <v>0.47277171922862748</v>
      </c>
      <c r="O198" s="171"/>
      <c r="P198" s="171"/>
      <c r="Q198" s="171"/>
    </row>
    <row r="199" spans="1:17" x14ac:dyDescent="0.35">
      <c r="A199" s="198">
        <v>3</v>
      </c>
      <c r="B199" s="199" t="s">
        <v>1512</v>
      </c>
      <c r="C199" s="199" t="s">
        <v>434</v>
      </c>
      <c r="D199" s="199">
        <v>2</v>
      </c>
      <c r="E199" s="200">
        <v>0.43959292472031497</v>
      </c>
      <c r="F199" s="200">
        <v>0.44561474364424791</v>
      </c>
      <c r="G199" s="202">
        <v>94088</v>
      </c>
      <c r="H199" s="202">
        <v>41927</v>
      </c>
      <c r="I199" s="202">
        <v>2</v>
      </c>
      <c r="J199" s="202">
        <v>2</v>
      </c>
      <c r="K199" s="202">
        <v>0</v>
      </c>
      <c r="L199" s="202">
        <v>0</v>
      </c>
      <c r="M199" s="202">
        <v>0</v>
      </c>
      <c r="N199" s="200">
        <v>3.9592924720315004E-2</v>
      </c>
      <c r="O199" s="171"/>
      <c r="P199" s="171"/>
      <c r="Q199" s="171"/>
    </row>
    <row r="200" spans="1:17" ht="27.65" customHeight="1" x14ac:dyDescent="0.35">
      <c r="A200" s="198">
        <v>4</v>
      </c>
      <c r="B200" s="199" t="s">
        <v>1512</v>
      </c>
      <c r="C200" s="199" t="s">
        <v>868</v>
      </c>
      <c r="D200" s="199">
        <v>3</v>
      </c>
      <c r="E200" s="200">
        <v>0.34866520306635956</v>
      </c>
      <c r="F200" s="200">
        <v>0.36145035752705185</v>
      </c>
      <c r="G200" s="202">
        <v>15803</v>
      </c>
      <c r="H200" s="202">
        <v>5712</v>
      </c>
      <c r="I200" s="202">
        <v>3</v>
      </c>
      <c r="J200" s="202">
        <v>0</v>
      </c>
      <c r="K200" s="202">
        <v>3</v>
      </c>
      <c r="L200" s="202">
        <v>0</v>
      </c>
      <c r="M200" s="202">
        <v>0</v>
      </c>
      <c r="N200" s="200">
        <v>-0.15133479693364035</v>
      </c>
      <c r="O200" s="171"/>
      <c r="P200" s="171"/>
      <c r="Q200" s="171"/>
    </row>
    <row r="201" spans="1:17" x14ac:dyDescent="0.35">
      <c r="A201" s="171"/>
      <c r="B201" s="171"/>
      <c r="C201" s="171"/>
      <c r="D201" s="172"/>
      <c r="E201" s="172"/>
      <c r="F201" s="173"/>
      <c r="G201" s="173"/>
      <c r="H201" s="171"/>
      <c r="I201" s="171"/>
      <c r="J201" s="171"/>
      <c r="K201" s="171"/>
      <c r="L201" s="171"/>
      <c r="M201" s="171"/>
      <c r="N201" s="171"/>
      <c r="O201" s="171"/>
      <c r="P201" s="171"/>
      <c r="Q201" s="171"/>
    </row>
    <row r="202" spans="1:17" x14ac:dyDescent="0.35">
      <c r="A202" s="171"/>
      <c r="B202" s="171"/>
      <c r="C202" s="171"/>
      <c r="D202" s="172"/>
      <c r="E202" s="172"/>
      <c r="F202" s="173"/>
      <c r="G202" s="173"/>
      <c r="H202" s="171"/>
      <c r="I202" s="171"/>
      <c r="J202" s="171"/>
      <c r="K202" s="171"/>
      <c r="L202" s="171"/>
      <c r="M202" s="171"/>
      <c r="N202" s="171"/>
      <c r="O202" s="171"/>
      <c r="P202" s="171"/>
      <c r="Q202" s="171"/>
    </row>
    <row r="203" spans="1:17" ht="20" customHeight="1" x14ac:dyDescent="0.35">
      <c r="A203" s="278" t="s">
        <v>1542</v>
      </c>
      <c r="B203" s="278"/>
      <c r="C203" s="278"/>
      <c r="D203" s="278"/>
      <c r="E203" s="278"/>
      <c r="F203" s="278"/>
      <c r="G203" s="278"/>
      <c r="H203" s="278"/>
      <c r="I203" s="278"/>
      <c r="J203" s="278"/>
      <c r="K203" s="278"/>
      <c r="L203" s="278"/>
      <c r="M203" s="278"/>
      <c r="N203" s="278"/>
      <c r="O203" s="278"/>
      <c r="P203" s="278"/>
      <c r="Q203" s="278"/>
    </row>
    <row r="204" spans="1:17" ht="28" customHeight="1" x14ac:dyDescent="0.35">
      <c r="A204" s="192" t="s">
        <v>1572</v>
      </c>
      <c r="B204" s="194" t="s">
        <v>1335</v>
      </c>
      <c r="C204" s="194" t="s">
        <v>1332</v>
      </c>
      <c r="D204" s="206" t="s">
        <v>1336</v>
      </c>
      <c r="E204" s="206" t="s">
        <v>1337</v>
      </c>
      <c r="F204" s="207" t="s">
        <v>1226</v>
      </c>
      <c r="G204" s="207" t="s">
        <v>1227</v>
      </c>
      <c r="H204" s="175"/>
      <c r="I204" s="175"/>
      <c r="J204" s="175"/>
      <c r="K204" s="175"/>
      <c r="L204" s="175"/>
      <c r="M204" s="175"/>
      <c r="N204" s="175"/>
      <c r="O204" s="175"/>
      <c r="P204" s="175"/>
      <c r="Q204" s="175"/>
    </row>
    <row r="205" spans="1:17" x14ac:dyDescent="0.35">
      <c r="A205" s="198" t="s">
        <v>1573</v>
      </c>
      <c r="B205" s="199">
        <v>10</v>
      </c>
      <c r="C205" s="199">
        <v>7</v>
      </c>
      <c r="D205" s="200">
        <v>0.3899733484638051</v>
      </c>
      <c r="E205" s="200">
        <v>0.43115205475927021</v>
      </c>
      <c r="F205" s="202">
        <v>77722</v>
      </c>
      <c r="G205" s="202">
        <v>33510</v>
      </c>
      <c r="H205" s="171"/>
      <c r="I205" s="171"/>
      <c r="J205" s="171"/>
      <c r="K205" s="171"/>
      <c r="L205" s="171"/>
      <c r="M205" s="171"/>
      <c r="N205" s="171"/>
      <c r="O205" s="171"/>
      <c r="P205" s="171"/>
      <c r="Q205" s="171"/>
    </row>
    <row r="206" spans="1:17" x14ac:dyDescent="0.35">
      <c r="A206" s="198" t="s">
        <v>1574</v>
      </c>
      <c r="B206" s="199">
        <v>85</v>
      </c>
      <c r="C206" s="199">
        <v>39</v>
      </c>
      <c r="D206" s="200">
        <v>0.60406175728318934</v>
      </c>
      <c r="E206" s="200">
        <v>0.52778221097145872</v>
      </c>
      <c r="F206" s="202">
        <v>1221843</v>
      </c>
      <c r="G206" s="202">
        <v>644867</v>
      </c>
      <c r="H206" s="171"/>
      <c r="I206" s="171"/>
      <c r="J206" s="171"/>
      <c r="K206" s="171"/>
      <c r="L206" s="171"/>
      <c r="M206" s="171"/>
      <c r="N206" s="171"/>
      <c r="O206" s="171"/>
      <c r="P206" s="171"/>
      <c r="Q206" s="171"/>
    </row>
    <row r="207" spans="1:17" x14ac:dyDescent="0.35">
      <c r="A207" s="198" t="s">
        <v>1575</v>
      </c>
      <c r="B207" s="199">
        <v>10</v>
      </c>
      <c r="C207" s="199">
        <v>7</v>
      </c>
      <c r="D207" s="200">
        <v>0.43094312264670237</v>
      </c>
      <c r="E207" s="200">
        <v>0.48956988179199362</v>
      </c>
      <c r="F207" s="202">
        <v>40268</v>
      </c>
      <c r="G207" s="202">
        <v>19714</v>
      </c>
      <c r="H207" s="171"/>
      <c r="I207" s="171"/>
      <c r="J207" s="171"/>
      <c r="K207" s="171"/>
      <c r="L207" s="171"/>
      <c r="M207" s="171"/>
      <c r="N207" s="171"/>
      <c r="O207" s="171"/>
      <c r="P207" s="171"/>
      <c r="Q207" s="171"/>
    </row>
    <row r="208" spans="1:17" x14ac:dyDescent="0.35">
      <c r="A208" s="198" t="s">
        <v>1576</v>
      </c>
      <c r="B208" s="199">
        <v>40</v>
      </c>
      <c r="C208" s="199">
        <v>18</v>
      </c>
      <c r="D208" s="200">
        <v>0.47808987754122867</v>
      </c>
      <c r="E208" s="200">
        <v>0.76451641208540766</v>
      </c>
      <c r="F208" s="202">
        <v>1287801</v>
      </c>
      <c r="G208" s="202">
        <v>984545</v>
      </c>
      <c r="H208" s="171"/>
      <c r="I208" s="171"/>
      <c r="J208" s="171"/>
      <c r="K208" s="171"/>
      <c r="L208" s="171"/>
      <c r="M208" s="171"/>
      <c r="N208" s="171"/>
      <c r="O208" s="171"/>
      <c r="P208" s="171"/>
      <c r="Q208" s="171"/>
    </row>
    <row r="209" spans="1:17" ht="48" x14ac:dyDescent="0.35">
      <c r="A209" s="190" t="s">
        <v>1584</v>
      </c>
      <c r="B209" s="190"/>
      <c r="C209" s="190"/>
      <c r="D209" s="190"/>
      <c r="E209" s="190"/>
      <c r="F209" s="190"/>
      <c r="G209" s="190"/>
      <c r="H209" s="190"/>
      <c r="I209" s="190"/>
      <c r="J209" s="190"/>
      <c r="K209" s="190"/>
      <c r="L209" s="190"/>
      <c r="M209" s="190"/>
      <c r="N209" s="190"/>
      <c r="O209" s="190"/>
      <c r="P209" s="190"/>
      <c r="Q209" s="190"/>
    </row>
    <row r="210" spans="1:17" ht="18" customHeight="1" x14ac:dyDescent="0.35">
      <c r="A210" s="171"/>
      <c r="B210" s="171"/>
      <c r="C210" s="171"/>
      <c r="D210" s="171"/>
      <c r="E210" s="171"/>
      <c r="F210" s="172"/>
      <c r="G210" s="172"/>
      <c r="H210" s="173"/>
      <c r="I210" s="173"/>
      <c r="J210" s="174"/>
      <c r="K210" s="174"/>
      <c r="L210" s="171"/>
      <c r="M210" s="171"/>
      <c r="N210" s="171"/>
      <c r="O210" s="172"/>
      <c r="P210" s="172"/>
      <c r="Q210" s="171"/>
    </row>
    <row r="211" spans="1:17" ht="18" customHeight="1" x14ac:dyDescent="0.35">
      <c r="A211" s="171"/>
      <c r="B211" s="171"/>
      <c r="C211" s="171"/>
      <c r="D211" s="171"/>
      <c r="E211" s="171"/>
      <c r="F211" s="172"/>
      <c r="G211" s="172"/>
      <c r="H211" s="173"/>
      <c r="I211" s="173"/>
      <c r="J211" s="174"/>
      <c r="K211" s="174"/>
      <c r="L211" s="171"/>
      <c r="M211" s="171"/>
      <c r="N211" s="171"/>
      <c r="O211" s="172"/>
      <c r="P211" s="172"/>
      <c r="Q211" s="171"/>
    </row>
    <row r="212" spans="1:17" ht="20" customHeight="1" x14ac:dyDescent="0.35">
      <c r="A212" s="278" t="s">
        <v>1577</v>
      </c>
      <c r="B212" s="278"/>
      <c r="C212" s="278"/>
      <c r="D212" s="278"/>
      <c r="E212" s="278"/>
      <c r="F212" s="278"/>
      <c r="G212" s="278"/>
      <c r="H212" s="278"/>
      <c r="I212" s="278"/>
      <c r="J212" s="278"/>
      <c r="K212" s="278"/>
      <c r="L212" s="278"/>
      <c r="M212" s="278"/>
      <c r="N212" s="278"/>
      <c r="O212" s="278"/>
      <c r="P212" s="278"/>
      <c r="Q212" s="278"/>
    </row>
    <row r="213" spans="1:17" ht="28" customHeight="1" x14ac:dyDescent="0.35">
      <c r="A213" s="192" t="s">
        <v>0</v>
      </c>
      <c r="B213" s="194" t="s">
        <v>1334</v>
      </c>
      <c r="C213" s="194" t="s">
        <v>1344</v>
      </c>
      <c r="D213" s="194" t="s">
        <v>1345</v>
      </c>
      <c r="E213" s="206" t="s">
        <v>1346</v>
      </c>
      <c r="F213" s="206" t="s">
        <v>1246</v>
      </c>
      <c r="G213" s="206" t="s">
        <v>1543</v>
      </c>
      <c r="H213" s="207" t="s">
        <v>1226</v>
      </c>
      <c r="I213" s="207" t="s">
        <v>1227</v>
      </c>
      <c r="J213" s="208" t="s">
        <v>1418</v>
      </c>
      <c r="K213" s="208" t="s">
        <v>1419</v>
      </c>
      <c r="L213" s="194" t="s">
        <v>1578</v>
      </c>
      <c r="M213" s="194" t="s">
        <v>1544</v>
      </c>
      <c r="N213" s="194" t="s">
        <v>1384</v>
      </c>
      <c r="O213" s="206" t="s">
        <v>1463</v>
      </c>
      <c r="P213" s="206" t="s">
        <v>1464</v>
      </c>
      <c r="Q213" s="194" t="s">
        <v>1465</v>
      </c>
    </row>
    <row r="214" spans="1:17" x14ac:dyDescent="0.35">
      <c r="A214" s="198">
        <v>1422</v>
      </c>
      <c r="B214" s="209" t="s">
        <v>448</v>
      </c>
      <c r="C214" s="209" t="s">
        <v>125</v>
      </c>
      <c r="D214" s="209" t="s">
        <v>29</v>
      </c>
      <c r="E214" s="200">
        <v>5.5609756097560997E-2</v>
      </c>
      <c r="F214" s="205">
        <v>9.68</v>
      </c>
      <c r="G214" s="200">
        <v>0.27053417576105687</v>
      </c>
      <c r="H214" s="202">
        <v>3482</v>
      </c>
      <c r="I214" s="202">
        <v>942</v>
      </c>
      <c r="J214" s="210">
        <v>46055</v>
      </c>
      <c r="K214" s="210">
        <v>46082</v>
      </c>
      <c r="L214" s="202">
        <v>4</v>
      </c>
      <c r="M214" s="199" t="s">
        <v>1229</v>
      </c>
      <c r="N214" s="199" t="s">
        <v>1232</v>
      </c>
      <c r="O214" s="200">
        <v>0.24999999999999997</v>
      </c>
      <c r="P214" s="200">
        <v>2.05341757610569E-2</v>
      </c>
      <c r="Q214" s="199" t="s">
        <v>1460</v>
      </c>
    </row>
    <row r="215" spans="1:17" x14ac:dyDescent="0.35">
      <c r="A215" s="198">
        <v>1433</v>
      </c>
      <c r="B215" s="209" t="s">
        <v>448</v>
      </c>
      <c r="C215" s="209" t="s">
        <v>107</v>
      </c>
      <c r="D215" s="209" t="s">
        <v>29</v>
      </c>
      <c r="E215" s="200">
        <v>0.12224448897795599</v>
      </c>
      <c r="F215" s="205">
        <v>8.76</v>
      </c>
      <c r="G215" s="200">
        <v>0.81371640407784984</v>
      </c>
      <c r="H215" s="202">
        <v>3237</v>
      </c>
      <c r="I215" s="202">
        <v>2634</v>
      </c>
      <c r="J215" s="210">
        <v>46139</v>
      </c>
      <c r="K215" s="210">
        <v>46166</v>
      </c>
      <c r="L215" s="202">
        <v>4</v>
      </c>
      <c r="M215" s="199" t="s">
        <v>1251</v>
      </c>
      <c r="N215" s="199" t="s">
        <v>1232</v>
      </c>
      <c r="O215" s="200">
        <v>0.3999999999999998</v>
      </c>
      <c r="P215" s="200">
        <v>0.41371640407785004</v>
      </c>
      <c r="Q215" s="199" t="s">
        <v>1460</v>
      </c>
    </row>
    <row r="216" spans="1:17" x14ac:dyDescent="0.35">
      <c r="A216" s="198">
        <v>1434</v>
      </c>
      <c r="B216" s="209" t="s">
        <v>448</v>
      </c>
      <c r="C216" s="209" t="s">
        <v>187</v>
      </c>
      <c r="D216" s="209" t="s">
        <v>29</v>
      </c>
      <c r="E216" s="200">
        <v>3.5363457760314299E-2</v>
      </c>
      <c r="F216" s="205">
        <v>9.82</v>
      </c>
      <c r="G216" s="200">
        <v>0.25072254335260113</v>
      </c>
      <c r="H216" s="202">
        <v>2768</v>
      </c>
      <c r="I216" s="202">
        <v>694</v>
      </c>
      <c r="J216" s="210">
        <v>46089</v>
      </c>
      <c r="K216" s="210">
        <v>46109</v>
      </c>
      <c r="L216" s="202">
        <v>3</v>
      </c>
      <c r="M216" s="199" t="s">
        <v>1229</v>
      </c>
      <c r="N216" s="199" t="s">
        <v>1232</v>
      </c>
      <c r="O216" s="200">
        <v>0.30000000000000004</v>
      </c>
      <c r="P216" s="200">
        <v>-4.927745664739891E-2</v>
      </c>
      <c r="Q216" s="199" t="s">
        <v>1461</v>
      </c>
    </row>
    <row r="217" spans="1:17" x14ac:dyDescent="0.35">
      <c r="A217" s="198">
        <v>1435</v>
      </c>
      <c r="B217" s="209" t="s">
        <v>448</v>
      </c>
      <c r="C217" s="209" t="s">
        <v>563</v>
      </c>
      <c r="D217" s="209" t="s">
        <v>29</v>
      </c>
      <c r="E217" s="200">
        <v>0.199424736337488</v>
      </c>
      <c r="F217" s="205">
        <v>8.35</v>
      </c>
      <c r="G217" s="200">
        <v>5.6462585034013607E-2</v>
      </c>
      <c r="H217" s="202">
        <v>1470</v>
      </c>
      <c r="I217" s="202">
        <v>83</v>
      </c>
      <c r="J217" s="210">
        <v>46111</v>
      </c>
      <c r="K217" s="210">
        <v>46124</v>
      </c>
      <c r="L217" s="202">
        <v>2</v>
      </c>
      <c r="M217" s="199" t="s">
        <v>1229</v>
      </c>
      <c r="N217" s="199" t="s">
        <v>1232</v>
      </c>
      <c r="O217" s="200">
        <v>5.000000000000001E-2</v>
      </c>
      <c r="P217" s="200">
        <v>6.4625850340135991E-3</v>
      </c>
      <c r="Q217" s="199" t="s">
        <v>1460</v>
      </c>
    </row>
    <row r="218" spans="1:17" x14ac:dyDescent="0.35">
      <c r="A218" s="198">
        <v>1331</v>
      </c>
      <c r="B218" s="209" t="s">
        <v>293</v>
      </c>
      <c r="C218" s="209" t="s">
        <v>877</v>
      </c>
      <c r="D218" s="209" t="s">
        <v>24</v>
      </c>
      <c r="E218" s="200">
        <v>0.121580547112462</v>
      </c>
      <c r="F218" s="205">
        <v>2.89</v>
      </c>
      <c r="G218" s="200">
        <v>0.43651925820256776</v>
      </c>
      <c r="H218" s="202">
        <v>1402</v>
      </c>
      <c r="I218" s="202">
        <v>612</v>
      </c>
      <c r="J218" s="210">
        <v>46048</v>
      </c>
      <c r="K218" s="210">
        <v>46075</v>
      </c>
      <c r="L218" s="202">
        <v>4</v>
      </c>
      <c r="M218" s="199" t="s">
        <v>1229</v>
      </c>
      <c r="N218" s="199" t="s">
        <v>1232</v>
      </c>
      <c r="O218" s="200">
        <v>0.24999999999999975</v>
      </c>
      <c r="P218" s="200">
        <v>0.18651925820256801</v>
      </c>
      <c r="Q218" s="199" t="s">
        <v>1460</v>
      </c>
    </row>
    <row r="219" spans="1:17" x14ac:dyDescent="0.35">
      <c r="A219" s="198">
        <v>1332</v>
      </c>
      <c r="B219" s="209" t="s">
        <v>293</v>
      </c>
      <c r="C219" s="209" t="s">
        <v>667</v>
      </c>
      <c r="D219" s="209" t="s">
        <v>24</v>
      </c>
      <c r="E219" s="200">
        <v>0.240121580547112</v>
      </c>
      <c r="F219" s="205">
        <v>2.5</v>
      </c>
      <c r="G219" s="200">
        <v>0.90580126364158531</v>
      </c>
      <c r="H219" s="202">
        <v>1741</v>
      </c>
      <c r="I219" s="202">
        <v>1577</v>
      </c>
      <c r="J219" s="210">
        <v>46138</v>
      </c>
      <c r="K219" s="210">
        <v>46165</v>
      </c>
      <c r="L219" s="202">
        <v>4</v>
      </c>
      <c r="M219" s="199" t="s">
        <v>1251</v>
      </c>
      <c r="N219" s="199" t="s">
        <v>1232</v>
      </c>
      <c r="O219" s="200">
        <v>0.25000000000000022</v>
      </c>
      <c r="P219" s="200">
        <v>0.65580126364158509</v>
      </c>
      <c r="Q219" s="199" t="s">
        <v>1460</v>
      </c>
    </row>
    <row r="220" spans="1:17" x14ac:dyDescent="0.35">
      <c r="A220" s="198">
        <v>1333</v>
      </c>
      <c r="B220" s="209" t="s">
        <v>293</v>
      </c>
      <c r="C220" s="209" t="s">
        <v>294</v>
      </c>
      <c r="D220" s="209" t="s">
        <v>24</v>
      </c>
      <c r="E220" s="200">
        <v>0.240121580547112</v>
      </c>
      <c r="F220" s="205">
        <v>2.5</v>
      </c>
      <c r="G220" s="200">
        <v>1.1505515898767034</v>
      </c>
      <c r="H220" s="202">
        <v>1541</v>
      </c>
      <c r="I220" s="202">
        <v>1773</v>
      </c>
      <c r="J220" s="210">
        <v>46202</v>
      </c>
      <c r="K220" s="210">
        <v>46229</v>
      </c>
      <c r="L220" s="202">
        <v>4</v>
      </c>
      <c r="M220" s="199" t="s">
        <v>1251</v>
      </c>
      <c r="N220" s="199" t="s">
        <v>1232</v>
      </c>
      <c r="O220" s="200">
        <v>0.25000000000000033</v>
      </c>
      <c r="P220" s="200">
        <v>0.90055158987670303</v>
      </c>
      <c r="Q220" s="199" t="s">
        <v>1460</v>
      </c>
    </row>
    <row r="221" spans="1:17" ht="23" x14ac:dyDescent="0.35">
      <c r="A221" s="198">
        <v>1403</v>
      </c>
      <c r="B221" s="209" t="s">
        <v>293</v>
      </c>
      <c r="C221" s="209" t="s">
        <v>927</v>
      </c>
      <c r="D221" s="209" t="s">
        <v>24</v>
      </c>
      <c r="E221" s="200">
        <v>0.24012158054711197</v>
      </c>
      <c r="F221" s="205">
        <v>2.5</v>
      </c>
      <c r="G221" s="200">
        <v>0.54207317073170735</v>
      </c>
      <c r="H221" s="202">
        <v>1640</v>
      </c>
      <c r="I221" s="202">
        <v>889</v>
      </c>
      <c r="J221" s="210">
        <v>46111</v>
      </c>
      <c r="K221" s="210">
        <v>46137</v>
      </c>
      <c r="L221" s="202">
        <v>4</v>
      </c>
      <c r="M221" s="199" t="s">
        <v>1251</v>
      </c>
      <c r="N221" s="199" t="s">
        <v>1232</v>
      </c>
      <c r="O221" s="200"/>
      <c r="P221" s="200"/>
      <c r="Q221" s="199" t="s">
        <v>1505</v>
      </c>
    </row>
    <row r="222" spans="1:17" ht="23" x14ac:dyDescent="0.35">
      <c r="A222" s="198">
        <v>1404</v>
      </c>
      <c r="B222" s="209" t="s">
        <v>293</v>
      </c>
      <c r="C222" s="209" t="s">
        <v>1012</v>
      </c>
      <c r="D222" s="209" t="s">
        <v>24</v>
      </c>
      <c r="E222" s="200">
        <v>6.0790273556231098E-3</v>
      </c>
      <c r="F222" s="205">
        <v>3.27</v>
      </c>
      <c r="G222" s="200">
        <v>0.33877901977644026</v>
      </c>
      <c r="H222" s="202">
        <v>1163</v>
      </c>
      <c r="I222" s="202">
        <v>394</v>
      </c>
      <c r="J222" s="210">
        <v>46167</v>
      </c>
      <c r="K222" s="210">
        <v>46187</v>
      </c>
      <c r="L222" s="202">
        <v>3</v>
      </c>
      <c r="M222" s="199" t="s">
        <v>1251</v>
      </c>
      <c r="N222" s="199" t="s">
        <v>1232</v>
      </c>
      <c r="O222" s="200"/>
      <c r="P222" s="200"/>
      <c r="Q222" s="199" t="s">
        <v>1505</v>
      </c>
    </row>
    <row r="223" spans="1:17" ht="23" x14ac:dyDescent="0.35">
      <c r="A223" s="198" t="s">
        <v>1367</v>
      </c>
      <c r="B223" s="209" t="s">
        <v>244</v>
      </c>
      <c r="C223" s="209" t="s">
        <v>702</v>
      </c>
      <c r="D223" s="209" t="s">
        <v>29</v>
      </c>
      <c r="E223" s="200">
        <v>0.44188481675392705</v>
      </c>
      <c r="F223" s="205">
        <v>5.33</v>
      </c>
      <c r="G223" s="200">
        <v>3.1178470254957507</v>
      </c>
      <c r="H223" s="202">
        <v>1765</v>
      </c>
      <c r="I223" s="202">
        <v>5503</v>
      </c>
      <c r="J223" s="210">
        <v>46097</v>
      </c>
      <c r="K223" s="210">
        <v>46103</v>
      </c>
      <c r="L223" s="202">
        <v>1</v>
      </c>
      <c r="M223" s="199" t="s">
        <v>1251</v>
      </c>
      <c r="N223" s="199" t="s">
        <v>1232</v>
      </c>
      <c r="O223" s="200">
        <v>1.0000000000000004</v>
      </c>
      <c r="P223" s="200">
        <v>2.1178470254957502</v>
      </c>
      <c r="Q223" s="199" t="s">
        <v>1460</v>
      </c>
    </row>
    <row r="224" spans="1:17" ht="23" x14ac:dyDescent="0.35">
      <c r="A224" s="198" t="s">
        <v>1366</v>
      </c>
      <c r="B224" s="209" t="s">
        <v>244</v>
      </c>
      <c r="C224" s="209" t="s">
        <v>702</v>
      </c>
      <c r="D224" s="209" t="s">
        <v>24</v>
      </c>
      <c r="E224" s="200">
        <v>0.2</v>
      </c>
      <c r="F224" s="205">
        <v>1.56</v>
      </c>
      <c r="G224" s="200">
        <v>0.75429553264604809</v>
      </c>
      <c r="H224" s="202">
        <v>582</v>
      </c>
      <c r="I224" s="202">
        <v>439</v>
      </c>
      <c r="J224" s="210">
        <v>46062</v>
      </c>
      <c r="K224" s="210">
        <v>46089</v>
      </c>
      <c r="L224" s="202">
        <v>4</v>
      </c>
      <c r="M224" s="199" t="s">
        <v>1229</v>
      </c>
      <c r="N224" s="199" t="s">
        <v>1232</v>
      </c>
      <c r="O224" s="200">
        <v>1</v>
      </c>
      <c r="P224" s="200">
        <v>-0.24570446735395199</v>
      </c>
      <c r="Q224" s="199" t="s">
        <v>1461</v>
      </c>
    </row>
    <row r="225" spans="1:17" x14ac:dyDescent="0.35">
      <c r="A225" s="198" t="s">
        <v>1369</v>
      </c>
      <c r="B225" s="209" t="s">
        <v>244</v>
      </c>
      <c r="C225" s="209" t="s">
        <v>415</v>
      </c>
      <c r="D225" s="209" t="s">
        <v>29</v>
      </c>
      <c r="E225" s="200">
        <v>0.12345679012345701</v>
      </c>
      <c r="F225" s="205">
        <v>8.52</v>
      </c>
      <c r="G225" s="200">
        <v>0.41776020133021752</v>
      </c>
      <c r="H225" s="202">
        <v>5563</v>
      </c>
      <c r="I225" s="202">
        <v>2324</v>
      </c>
      <c r="J225" s="210">
        <v>46139</v>
      </c>
      <c r="K225" s="210">
        <v>46166</v>
      </c>
      <c r="L225" s="202">
        <v>4</v>
      </c>
      <c r="M225" s="199" t="s">
        <v>1251</v>
      </c>
      <c r="N225" s="199" t="s">
        <v>1232</v>
      </c>
      <c r="O225" s="200">
        <v>0.5</v>
      </c>
      <c r="P225" s="200">
        <v>-8.2239798669782496E-2</v>
      </c>
      <c r="Q225" s="199" t="s">
        <v>1461</v>
      </c>
    </row>
    <row r="226" spans="1:17" x14ac:dyDescent="0.35">
      <c r="A226" s="198" t="s">
        <v>1368</v>
      </c>
      <c r="B226" s="209" t="s">
        <v>244</v>
      </c>
      <c r="C226" s="209" t="s">
        <v>415</v>
      </c>
      <c r="D226" s="209" t="s">
        <v>24</v>
      </c>
      <c r="E226" s="200">
        <v>0.39175257731958801</v>
      </c>
      <c r="F226" s="205">
        <v>1.77</v>
      </c>
      <c r="G226" s="200">
        <v>0.18877551020408162</v>
      </c>
      <c r="H226" s="202">
        <v>588</v>
      </c>
      <c r="I226" s="202">
        <v>111</v>
      </c>
      <c r="J226" s="210">
        <v>46166</v>
      </c>
      <c r="K226" s="210">
        <v>46180</v>
      </c>
      <c r="L226" s="202">
        <v>3</v>
      </c>
      <c r="M226" s="199" t="s">
        <v>1251</v>
      </c>
      <c r="N226" s="199" t="s">
        <v>1232</v>
      </c>
      <c r="O226" s="200"/>
      <c r="P226" s="200"/>
      <c r="Q226" s="199" t="s">
        <v>1505</v>
      </c>
    </row>
    <row r="227" spans="1:17" x14ac:dyDescent="0.35">
      <c r="A227" s="198">
        <v>1424</v>
      </c>
      <c r="B227" s="209" t="s">
        <v>244</v>
      </c>
      <c r="C227" s="209" t="s">
        <v>369</v>
      </c>
      <c r="D227" s="209" t="s">
        <v>29</v>
      </c>
      <c r="E227" s="200">
        <v>8.1452404317958804E-2</v>
      </c>
      <c r="F227" s="205">
        <v>9.36</v>
      </c>
      <c r="G227" s="200">
        <v>0.50928021729289275</v>
      </c>
      <c r="H227" s="202">
        <v>8836</v>
      </c>
      <c r="I227" s="202">
        <v>4500</v>
      </c>
      <c r="J227" s="210">
        <v>46048</v>
      </c>
      <c r="K227" s="210">
        <v>46089</v>
      </c>
      <c r="L227" s="202">
        <v>6</v>
      </c>
      <c r="M227" s="199" t="s">
        <v>1251</v>
      </c>
      <c r="N227" s="199" t="s">
        <v>1232</v>
      </c>
      <c r="O227" s="200">
        <v>1.1999999999999997</v>
      </c>
      <c r="P227" s="200">
        <v>-0.69071978270710699</v>
      </c>
      <c r="Q227" s="199" t="s">
        <v>1461</v>
      </c>
    </row>
    <row r="228" spans="1:17" x14ac:dyDescent="0.35">
      <c r="A228" s="198">
        <v>1463</v>
      </c>
      <c r="B228" s="209" t="s">
        <v>27</v>
      </c>
      <c r="C228" s="209" t="s">
        <v>187</v>
      </c>
      <c r="D228" s="209" t="s">
        <v>29</v>
      </c>
      <c r="E228" s="200">
        <v>7.5975359342915799E-2</v>
      </c>
      <c r="F228" s="205">
        <v>9</v>
      </c>
      <c r="G228" s="200">
        <v>0.34874759152215801</v>
      </c>
      <c r="H228" s="202">
        <v>6228</v>
      </c>
      <c r="I228" s="202">
        <v>2172</v>
      </c>
      <c r="J228" s="210">
        <v>46083</v>
      </c>
      <c r="K228" s="210">
        <v>46110</v>
      </c>
      <c r="L228" s="202">
        <v>4</v>
      </c>
      <c r="M228" s="199" t="s">
        <v>1229</v>
      </c>
      <c r="N228" s="199" t="s">
        <v>1232</v>
      </c>
      <c r="O228" s="200">
        <v>0.35</v>
      </c>
      <c r="P228" s="200">
        <v>-1.25240847784197E-3</v>
      </c>
      <c r="Q228" s="199" t="s">
        <v>1461</v>
      </c>
    </row>
    <row r="229" spans="1:17" x14ac:dyDescent="0.35">
      <c r="A229" s="198">
        <v>1464</v>
      </c>
      <c r="B229" s="209" t="s">
        <v>27</v>
      </c>
      <c r="C229" s="209" t="s">
        <v>107</v>
      </c>
      <c r="D229" s="209" t="s">
        <v>29</v>
      </c>
      <c r="E229" s="200">
        <v>9.6311475409836006E-2</v>
      </c>
      <c r="F229" s="205">
        <v>8.82</v>
      </c>
      <c r="G229" s="200">
        <v>0.26675257731958762</v>
      </c>
      <c r="H229" s="202">
        <v>8536</v>
      </c>
      <c r="I229" s="202">
        <v>2277</v>
      </c>
      <c r="J229" s="210">
        <v>46139</v>
      </c>
      <c r="K229" s="210">
        <v>46166</v>
      </c>
      <c r="L229" s="202">
        <v>4</v>
      </c>
      <c r="M229" s="199" t="s">
        <v>1229</v>
      </c>
      <c r="N229" s="199" t="s">
        <v>1232</v>
      </c>
      <c r="O229" s="200">
        <v>0.39999999999999963</v>
      </c>
      <c r="P229" s="200">
        <v>-0.13324742268041201</v>
      </c>
      <c r="Q229" s="199" t="s">
        <v>1461</v>
      </c>
    </row>
    <row r="230" spans="1:17" x14ac:dyDescent="0.35">
      <c r="A230" s="198">
        <v>1465</v>
      </c>
      <c r="B230" s="209" t="s">
        <v>27</v>
      </c>
      <c r="C230" s="209" t="s">
        <v>28</v>
      </c>
      <c r="D230" s="209" t="s">
        <v>29</v>
      </c>
      <c r="E230" s="200">
        <v>9.4377510040160789E-2</v>
      </c>
      <c r="F230" s="205">
        <v>9.02</v>
      </c>
      <c r="G230" s="200">
        <v>0.61229556074766356</v>
      </c>
      <c r="H230" s="202">
        <v>6848</v>
      </c>
      <c r="I230" s="202">
        <v>4193</v>
      </c>
      <c r="J230" s="210">
        <v>46195</v>
      </c>
      <c r="K230" s="210">
        <v>46229</v>
      </c>
      <c r="L230" s="202">
        <v>5</v>
      </c>
      <c r="M230" s="199" t="s">
        <v>1251</v>
      </c>
      <c r="N230" s="199" t="s">
        <v>1232</v>
      </c>
      <c r="O230" s="200">
        <v>0.39999999999999958</v>
      </c>
      <c r="P230" s="200">
        <v>0.21229556074766401</v>
      </c>
      <c r="Q230" s="199" t="s">
        <v>1460</v>
      </c>
    </row>
    <row r="231" spans="1:17" x14ac:dyDescent="0.35">
      <c r="A231" s="198">
        <v>1467</v>
      </c>
      <c r="B231" s="209" t="s">
        <v>141</v>
      </c>
      <c r="C231" s="209" t="s">
        <v>125</v>
      </c>
      <c r="D231" s="209" t="s">
        <v>29</v>
      </c>
      <c r="E231" s="200">
        <v>0.21957913998170198</v>
      </c>
      <c r="F231" s="205">
        <v>8.5299999999999994</v>
      </c>
      <c r="G231" s="200">
        <v>0.47572815533980584</v>
      </c>
      <c r="H231" s="202">
        <v>6180</v>
      </c>
      <c r="I231" s="202">
        <v>2940</v>
      </c>
      <c r="J231" s="210">
        <v>46048</v>
      </c>
      <c r="K231" s="210">
        <v>46089</v>
      </c>
      <c r="L231" s="202">
        <v>6</v>
      </c>
      <c r="M231" s="199" t="s">
        <v>1229</v>
      </c>
      <c r="N231" s="199" t="s">
        <v>1232</v>
      </c>
      <c r="O231" s="200">
        <v>0.29999999999999982</v>
      </c>
      <c r="P231" s="200">
        <v>0.17572815533980601</v>
      </c>
      <c r="Q231" s="199" t="s">
        <v>1460</v>
      </c>
    </row>
    <row r="232" spans="1:17" x14ac:dyDescent="0.35">
      <c r="A232" s="198">
        <v>1468</v>
      </c>
      <c r="B232" s="209" t="s">
        <v>141</v>
      </c>
      <c r="C232" s="209" t="s">
        <v>187</v>
      </c>
      <c r="D232" s="209" t="s">
        <v>29</v>
      </c>
      <c r="E232" s="200">
        <v>0.105211406096362</v>
      </c>
      <c r="F232" s="205">
        <v>9.1</v>
      </c>
      <c r="G232" s="200">
        <v>0.27321724709784412</v>
      </c>
      <c r="H232" s="202">
        <v>2412</v>
      </c>
      <c r="I232" s="202">
        <v>659</v>
      </c>
      <c r="J232" s="210">
        <v>46097</v>
      </c>
      <c r="K232" s="210">
        <v>46110</v>
      </c>
      <c r="L232" s="202">
        <v>2</v>
      </c>
      <c r="M232" s="199" t="s">
        <v>1229</v>
      </c>
      <c r="N232" s="199" t="s">
        <v>1232</v>
      </c>
      <c r="O232" s="200">
        <v>0.3</v>
      </c>
      <c r="P232" s="200">
        <v>-2.6782752902155895E-2</v>
      </c>
      <c r="Q232" s="199" t="s">
        <v>1461</v>
      </c>
    </row>
    <row r="233" spans="1:17" x14ac:dyDescent="0.35">
      <c r="A233" s="198" t="s">
        <v>1470</v>
      </c>
      <c r="B233" s="209" t="s">
        <v>141</v>
      </c>
      <c r="C233" s="209" t="s">
        <v>154</v>
      </c>
      <c r="D233" s="209" t="s">
        <v>24</v>
      </c>
      <c r="E233" s="200">
        <v>0.50671140939597303</v>
      </c>
      <c r="F233" s="205">
        <v>1.47</v>
      </c>
      <c r="G233" s="200">
        <v>0.98888888888888893</v>
      </c>
      <c r="H233" s="202">
        <v>270</v>
      </c>
      <c r="I233" s="202">
        <v>267</v>
      </c>
      <c r="J233" s="210">
        <v>46216</v>
      </c>
      <c r="K233" s="210">
        <v>46229</v>
      </c>
      <c r="L233" s="202">
        <v>2</v>
      </c>
      <c r="M233" s="199" t="s">
        <v>1251</v>
      </c>
      <c r="N233" s="199" t="s">
        <v>1232</v>
      </c>
      <c r="O233" s="200">
        <v>0.49999999999999994</v>
      </c>
      <c r="P233" s="200">
        <v>0.48888888888888898</v>
      </c>
      <c r="Q233" s="199" t="s">
        <v>1460</v>
      </c>
    </row>
    <row r="234" spans="1:17" x14ac:dyDescent="0.35">
      <c r="A234" s="198" t="s">
        <v>1471</v>
      </c>
      <c r="B234" s="209" t="s">
        <v>141</v>
      </c>
      <c r="C234" s="209" t="s">
        <v>154</v>
      </c>
      <c r="D234" s="209" t="s">
        <v>29</v>
      </c>
      <c r="E234" s="200">
        <v>0.112214498510427</v>
      </c>
      <c r="F234" s="205">
        <v>8.94</v>
      </c>
      <c r="G234" s="200">
        <v>0.24590919566720443</v>
      </c>
      <c r="H234" s="202">
        <v>8678</v>
      </c>
      <c r="I234" s="202">
        <v>2134</v>
      </c>
      <c r="J234" s="210">
        <v>46174</v>
      </c>
      <c r="K234" s="210">
        <v>46229</v>
      </c>
      <c r="L234" s="202">
        <v>8</v>
      </c>
      <c r="M234" s="199" t="s">
        <v>1251</v>
      </c>
      <c r="N234" s="199" t="s">
        <v>1232</v>
      </c>
      <c r="O234" s="200">
        <v>0.50000000000000044</v>
      </c>
      <c r="P234" s="200">
        <v>-0.25409080433279602</v>
      </c>
      <c r="Q234" s="199" t="s">
        <v>1461</v>
      </c>
    </row>
    <row r="235" spans="1:17" x14ac:dyDescent="0.35">
      <c r="A235" s="198">
        <v>1478</v>
      </c>
      <c r="B235" s="209" t="s">
        <v>291</v>
      </c>
      <c r="C235" s="209" t="s">
        <v>125</v>
      </c>
      <c r="D235" s="209" t="s">
        <v>29</v>
      </c>
      <c r="E235" s="200">
        <v>0.10655737704918</v>
      </c>
      <c r="F235" s="205">
        <v>8.7200000000000006</v>
      </c>
      <c r="G235" s="200">
        <v>0.55100385317379841</v>
      </c>
      <c r="H235" s="202">
        <v>9862</v>
      </c>
      <c r="I235" s="202">
        <v>5434</v>
      </c>
      <c r="J235" s="210">
        <v>46041</v>
      </c>
      <c r="K235" s="210">
        <v>46082</v>
      </c>
      <c r="L235" s="202">
        <v>6</v>
      </c>
      <c r="M235" s="199" t="s">
        <v>1229</v>
      </c>
      <c r="N235" s="199" t="s">
        <v>1232</v>
      </c>
      <c r="O235" s="200">
        <v>0.5</v>
      </c>
      <c r="P235" s="200">
        <v>5.1003853173798401E-2</v>
      </c>
      <c r="Q235" s="199" t="s">
        <v>1460</v>
      </c>
    </row>
    <row r="236" spans="1:17" x14ac:dyDescent="0.35">
      <c r="A236" s="198">
        <v>1479</v>
      </c>
      <c r="B236" s="209" t="s">
        <v>291</v>
      </c>
      <c r="C236" s="209" t="s">
        <v>187</v>
      </c>
      <c r="D236" s="209" t="s">
        <v>29</v>
      </c>
      <c r="E236" s="200">
        <v>9.6707818930041295E-2</v>
      </c>
      <c r="F236" s="205">
        <v>8.7799999999999994</v>
      </c>
      <c r="G236" s="200">
        <v>0.29646017699115046</v>
      </c>
      <c r="H236" s="202">
        <v>6102</v>
      </c>
      <c r="I236" s="202">
        <v>1809</v>
      </c>
      <c r="J236" s="210">
        <v>46083</v>
      </c>
      <c r="K236" s="210">
        <v>46110</v>
      </c>
      <c r="L236" s="202">
        <v>4</v>
      </c>
      <c r="M236" s="199" t="s">
        <v>1229</v>
      </c>
      <c r="N236" s="199" t="s">
        <v>1232</v>
      </c>
      <c r="O236" s="200">
        <v>0.75000000000000044</v>
      </c>
      <c r="P236" s="200">
        <v>-0.45353982300884998</v>
      </c>
      <c r="Q236" s="199" t="s">
        <v>1461</v>
      </c>
    </row>
    <row r="237" spans="1:17" x14ac:dyDescent="0.35">
      <c r="A237" s="198">
        <v>1480</v>
      </c>
      <c r="B237" s="209" t="s">
        <v>291</v>
      </c>
      <c r="C237" s="209" t="s">
        <v>563</v>
      </c>
      <c r="D237" s="209" t="s">
        <v>29</v>
      </c>
      <c r="E237" s="200">
        <v>3.2921810699588501E-2</v>
      </c>
      <c r="F237" s="205">
        <v>9.4</v>
      </c>
      <c r="G237" s="200">
        <v>0.14961782403642868</v>
      </c>
      <c r="H237" s="202">
        <v>6149</v>
      </c>
      <c r="I237" s="202">
        <v>920</v>
      </c>
      <c r="J237" s="210">
        <v>46111</v>
      </c>
      <c r="K237" s="210">
        <v>46138</v>
      </c>
      <c r="L237" s="202">
        <v>4</v>
      </c>
      <c r="M237" s="199" t="s">
        <v>1229</v>
      </c>
      <c r="N237" s="199" t="s">
        <v>1232</v>
      </c>
      <c r="O237" s="200">
        <v>4.9999999999999975E-2</v>
      </c>
      <c r="P237" s="200">
        <v>9.9617824036428701E-2</v>
      </c>
      <c r="Q237" s="199" t="s">
        <v>1460</v>
      </c>
    </row>
    <row r="238" spans="1:17" ht="23" x14ac:dyDescent="0.35">
      <c r="A238" s="198" t="s">
        <v>1548</v>
      </c>
      <c r="B238" s="209" t="s">
        <v>291</v>
      </c>
      <c r="C238" s="209" t="s">
        <v>916</v>
      </c>
      <c r="D238" s="209" t="s">
        <v>29</v>
      </c>
      <c r="E238" s="200">
        <v>0.104554865424431</v>
      </c>
      <c r="F238" s="205">
        <v>8.65</v>
      </c>
      <c r="G238" s="200">
        <v>0.27256851155292855</v>
      </c>
      <c r="H238" s="202">
        <v>7444</v>
      </c>
      <c r="I238" s="202">
        <v>2029</v>
      </c>
      <c r="J238" s="210">
        <v>46139</v>
      </c>
      <c r="K238" s="210">
        <v>46173</v>
      </c>
      <c r="L238" s="202">
        <v>5</v>
      </c>
      <c r="M238" s="199" t="s">
        <v>1251</v>
      </c>
      <c r="N238" s="199" t="s">
        <v>1232</v>
      </c>
      <c r="O238" s="200">
        <v>0.59999999999999953</v>
      </c>
      <c r="P238" s="200">
        <v>-0.32743148844707098</v>
      </c>
      <c r="Q238" s="199" t="s">
        <v>1461</v>
      </c>
    </row>
    <row r="239" spans="1:17" x14ac:dyDescent="0.35">
      <c r="A239" s="198" t="s">
        <v>1555</v>
      </c>
      <c r="B239" s="209" t="s">
        <v>291</v>
      </c>
      <c r="C239" s="209" t="s">
        <v>154</v>
      </c>
      <c r="D239" s="209" t="s">
        <v>29</v>
      </c>
      <c r="E239" s="200">
        <v>0.100806451612903</v>
      </c>
      <c r="F239" s="205">
        <v>8.92</v>
      </c>
      <c r="G239" s="200">
        <v>0.35813123047165601</v>
      </c>
      <c r="H239" s="202">
        <v>6721</v>
      </c>
      <c r="I239" s="202">
        <v>2407</v>
      </c>
      <c r="J239" s="210">
        <v>46195</v>
      </c>
      <c r="K239" s="210">
        <v>46229</v>
      </c>
      <c r="L239" s="202">
        <v>5</v>
      </c>
      <c r="M239" s="199" t="s">
        <v>1251</v>
      </c>
      <c r="N239" s="199" t="s">
        <v>1232</v>
      </c>
      <c r="O239" s="200">
        <v>0.5</v>
      </c>
      <c r="P239" s="200">
        <v>-0.14186876952834401</v>
      </c>
      <c r="Q239" s="199" t="s">
        <v>1461</v>
      </c>
    </row>
    <row r="240" spans="1:17" x14ac:dyDescent="0.35">
      <c r="A240" s="198">
        <v>1486</v>
      </c>
      <c r="B240" s="209" t="s">
        <v>800</v>
      </c>
      <c r="C240" s="209" t="s">
        <v>125</v>
      </c>
      <c r="D240" s="209" t="s">
        <v>29</v>
      </c>
      <c r="E240" s="200">
        <v>0.12349397590361401</v>
      </c>
      <c r="F240" s="205">
        <v>8.73</v>
      </c>
      <c r="G240" s="200">
        <v>0.37528868360277134</v>
      </c>
      <c r="H240" s="202">
        <v>6928</v>
      </c>
      <c r="I240" s="202">
        <v>2600</v>
      </c>
      <c r="J240" s="210">
        <v>46055</v>
      </c>
      <c r="K240" s="210">
        <v>46096</v>
      </c>
      <c r="L240" s="202">
        <v>6</v>
      </c>
      <c r="M240" s="199" t="s">
        <v>1229</v>
      </c>
      <c r="N240" s="199" t="s">
        <v>1232</v>
      </c>
      <c r="O240" s="200">
        <v>0.29999999999999993</v>
      </c>
      <c r="P240" s="200">
        <v>7.5288683602771397E-2</v>
      </c>
      <c r="Q240" s="199" t="s">
        <v>1460</v>
      </c>
    </row>
    <row r="241" spans="1:17" x14ac:dyDescent="0.35">
      <c r="A241" s="198">
        <v>1487</v>
      </c>
      <c r="B241" s="209" t="s">
        <v>800</v>
      </c>
      <c r="C241" s="209" t="s">
        <v>187</v>
      </c>
      <c r="D241" s="209" t="s">
        <v>29</v>
      </c>
      <c r="E241" s="200">
        <v>0.13755020080321301</v>
      </c>
      <c r="F241" s="205">
        <v>8.59</v>
      </c>
      <c r="G241" s="200">
        <v>0.45627615062761506</v>
      </c>
      <c r="H241" s="202">
        <v>4780</v>
      </c>
      <c r="I241" s="202">
        <v>2181</v>
      </c>
      <c r="J241" s="210">
        <v>46146</v>
      </c>
      <c r="K241" s="210">
        <v>46173</v>
      </c>
      <c r="L241" s="202">
        <v>4</v>
      </c>
      <c r="M241" s="199" t="s">
        <v>1229</v>
      </c>
      <c r="N241" s="199" t="s">
        <v>1232</v>
      </c>
      <c r="O241" s="200">
        <v>0.49999999999999994</v>
      </c>
      <c r="P241" s="200">
        <v>-4.3723849372384903E-2</v>
      </c>
      <c r="Q241" s="199" t="s">
        <v>1461</v>
      </c>
    </row>
    <row r="242" spans="1:17" x14ac:dyDescent="0.35">
      <c r="A242" s="198">
        <v>1494</v>
      </c>
      <c r="B242" s="209" t="s">
        <v>175</v>
      </c>
      <c r="C242" s="209" t="s">
        <v>125</v>
      </c>
      <c r="D242" s="209" t="s">
        <v>29</v>
      </c>
      <c r="E242" s="200">
        <v>0.13755020080321301</v>
      </c>
      <c r="F242" s="205">
        <v>8.59</v>
      </c>
      <c r="G242" s="200">
        <v>0.45627615062761506</v>
      </c>
      <c r="H242" s="202">
        <v>4780</v>
      </c>
      <c r="I242" s="202">
        <v>2181</v>
      </c>
      <c r="J242" s="210">
        <v>46146</v>
      </c>
      <c r="K242" s="210">
        <v>46173</v>
      </c>
      <c r="L242" s="202">
        <v>4</v>
      </c>
      <c r="M242" s="199" t="s">
        <v>1229</v>
      </c>
      <c r="N242" s="199" t="s">
        <v>1232</v>
      </c>
      <c r="O242" s="200">
        <v>0.20000000000000007</v>
      </c>
      <c r="P242" s="200">
        <v>0.256276150627615</v>
      </c>
      <c r="Q242" s="199" t="s">
        <v>1460</v>
      </c>
    </row>
    <row r="243" spans="1:17" ht="23" x14ac:dyDescent="0.35">
      <c r="A243" s="198">
        <v>936</v>
      </c>
      <c r="B243" s="209" t="s">
        <v>379</v>
      </c>
      <c r="C243" s="209" t="s">
        <v>535</v>
      </c>
      <c r="D243" s="209" t="s">
        <v>24</v>
      </c>
      <c r="E243" s="200">
        <v>8.4967320261437995E-2</v>
      </c>
      <c r="F243" s="205">
        <v>2.8</v>
      </c>
      <c r="G243" s="200">
        <v>0.46100399513635576</v>
      </c>
      <c r="H243" s="202">
        <v>5757</v>
      </c>
      <c r="I243" s="202">
        <v>2654</v>
      </c>
      <c r="J243" s="210">
        <v>46048</v>
      </c>
      <c r="K243" s="210">
        <v>46061</v>
      </c>
      <c r="L243" s="202">
        <v>2</v>
      </c>
      <c r="M243" s="199" t="s">
        <v>1229</v>
      </c>
      <c r="N243" s="199" t="s">
        <v>1232</v>
      </c>
      <c r="O243" s="200">
        <v>0.49999999999999994</v>
      </c>
      <c r="P243" s="200">
        <v>-3.8996004863644199E-2</v>
      </c>
      <c r="Q243" s="199" t="s">
        <v>1461</v>
      </c>
    </row>
    <row r="244" spans="1:17" ht="23" x14ac:dyDescent="0.35">
      <c r="A244" s="198">
        <v>937</v>
      </c>
      <c r="B244" s="209" t="s">
        <v>379</v>
      </c>
      <c r="C244" s="209" t="s">
        <v>1066</v>
      </c>
      <c r="D244" s="209" t="s">
        <v>24</v>
      </c>
      <c r="E244" s="200">
        <v>8.0000000000000099E-2</v>
      </c>
      <c r="F244" s="205">
        <v>2.76</v>
      </c>
      <c r="G244" s="200">
        <v>0.21387590310242244</v>
      </c>
      <c r="H244" s="202">
        <v>9412</v>
      </c>
      <c r="I244" s="202">
        <v>2013</v>
      </c>
      <c r="J244" s="210">
        <v>46104</v>
      </c>
      <c r="K244" s="210">
        <v>46124</v>
      </c>
      <c r="L244" s="202">
        <v>3</v>
      </c>
      <c r="M244" s="199" t="s">
        <v>1229</v>
      </c>
      <c r="N244" s="199" t="s">
        <v>1232</v>
      </c>
      <c r="O244" s="200">
        <v>0.50000000000000044</v>
      </c>
      <c r="P244" s="200">
        <v>-0.28612409689757801</v>
      </c>
      <c r="Q244" s="199" t="s">
        <v>1461</v>
      </c>
    </row>
    <row r="245" spans="1:17" ht="23" x14ac:dyDescent="0.35">
      <c r="A245" s="198">
        <v>941</v>
      </c>
      <c r="B245" s="209" t="s">
        <v>379</v>
      </c>
      <c r="C245" s="209" t="s">
        <v>571</v>
      </c>
      <c r="D245" s="209" t="s">
        <v>29</v>
      </c>
      <c r="E245" s="200">
        <v>4.5454545454545497E-2</v>
      </c>
      <c r="F245" s="205">
        <v>10.5</v>
      </c>
      <c r="G245" s="200">
        <v>0.2356687898089172</v>
      </c>
      <c r="H245" s="202">
        <v>628</v>
      </c>
      <c r="I245" s="202">
        <v>148</v>
      </c>
      <c r="J245" s="210">
        <v>46076</v>
      </c>
      <c r="K245" s="210">
        <v>46089</v>
      </c>
      <c r="L245" s="202">
        <v>2</v>
      </c>
      <c r="M245" s="199" t="s">
        <v>1229</v>
      </c>
      <c r="N245" s="199" t="s">
        <v>1232</v>
      </c>
      <c r="O245" s="200">
        <v>0.40000000000000019</v>
      </c>
      <c r="P245" s="200">
        <v>-0.16433121019108299</v>
      </c>
      <c r="Q245" s="199" t="s">
        <v>1461</v>
      </c>
    </row>
    <row r="246" spans="1:17" ht="23" x14ac:dyDescent="0.35">
      <c r="A246" s="198">
        <v>942</v>
      </c>
      <c r="B246" s="209" t="s">
        <v>379</v>
      </c>
      <c r="C246" s="209" t="s">
        <v>381</v>
      </c>
      <c r="D246" s="209" t="s">
        <v>29</v>
      </c>
      <c r="E246" s="200">
        <v>2.9795158286778395E-2</v>
      </c>
      <c r="F246" s="205">
        <v>10.42</v>
      </c>
      <c r="G246" s="200">
        <v>0.17582417582417584</v>
      </c>
      <c r="H246" s="202">
        <v>910</v>
      </c>
      <c r="I246" s="202">
        <v>160</v>
      </c>
      <c r="J246" s="210">
        <v>46132</v>
      </c>
      <c r="K246" s="210">
        <v>46152</v>
      </c>
      <c r="L246" s="202">
        <v>3</v>
      </c>
      <c r="M246" s="199" t="s">
        <v>1229</v>
      </c>
      <c r="N246" s="199" t="s">
        <v>1232</v>
      </c>
      <c r="O246" s="200">
        <v>0.3999999999999998</v>
      </c>
      <c r="P246" s="200">
        <v>-0.22417582417582399</v>
      </c>
      <c r="Q246" s="199" t="s">
        <v>1461</v>
      </c>
    </row>
    <row r="247" spans="1:17" x14ac:dyDescent="0.35">
      <c r="A247" s="198">
        <v>1218</v>
      </c>
      <c r="B247" s="209" t="s">
        <v>118</v>
      </c>
      <c r="C247" s="209" t="s">
        <v>1055</v>
      </c>
      <c r="D247" s="209" t="s">
        <v>24</v>
      </c>
      <c r="E247" s="200">
        <v>0.145454545454545</v>
      </c>
      <c r="F247" s="205">
        <v>2.35</v>
      </c>
      <c r="G247" s="200">
        <v>0.7073811279026907</v>
      </c>
      <c r="H247" s="202">
        <v>21704</v>
      </c>
      <c r="I247" s="202">
        <v>15353</v>
      </c>
      <c r="J247" s="210">
        <v>46020</v>
      </c>
      <c r="K247" s="210">
        <v>46047</v>
      </c>
      <c r="L247" s="202">
        <v>4</v>
      </c>
      <c r="M247" s="199" t="s">
        <v>1251</v>
      </c>
      <c r="N247" s="199" t="s">
        <v>1232</v>
      </c>
      <c r="O247" s="200">
        <v>0.19999999999999973</v>
      </c>
      <c r="P247" s="200">
        <v>0.50738112790269096</v>
      </c>
      <c r="Q247" s="199" t="s">
        <v>1460</v>
      </c>
    </row>
    <row r="248" spans="1:17" x14ac:dyDescent="0.35">
      <c r="A248" s="198">
        <v>1219</v>
      </c>
      <c r="B248" s="209" t="s">
        <v>118</v>
      </c>
      <c r="C248" s="209" t="s">
        <v>772</v>
      </c>
      <c r="D248" s="209" t="s">
        <v>24</v>
      </c>
      <c r="E248" s="200">
        <v>0.19387755102040799</v>
      </c>
      <c r="F248" s="205">
        <v>2.37</v>
      </c>
      <c r="G248" s="200">
        <v>0.47228397021982288</v>
      </c>
      <c r="H248" s="202">
        <v>28341</v>
      </c>
      <c r="I248" s="202">
        <v>13385</v>
      </c>
      <c r="J248" s="210">
        <v>46083</v>
      </c>
      <c r="K248" s="210">
        <v>46110</v>
      </c>
      <c r="L248" s="202">
        <v>4</v>
      </c>
      <c r="M248" s="199" t="s">
        <v>1251</v>
      </c>
      <c r="N248" s="199" t="s">
        <v>1232</v>
      </c>
      <c r="O248" s="200">
        <v>0.1999999999999999</v>
      </c>
      <c r="P248" s="200">
        <v>0.27228397021982298</v>
      </c>
      <c r="Q248" s="199" t="s">
        <v>1460</v>
      </c>
    </row>
    <row r="249" spans="1:17" x14ac:dyDescent="0.35">
      <c r="A249" s="198">
        <v>1220</v>
      </c>
      <c r="B249" s="209" t="s">
        <v>118</v>
      </c>
      <c r="C249" s="209" t="s">
        <v>1214</v>
      </c>
      <c r="D249" s="209" t="s">
        <v>24</v>
      </c>
      <c r="E249" s="200">
        <v>0.13620071684587801</v>
      </c>
      <c r="F249" s="205">
        <v>2.41</v>
      </c>
      <c r="G249" s="200">
        <v>0.41895129092360928</v>
      </c>
      <c r="H249" s="202">
        <v>15028</v>
      </c>
      <c r="I249" s="202">
        <v>6296</v>
      </c>
      <c r="J249" s="210">
        <v>46174</v>
      </c>
      <c r="K249" s="210">
        <v>46187</v>
      </c>
      <c r="L249" s="202">
        <v>2</v>
      </c>
      <c r="M249" s="199" t="s">
        <v>1251</v>
      </c>
      <c r="N249" s="199" t="s">
        <v>1232</v>
      </c>
      <c r="O249" s="200">
        <v>0.30000000000000027</v>
      </c>
      <c r="P249" s="200">
        <v>0.118951290923609</v>
      </c>
      <c r="Q249" s="199" t="s">
        <v>1460</v>
      </c>
    </row>
    <row r="250" spans="1:17" x14ac:dyDescent="0.35">
      <c r="A250" s="198">
        <v>1222</v>
      </c>
      <c r="B250" s="209" t="s">
        <v>118</v>
      </c>
      <c r="C250" s="209" t="s">
        <v>336</v>
      </c>
      <c r="D250" s="209" t="s">
        <v>29</v>
      </c>
      <c r="E250" s="200">
        <v>6.0894386298763092E-2</v>
      </c>
      <c r="F250" s="205">
        <v>9.8699999999999992</v>
      </c>
      <c r="G250" s="200">
        <v>0.17090017825311943</v>
      </c>
      <c r="H250" s="202">
        <v>4488</v>
      </c>
      <c r="I250" s="202">
        <v>767</v>
      </c>
      <c r="J250" s="210">
        <v>46076</v>
      </c>
      <c r="K250" s="210">
        <v>46103</v>
      </c>
      <c r="L250" s="202">
        <v>4</v>
      </c>
      <c r="M250" s="199" t="s">
        <v>1229</v>
      </c>
      <c r="N250" s="199" t="s">
        <v>1232</v>
      </c>
      <c r="O250" s="200">
        <v>0.20000000000000004</v>
      </c>
      <c r="P250" s="200">
        <v>-2.90998217468806E-2</v>
      </c>
      <c r="Q250" s="199" t="s">
        <v>1461</v>
      </c>
    </row>
    <row r="251" spans="1:17" x14ac:dyDescent="0.35">
      <c r="A251" s="198">
        <v>1223</v>
      </c>
      <c r="B251" s="209" t="s">
        <v>118</v>
      </c>
      <c r="C251" s="209" t="s">
        <v>888</v>
      </c>
      <c r="D251" s="209" t="s">
        <v>29</v>
      </c>
      <c r="E251" s="200">
        <v>9.0909090909090898E-2</v>
      </c>
      <c r="F251" s="205">
        <v>9.3000000000000007</v>
      </c>
      <c r="G251" s="200">
        <v>0.37202688728024819</v>
      </c>
      <c r="H251" s="202">
        <v>3868</v>
      </c>
      <c r="I251" s="202">
        <v>1439</v>
      </c>
      <c r="J251" s="210">
        <v>46111</v>
      </c>
      <c r="K251" s="210">
        <v>46131</v>
      </c>
      <c r="L251" s="202">
        <v>3</v>
      </c>
      <c r="M251" s="199" t="s">
        <v>1251</v>
      </c>
      <c r="N251" s="199" t="s">
        <v>1232</v>
      </c>
      <c r="O251" s="200">
        <v>0.20000000000000018</v>
      </c>
      <c r="P251" s="200">
        <v>0.17202688728024801</v>
      </c>
      <c r="Q251" s="199" t="s">
        <v>1460</v>
      </c>
    </row>
    <row r="252" spans="1:17" x14ac:dyDescent="0.35">
      <c r="A252" s="198">
        <v>1035</v>
      </c>
      <c r="B252" s="209" t="s">
        <v>225</v>
      </c>
      <c r="C252" s="209" t="s">
        <v>642</v>
      </c>
      <c r="D252" s="209" t="s">
        <v>24</v>
      </c>
      <c r="E252" s="200">
        <v>0.19844357976653701</v>
      </c>
      <c r="F252" s="205">
        <v>2.06</v>
      </c>
      <c r="G252" s="200">
        <v>1.1377093101138647</v>
      </c>
      <c r="H252" s="202">
        <v>7465</v>
      </c>
      <c r="I252" s="202">
        <v>8493</v>
      </c>
      <c r="J252" s="210">
        <v>46027</v>
      </c>
      <c r="K252" s="210">
        <v>46068</v>
      </c>
      <c r="L252" s="202">
        <v>6</v>
      </c>
      <c r="M252" s="199" t="s">
        <v>1229</v>
      </c>
      <c r="N252" s="199" t="s">
        <v>1232</v>
      </c>
      <c r="O252" s="200"/>
      <c r="P252" s="200"/>
      <c r="Q252" s="199" t="s">
        <v>1505</v>
      </c>
    </row>
    <row r="253" spans="1:17" x14ac:dyDescent="0.35">
      <c r="A253" s="198">
        <v>1036</v>
      </c>
      <c r="B253" s="209" t="s">
        <v>225</v>
      </c>
      <c r="C253" s="209" t="s">
        <v>226</v>
      </c>
      <c r="D253" s="209" t="s">
        <v>24</v>
      </c>
      <c r="E253" s="200">
        <v>0.26164874551971301</v>
      </c>
      <c r="F253" s="205">
        <v>2.06</v>
      </c>
      <c r="G253" s="200">
        <v>1.3624176069712881</v>
      </c>
      <c r="H253" s="202">
        <v>8951</v>
      </c>
      <c r="I253" s="202">
        <v>12195</v>
      </c>
      <c r="J253" s="210">
        <v>46139</v>
      </c>
      <c r="K253" s="210">
        <v>46180</v>
      </c>
      <c r="L253" s="202">
        <v>6</v>
      </c>
      <c r="M253" s="199" t="s">
        <v>1229</v>
      </c>
      <c r="N253" s="199" t="s">
        <v>1232</v>
      </c>
      <c r="O253" s="200"/>
      <c r="P253" s="200"/>
      <c r="Q253" s="199" t="s">
        <v>1505</v>
      </c>
    </row>
    <row r="254" spans="1:17" ht="23" x14ac:dyDescent="0.35">
      <c r="A254" s="198" t="s">
        <v>1446</v>
      </c>
      <c r="B254" s="209" t="s">
        <v>159</v>
      </c>
      <c r="C254" s="209" t="s">
        <v>569</v>
      </c>
      <c r="D254" s="209" t="s">
        <v>24</v>
      </c>
      <c r="E254" s="200">
        <v>0.22972972972972999</v>
      </c>
      <c r="F254" s="205">
        <v>2.2799999999999998</v>
      </c>
      <c r="G254" s="200">
        <v>0.3321693583587953</v>
      </c>
      <c r="H254" s="202">
        <v>6873</v>
      </c>
      <c r="I254" s="202">
        <v>2283</v>
      </c>
      <c r="J254" s="210">
        <v>46048</v>
      </c>
      <c r="K254" s="210">
        <v>46110</v>
      </c>
      <c r="L254" s="202">
        <v>9</v>
      </c>
      <c r="M254" s="199" t="s">
        <v>1229</v>
      </c>
      <c r="N254" s="199" t="s">
        <v>1232</v>
      </c>
      <c r="O254" s="200">
        <v>0.25</v>
      </c>
      <c r="P254" s="200">
        <v>8.2169358358795297E-2</v>
      </c>
      <c r="Q254" s="199" t="s">
        <v>1460</v>
      </c>
    </row>
    <row r="255" spans="1:17" ht="23" x14ac:dyDescent="0.35">
      <c r="A255" s="198" t="s">
        <v>1447</v>
      </c>
      <c r="B255" s="209" t="s">
        <v>159</v>
      </c>
      <c r="C255" s="209" t="s">
        <v>569</v>
      </c>
      <c r="D255" s="209" t="s">
        <v>29</v>
      </c>
      <c r="E255" s="200">
        <v>8.1952920662598197E-2</v>
      </c>
      <c r="F255" s="205">
        <v>10.53</v>
      </c>
      <c r="G255" s="200">
        <v>0.21631878557874762</v>
      </c>
      <c r="H255" s="202">
        <v>527</v>
      </c>
      <c r="I255" s="202">
        <v>114</v>
      </c>
      <c r="J255" s="210">
        <v>46048</v>
      </c>
      <c r="K255" s="210">
        <v>46075</v>
      </c>
      <c r="L255" s="202">
        <v>4</v>
      </c>
      <c r="M255" s="199" t="s">
        <v>1229</v>
      </c>
      <c r="N255" s="199" t="s">
        <v>1232</v>
      </c>
      <c r="O255" s="200">
        <v>0.25</v>
      </c>
      <c r="P255" s="200">
        <v>-3.3681214421252402E-2</v>
      </c>
      <c r="Q255" s="199" t="s">
        <v>1461</v>
      </c>
    </row>
    <row r="256" spans="1:17" x14ac:dyDescent="0.35">
      <c r="A256" s="198" t="s">
        <v>1449</v>
      </c>
      <c r="B256" s="209" t="s">
        <v>159</v>
      </c>
      <c r="C256" s="209" t="s">
        <v>160</v>
      </c>
      <c r="D256" s="209" t="s">
        <v>24</v>
      </c>
      <c r="E256" s="200">
        <v>3.9007092198581499E-2</v>
      </c>
      <c r="F256" s="205">
        <v>2.71</v>
      </c>
      <c r="G256" s="200">
        <v>0.12255772646536411</v>
      </c>
      <c r="H256" s="202">
        <v>1126</v>
      </c>
      <c r="I256" s="202">
        <v>138</v>
      </c>
      <c r="J256" s="210">
        <v>46139</v>
      </c>
      <c r="K256" s="210">
        <v>46152</v>
      </c>
      <c r="L256" s="202">
        <v>2</v>
      </c>
      <c r="M256" s="199" t="s">
        <v>1229</v>
      </c>
      <c r="N256" s="199" t="s">
        <v>1232</v>
      </c>
      <c r="O256" s="200">
        <v>0.25000000000000011</v>
      </c>
      <c r="P256" s="200">
        <v>-0.127442273534636</v>
      </c>
      <c r="Q256" s="199" t="s">
        <v>1461</v>
      </c>
    </row>
    <row r="257" spans="1:17" x14ac:dyDescent="0.35">
      <c r="A257" s="198" t="s">
        <v>1450</v>
      </c>
      <c r="B257" s="209" t="s">
        <v>159</v>
      </c>
      <c r="C257" s="209" t="s">
        <v>160</v>
      </c>
      <c r="D257" s="209" t="s">
        <v>29</v>
      </c>
      <c r="E257" s="200">
        <v>9.0081892629663304E-2</v>
      </c>
      <c r="F257" s="205">
        <v>10</v>
      </c>
      <c r="G257" s="200">
        <v>0.2356687898089172</v>
      </c>
      <c r="H257" s="202">
        <v>314</v>
      </c>
      <c r="I257" s="202">
        <v>74</v>
      </c>
      <c r="J257" s="210">
        <v>46139</v>
      </c>
      <c r="K257" s="210">
        <v>46152</v>
      </c>
      <c r="L257" s="202">
        <v>2</v>
      </c>
      <c r="M257" s="199" t="s">
        <v>1229</v>
      </c>
      <c r="N257" s="199" t="s">
        <v>1232</v>
      </c>
      <c r="O257" s="200">
        <v>0.25</v>
      </c>
      <c r="P257" s="200">
        <v>-1.4331210191082799E-2</v>
      </c>
      <c r="Q257" s="199" t="s">
        <v>1461</v>
      </c>
    </row>
    <row r="258" spans="1:17" x14ac:dyDescent="0.35">
      <c r="A258" s="198">
        <v>1238</v>
      </c>
      <c r="B258" s="209" t="s">
        <v>156</v>
      </c>
      <c r="C258" s="209" t="s">
        <v>289</v>
      </c>
      <c r="D258" s="209" t="s">
        <v>24</v>
      </c>
      <c r="E258" s="200">
        <v>0.14714714714714702</v>
      </c>
      <c r="F258" s="205">
        <v>2.8400000000000003</v>
      </c>
      <c r="G258" s="200">
        <v>0.35506250858634431</v>
      </c>
      <c r="H258" s="202">
        <v>58232</v>
      </c>
      <c r="I258" s="202">
        <v>20676</v>
      </c>
      <c r="J258" s="210">
        <v>46083</v>
      </c>
      <c r="K258" s="210">
        <v>46110</v>
      </c>
      <c r="L258" s="202">
        <v>4</v>
      </c>
      <c r="M258" s="199" t="s">
        <v>1251</v>
      </c>
      <c r="N258" s="199" t="s">
        <v>1230</v>
      </c>
      <c r="O258" s="200">
        <v>0.20000000000000029</v>
      </c>
      <c r="P258" s="200">
        <v>0.15506250858634402</v>
      </c>
      <c r="Q258" s="199" t="s">
        <v>1460</v>
      </c>
    </row>
    <row r="259" spans="1:17" x14ac:dyDescent="0.35">
      <c r="A259" s="198">
        <v>1239</v>
      </c>
      <c r="B259" s="209" t="s">
        <v>156</v>
      </c>
      <c r="C259" s="209" t="s">
        <v>1061</v>
      </c>
      <c r="D259" s="209" t="s">
        <v>24</v>
      </c>
      <c r="E259" s="200">
        <v>0.146341463414634</v>
      </c>
      <c r="F259" s="205">
        <v>2.8</v>
      </c>
      <c r="G259" s="200">
        <v>0.34638146254560542</v>
      </c>
      <c r="H259" s="202">
        <v>81953</v>
      </c>
      <c r="I259" s="202">
        <v>28387</v>
      </c>
      <c r="J259" s="210">
        <v>46111</v>
      </c>
      <c r="K259" s="210">
        <v>46145</v>
      </c>
      <c r="L259" s="202">
        <v>5</v>
      </c>
      <c r="M259" s="199" t="s">
        <v>1251</v>
      </c>
      <c r="N259" s="199" t="s">
        <v>1230</v>
      </c>
      <c r="O259" s="200">
        <v>0.20000000000000043</v>
      </c>
      <c r="P259" s="200">
        <v>0.146381462545605</v>
      </c>
      <c r="Q259" s="199" t="s">
        <v>1460</v>
      </c>
    </row>
    <row r="260" spans="1:17" x14ac:dyDescent="0.35">
      <c r="A260" s="198">
        <v>1039</v>
      </c>
      <c r="B260" s="209" t="s">
        <v>42</v>
      </c>
      <c r="C260" s="209" t="s">
        <v>223</v>
      </c>
      <c r="D260" s="209" t="s">
        <v>29</v>
      </c>
      <c r="E260" s="200">
        <v>4.0991420400381298E-2</v>
      </c>
      <c r="F260" s="205">
        <v>10.06</v>
      </c>
      <c r="G260" s="200">
        <v>9.9085365853658541E-2</v>
      </c>
      <c r="H260" s="202">
        <v>3936</v>
      </c>
      <c r="I260" s="202">
        <v>390</v>
      </c>
      <c r="J260" s="210">
        <v>46069</v>
      </c>
      <c r="K260" s="210">
        <v>46082</v>
      </c>
      <c r="L260" s="202">
        <v>2</v>
      </c>
      <c r="M260" s="199" t="s">
        <v>1229</v>
      </c>
      <c r="N260" s="199" t="s">
        <v>1234</v>
      </c>
      <c r="O260" s="200">
        <v>0.19999999999999954</v>
      </c>
      <c r="P260" s="200">
        <v>-0.100914634146341</v>
      </c>
      <c r="Q260" s="199" t="s">
        <v>1461</v>
      </c>
    </row>
    <row r="261" spans="1:17" x14ac:dyDescent="0.35">
      <c r="A261" s="198">
        <v>1040</v>
      </c>
      <c r="B261" s="209" t="s">
        <v>42</v>
      </c>
      <c r="C261" s="209" t="s">
        <v>652</v>
      </c>
      <c r="D261" s="209" t="s">
        <v>24</v>
      </c>
      <c r="E261" s="200">
        <v>0.11515151515151499</v>
      </c>
      <c r="F261" s="205">
        <v>2.92</v>
      </c>
      <c r="G261" s="200">
        <v>0.58006323228566115</v>
      </c>
      <c r="H261" s="202">
        <v>5377</v>
      </c>
      <c r="I261" s="202">
        <v>3119</v>
      </c>
      <c r="J261" s="210">
        <v>46062</v>
      </c>
      <c r="K261" s="210">
        <v>46068</v>
      </c>
      <c r="L261" s="202">
        <v>1</v>
      </c>
      <c r="M261" s="199" t="s">
        <v>1229</v>
      </c>
      <c r="N261" s="199" t="s">
        <v>1234</v>
      </c>
      <c r="O261" s="200">
        <v>0.20000000000000012</v>
      </c>
      <c r="P261" s="200">
        <v>0.38006323228566102</v>
      </c>
      <c r="Q261" s="199" t="s">
        <v>1460</v>
      </c>
    </row>
    <row r="262" spans="1:17" x14ac:dyDescent="0.35">
      <c r="A262" s="198">
        <v>1041</v>
      </c>
      <c r="B262" s="209" t="s">
        <v>42</v>
      </c>
      <c r="C262" s="209" t="s">
        <v>604</v>
      </c>
      <c r="D262" s="209" t="s">
        <v>29</v>
      </c>
      <c r="E262" s="200">
        <v>7.6999999999999999E-2</v>
      </c>
      <c r="F262" s="205">
        <v>9.23</v>
      </c>
      <c r="G262" s="200">
        <v>0.22110960757780784</v>
      </c>
      <c r="H262" s="202">
        <v>3695</v>
      </c>
      <c r="I262" s="202">
        <v>817</v>
      </c>
      <c r="J262" s="210">
        <v>46034</v>
      </c>
      <c r="K262" s="210">
        <v>46047</v>
      </c>
      <c r="L262" s="202">
        <v>2</v>
      </c>
      <c r="M262" s="199" t="s">
        <v>1229</v>
      </c>
      <c r="N262" s="199" t="s">
        <v>1234</v>
      </c>
      <c r="O262" s="200">
        <v>0.20000000000000004</v>
      </c>
      <c r="P262" s="200">
        <v>2.1109607577807801E-2</v>
      </c>
      <c r="Q262" s="199" t="s">
        <v>1460</v>
      </c>
    </row>
    <row r="263" spans="1:17" x14ac:dyDescent="0.35">
      <c r="A263" s="198">
        <v>1042</v>
      </c>
      <c r="B263" s="209" t="s">
        <v>42</v>
      </c>
      <c r="C263" s="209" t="s">
        <v>990</v>
      </c>
      <c r="D263" s="209" t="s">
        <v>24</v>
      </c>
      <c r="E263" s="200">
        <v>0.117117117117117</v>
      </c>
      <c r="F263" s="205">
        <v>2.94</v>
      </c>
      <c r="G263" s="200">
        <v>0.63832349753101292</v>
      </c>
      <c r="H263" s="202">
        <v>8303</v>
      </c>
      <c r="I263" s="202">
        <v>5300</v>
      </c>
      <c r="J263" s="210">
        <v>46023</v>
      </c>
      <c r="K263" s="210">
        <v>46033</v>
      </c>
      <c r="L263" s="202">
        <v>2</v>
      </c>
      <c r="M263" s="199" t="s">
        <v>1229</v>
      </c>
      <c r="N263" s="199" t="s">
        <v>1234</v>
      </c>
      <c r="O263" s="200">
        <v>0.29999999999999993</v>
      </c>
      <c r="P263" s="200">
        <v>0.33832349753101298</v>
      </c>
      <c r="Q263" s="199" t="s">
        <v>1460</v>
      </c>
    </row>
    <row r="264" spans="1:17" x14ac:dyDescent="0.35">
      <c r="A264" s="198">
        <v>1046</v>
      </c>
      <c r="B264" s="209" t="s">
        <v>42</v>
      </c>
      <c r="C264" s="209" t="s">
        <v>854</v>
      </c>
      <c r="D264" s="209" t="s">
        <v>24</v>
      </c>
      <c r="E264" s="200">
        <v>0.13017751479289899</v>
      </c>
      <c r="F264" s="205">
        <v>2.94</v>
      </c>
      <c r="G264" s="200">
        <v>0.81892680736416701</v>
      </c>
      <c r="H264" s="202">
        <v>8908</v>
      </c>
      <c r="I264" s="202">
        <v>7295</v>
      </c>
      <c r="J264" s="210">
        <v>46083</v>
      </c>
      <c r="K264" s="210">
        <v>46096</v>
      </c>
      <c r="L264" s="202">
        <v>2</v>
      </c>
      <c r="M264" s="199" t="s">
        <v>1229</v>
      </c>
      <c r="N264" s="199" t="s">
        <v>1234</v>
      </c>
      <c r="O264" s="200">
        <v>0.30000000000000004</v>
      </c>
      <c r="P264" s="200">
        <v>0.51892680736416696</v>
      </c>
      <c r="Q264" s="199" t="s">
        <v>1460</v>
      </c>
    </row>
    <row r="265" spans="1:17" x14ac:dyDescent="0.35">
      <c r="A265" s="198">
        <v>1048</v>
      </c>
      <c r="B265" s="209" t="s">
        <v>42</v>
      </c>
      <c r="C265" s="209" t="s">
        <v>1138</v>
      </c>
      <c r="D265" s="209" t="s">
        <v>24</v>
      </c>
      <c r="E265" s="200">
        <v>7.3654390934844105E-2</v>
      </c>
      <c r="F265" s="205">
        <v>3.27</v>
      </c>
      <c r="G265" s="200">
        <v>0.69189492231299055</v>
      </c>
      <c r="H265" s="202">
        <v>12486</v>
      </c>
      <c r="I265" s="202">
        <v>8639</v>
      </c>
      <c r="J265" s="210">
        <v>46132</v>
      </c>
      <c r="K265" s="210">
        <v>46145</v>
      </c>
      <c r="L265" s="202">
        <v>2</v>
      </c>
      <c r="M265" s="199" t="s">
        <v>1251</v>
      </c>
      <c r="N265" s="199" t="s">
        <v>1234</v>
      </c>
      <c r="O265" s="200">
        <v>0.19999999999999957</v>
      </c>
      <c r="P265" s="200">
        <v>0.49189492231299098</v>
      </c>
      <c r="Q265" s="199" t="s">
        <v>1460</v>
      </c>
    </row>
    <row r="266" spans="1:17" x14ac:dyDescent="0.35">
      <c r="A266" s="198">
        <v>1242</v>
      </c>
      <c r="B266" s="209" t="s">
        <v>63</v>
      </c>
      <c r="C266" s="209" t="s">
        <v>430</v>
      </c>
      <c r="D266" s="209" t="s">
        <v>24</v>
      </c>
      <c r="E266" s="200">
        <v>0.23344947735191598</v>
      </c>
      <c r="F266" s="205">
        <v>2.2000000000000002</v>
      </c>
      <c r="G266" s="200">
        <v>0.51353965183752415</v>
      </c>
      <c r="H266" s="202">
        <v>5170</v>
      </c>
      <c r="I266" s="202">
        <v>2655</v>
      </c>
      <c r="J266" s="210">
        <v>46020</v>
      </c>
      <c r="K266" s="210">
        <v>46047</v>
      </c>
      <c r="L266" s="202">
        <v>4</v>
      </c>
      <c r="M266" s="199" t="s">
        <v>1251</v>
      </c>
      <c r="N266" s="199" t="s">
        <v>1232</v>
      </c>
      <c r="O266" s="200">
        <v>0.35000000000000014</v>
      </c>
      <c r="P266" s="200">
        <v>0.163539651837524</v>
      </c>
      <c r="Q266" s="199" t="s">
        <v>1460</v>
      </c>
    </row>
    <row r="267" spans="1:17" x14ac:dyDescent="0.35">
      <c r="A267" s="198">
        <v>1243</v>
      </c>
      <c r="B267" s="209" t="s">
        <v>63</v>
      </c>
      <c r="C267" s="209" t="s">
        <v>206</v>
      </c>
      <c r="D267" s="209" t="s">
        <v>24</v>
      </c>
      <c r="E267" s="200">
        <v>0.13588850174216</v>
      </c>
      <c r="F267" s="205">
        <v>2.48</v>
      </c>
      <c r="G267" s="200">
        <v>0.52322958953540821</v>
      </c>
      <c r="H267" s="202">
        <v>4434</v>
      </c>
      <c r="I267" s="202">
        <v>2320</v>
      </c>
      <c r="J267" s="210">
        <v>46111</v>
      </c>
      <c r="K267" s="210">
        <v>46138</v>
      </c>
      <c r="L267" s="202">
        <v>4</v>
      </c>
      <c r="M267" s="199" t="s">
        <v>1229</v>
      </c>
      <c r="N267" s="199" t="s">
        <v>1232</v>
      </c>
      <c r="O267" s="200">
        <v>0.30000000000000021</v>
      </c>
      <c r="P267" s="200">
        <v>0.223229589535408</v>
      </c>
      <c r="Q267" s="199" t="s">
        <v>1460</v>
      </c>
    </row>
    <row r="268" spans="1:17" x14ac:dyDescent="0.35">
      <c r="A268" s="198">
        <v>1246</v>
      </c>
      <c r="B268" s="209" t="s">
        <v>63</v>
      </c>
      <c r="C268" s="209" t="s">
        <v>557</v>
      </c>
      <c r="D268" s="209" t="s">
        <v>29</v>
      </c>
      <c r="E268" s="200">
        <v>6.8480300187617305E-2</v>
      </c>
      <c r="F268" s="205">
        <v>9.93</v>
      </c>
      <c r="G268" s="200">
        <v>0.44218750000000001</v>
      </c>
      <c r="H268" s="202">
        <v>640</v>
      </c>
      <c r="I268" s="202">
        <v>283</v>
      </c>
      <c r="J268" s="210">
        <v>46048</v>
      </c>
      <c r="K268" s="210">
        <v>46075</v>
      </c>
      <c r="L268" s="202">
        <v>4</v>
      </c>
      <c r="M268" s="199" t="s">
        <v>1251</v>
      </c>
      <c r="N268" s="199" t="s">
        <v>1232</v>
      </c>
      <c r="O268" s="200">
        <v>0.2</v>
      </c>
      <c r="P268" s="200">
        <v>0.2421875</v>
      </c>
      <c r="Q268" s="199" t="s">
        <v>1460</v>
      </c>
    </row>
    <row r="269" spans="1:17" x14ac:dyDescent="0.35">
      <c r="A269" s="198">
        <v>1247</v>
      </c>
      <c r="B269" s="209" t="s">
        <v>63</v>
      </c>
      <c r="C269" s="209" t="s">
        <v>931</v>
      </c>
      <c r="D269" s="209" t="s">
        <v>29</v>
      </c>
      <c r="E269" s="200">
        <v>7.5489282385834106E-2</v>
      </c>
      <c r="F269" s="205">
        <v>9.92</v>
      </c>
      <c r="G269" s="200">
        <v>0.33944954128440369</v>
      </c>
      <c r="H269" s="202">
        <v>545</v>
      </c>
      <c r="I269" s="202">
        <v>185</v>
      </c>
      <c r="J269" s="210">
        <v>46146</v>
      </c>
      <c r="K269" s="210">
        <v>46173</v>
      </c>
      <c r="L269" s="202">
        <v>4</v>
      </c>
      <c r="M269" s="199" t="s">
        <v>1229</v>
      </c>
      <c r="N269" s="199" t="s">
        <v>1232</v>
      </c>
      <c r="O269" s="200">
        <v>0.35</v>
      </c>
      <c r="P269" s="200">
        <v>-1.05504587155963E-2</v>
      </c>
      <c r="Q269" s="199" t="s">
        <v>1461</v>
      </c>
    </row>
    <row r="270" spans="1:17" x14ac:dyDescent="0.35">
      <c r="A270" s="198">
        <v>1170</v>
      </c>
      <c r="B270" s="209" t="s">
        <v>613</v>
      </c>
      <c r="C270" s="209" t="s">
        <v>614</v>
      </c>
      <c r="D270" s="209" t="s">
        <v>24</v>
      </c>
      <c r="E270" s="200">
        <v>0.18338108882521501</v>
      </c>
      <c r="F270" s="205">
        <v>2.85</v>
      </c>
      <c r="G270" s="200">
        <v>0.260321869910911</v>
      </c>
      <c r="H270" s="202">
        <v>20878</v>
      </c>
      <c r="I270" s="202">
        <v>5435</v>
      </c>
      <c r="J270" s="210">
        <v>46041</v>
      </c>
      <c r="K270" s="210">
        <v>46075</v>
      </c>
      <c r="L270" s="202">
        <v>5</v>
      </c>
      <c r="M270" s="199" t="s">
        <v>1251</v>
      </c>
      <c r="N270" s="199" t="s">
        <v>1230</v>
      </c>
      <c r="O270" s="200">
        <v>0.15000000000000002</v>
      </c>
      <c r="P270" s="200">
        <v>0.11032186991091099</v>
      </c>
      <c r="Q270" s="199" t="s">
        <v>1460</v>
      </c>
    </row>
    <row r="271" spans="1:17" x14ac:dyDescent="0.35">
      <c r="A271" s="198">
        <v>1250</v>
      </c>
      <c r="B271" s="209" t="s">
        <v>786</v>
      </c>
      <c r="C271" s="209" t="s">
        <v>866</v>
      </c>
      <c r="D271" s="209" t="s">
        <v>24</v>
      </c>
      <c r="E271" s="200">
        <v>0.18229166666666699</v>
      </c>
      <c r="F271" s="205">
        <v>3.14</v>
      </c>
      <c r="G271" s="200">
        <v>0.34740146494593654</v>
      </c>
      <c r="H271" s="202">
        <v>8601</v>
      </c>
      <c r="I271" s="202">
        <v>2988</v>
      </c>
      <c r="J271" s="210">
        <v>46083</v>
      </c>
      <c r="K271" s="210">
        <v>46138</v>
      </c>
      <c r="L271" s="202">
        <v>8</v>
      </c>
      <c r="M271" s="199" t="s">
        <v>1229</v>
      </c>
      <c r="N271" s="199" t="s">
        <v>1230</v>
      </c>
      <c r="O271" s="200">
        <v>0.29999999999999993</v>
      </c>
      <c r="P271" s="200">
        <v>4.7401464945936597E-2</v>
      </c>
      <c r="Q271" s="199" t="s">
        <v>1460</v>
      </c>
    </row>
    <row r="272" spans="1:17" x14ac:dyDescent="0.35">
      <c r="A272" s="198">
        <v>1252</v>
      </c>
      <c r="B272" s="209" t="s">
        <v>786</v>
      </c>
      <c r="C272" s="209" t="s">
        <v>1185</v>
      </c>
      <c r="D272" s="209" t="s">
        <v>24</v>
      </c>
      <c r="E272" s="200">
        <v>0.19791666666666699</v>
      </c>
      <c r="F272" s="205">
        <v>3.08</v>
      </c>
      <c r="G272" s="200">
        <v>0.25240847784200388</v>
      </c>
      <c r="H272" s="202">
        <v>1038</v>
      </c>
      <c r="I272" s="202">
        <v>262</v>
      </c>
      <c r="J272" s="210">
        <v>46202</v>
      </c>
      <c r="K272" s="210">
        <v>46208</v>
      </c>
      <c r="L272" s="202">
        <v>1</v>
      </c>
      <c r="M272" s="199" t="s">
        <v>1229</v>
      </c>
      <c r="N272" s="199" t="s">
        <v>1230</v>
      </c>
      <c r="O272" s="200">
        <v>0.3</v>
      </c>
      <c r="P272" s="200">
        <v>-4.75915221579961E-2</v>
      </c>
      <c r="Q272" s="199" t="s">
        <v>1461</v>
      </c>
    </row>
    <row r="273" spans="1:17" x14ac:dyDescent="0.35">
      <c r="A273" s="198">
        <v>949</v>
      </c>
      <c r="B273" s="209" t="s">
        <v>314</v>
      </c>
      <c r="C273" s="209" t="s">
        <v>1090</v>
      </c>
      <c r="D273" s="209" t="s">
        <v>24</v>
      </c>
      <c r="E273" s="200">
        <v>0.17056856187291</v>
      </c>
      <c r="F273" s="205">
        <v>2.48</v>
      </c>
      <c r="G273" s="200">
        <v>0.53173413293353322</v>
      </c>
      <c r="H273" s="202">
        <v>2001</v>
      </c>
      <c r="I273" s="202">
        <v>1064</v>
      </c>
      <c r="J273" s="210">
        <v>46027</v>
      </c>
      <c r="K273" s="210">
        <v>46046</v>
      </c>
      <c r="L273" s="202">
        <v>3</v>
      </c>
      <c r="M273" s="199" t="s">
        <v>1229</v>
      </c>
      <c r="N273" s="199" t="s">
        <v>1512</v>
      </c>
      <c r="O273" s="200">
        <v>0.15000000000000024</v>
      </c>
      <c r="P273" s="200">
        <v>0.38173413293353298</v>
      </c>
      <c r="Q273" s="199" t="s">
        <v>1460</v>
      </c>
    </row>
    <row r="274" spans="1:17" x14ac:dyDescent="0.35">
      <c r="A274" s="198">
        <v>950</v>
      </c>
      <c r="B274" s="209" t="s">
        <v>314</v>
      </c>
      <c r="C274" s="209" t="s">
        <v>575</v>
      </c>
      <c r="D274" s="209" t="s">
        <v>24</v>
      </c>
      <c r="E274" s="200">
        <v>0.24666666666666698</v>
      </c>
      <c r="F274" s="205">
        <v>2.2599999999999998</v>
      </c>
      <c r="G274" s="200">
        <v>0.76380930552372217</v>
      </c>
      <c r="H274" s="202">
        <v>8726</v>
      </c>
      <c r="I274" s="202">
        <v>6665</v>
      </c>
      <c r="J274" s="210">
        <v>46153</v>
      </c>
      <c r="K274" s="210">
        <v>46194</v>
      </c>
      <c r="L274" s="202">
        <v>6</v>
      </c>
      <c r="M274" s="199" t="s">
        <v>1229</v>
      </c>
      <c r="N274" s="199" t="s">
        <v>1512</v>
      </c>
      <c r="O274" s="200">
        <v>0.20000000000000018</v>
      </c>
      <c r="P274" s="200">
        <v>0.56380930552372199</v>
      </c>
      <c r="Q274" s="199" t="s">
        <v>1460</v>
      </c>
    </row>
    <row r="275" spans="1:17" x14ac:dyDescent="0.35">
      <c r="A275" s="198">
        <v>954</v>
      </c>
      <c r="B275" s="209" t="s">
        <v>302</v>
      </c>
      <c r="C275" s="209" t="s">
        <v>1071</v>
      </c>
      <c r="D275" s="209" t="s">
        <v>24</v>
      </c>
      <c r="E275" s="200">
        <v>0.25</v>
      </c>
      <c r="F275" s="205">
        <v>2.5499999999999998</v>
      </c>
      <c r="G275" s="200">
        <v>0.6834862385321101</v>
      </c>
      <c r="H275" s="202">
        <v>1308</v>
      </c>
      <c r="I275" s="202">
        <v>894</v>
      </c>
      <c r="J275" s="210">
        <v>46090</v>
      </c>
      <c r="K275" s="210">
        <v>46103</v>
      </c>
      <c r="L275" s="202">
        <v>2</v>
      </c>
      <c r="M275" s="199" t="s">
        <v>1229</v>
      </c>
      <c r="N275" s="199" t="s">
        <v>1232</v>
      </c>
      <c r="O275" s="200">
        <v>0.75</v>
      </c>
      <c r="P275" s="200">
        <v>-6.6513761467889898E-2</v>
      </c>
      <c r="Q275" s="199" t="s">
        <v>1461</v>
      </c>
    </row>
    <row r="276" spans="1:17" x14ac:dyDescent="0.35">
      <c r="A276" s="198">
        <v>955</v>
      </c>
      <c r="B276" s="209" t="s">
        <v>302</v>
      </c>
      <c r="C276" s="209" t="s">
        <v>488</v>
      </c>
      <c r="D276" s="209" t="s">
        <v>24</v>
      </c>
      <c r="E276" s="200">
        <v>0.16666666666666699</v>
      </c>
      <c r="F276" s="205">
        <v>2.5</v>
      </c>
      <c r="G276" s="200">
        <v>0.50718954248366011</v>
      </c>
      <c r="H276" s="202">
        <v>1530</v>
      </c>
      <c r="I276" s="202">
        <v>776</v>
      </c>
      <c r="J276" s="210">
        <v>46153</v>
      </c>
      <c r="K276" s="210">
        <v>46166</v>
      </c>
      <c r="L276" s="202">
        <v>2</v>
      </c>
      <c r="M276" s="199" t="s">
        <v>1229</v>
      </c>
      <c r="N276" s="199" t="s">
        <v>1232</v>
      </c>
      <c r="O276" s="200">
        <v>1.25</v>
      </c>
      <c r="P276" s="200">
        <v>-0.74281045751634001</v>
      </c>
      <c r="Q276" s="199" t="s">
        <v>1461</v>
      </c>
    </row>
    <row r="277" spans="1:17" x14ac:dyDescent="0.35">
      <c r="A277" s="198">
        <v>959</v>
      </c>
      <c r="B277" s="209" t="s">
        <v>302</v>
      </c>
      <c r="C277" s="209" t="s">
        <v>761</v>
      </c>
      <c r="D277" s="209" t="s">
        <v>29</v>
      </c>
      <c r="E277" s="200">
        <v>0.25020850708924097</v>
      </c>
      <c r="F277" s="205">
        <v>8.99</v>
      </c>
      <c r="G277" s="200">
        <v>0.63023255813953494</v>
      </c>
      <c r="H277" s="202">
        <v>430</v>
      </c>
      <c r="I277" s="202">
        <v>271</v>
      </c>
      <c r="J277" s="210">
        <v>46146</v>
      </c>
      <c r="K277" s="210">
        <v>46173</v>
      </c>
      <c r="L277" s="202">
        <v>4</v>
      </c>
      <c r="M277" s="199" t="s">
        <v>1229</v>
      </c>
      <c r="N277" s="199" t="s">
        <v>1232</v>
      </c>
      <c r="O277" s="200">
        <v>0.75</v>
      </c>
      <c r="P277" s="200">
        <v>-0.11976744186046501</v>
      </c>
      <c r="Q277" s="199" t="s">
        <v>1461</v>
      </c>
    </row>
    <row r="278" spans="1:17" x14ac:dyDescent="0.35">
      <c r="A278" s="198">
        <v>1179</v>
      </c>
      <c r="B278" s="209" t="s">
        <v>649</v>
      </c>
      <c r="C278" s="209" t="s">
        <v>1078</v>
      </c>
      <c r="D278" s="209" t="s">
        <v>24</v>
      </c>
      <c r="E278" s="200">
        <v>0.19197707736389702</v>
      </c>
      <c r="F278" s="205">
        <v>2.82</v>
      </c>
      <c r="G278" s="200">
        <v>0.40453786614053727</v>
      </c>
      <c r="H278" s="202">
        <v>13178</v>
      </c>
      <c r="I278" s="202">
        <v>5331</v>
      </c>
      <c r="J278" s="210">
        <v>46083</v>
      </c>
      <c r="K278" s="210">
        <v>46145</v>
      </c>
      <c r="L278" s="202">
        <v>9</v>
      </c>
      <c r="M278" s="199" t="s">
        <v>1229</v>
      </c>
      <c r="N278" s="199" t="s">
        <v>1230</v>
      </c>
      <c r="O278" s="200">
        <v>0.1500000000000003</v>
      </c>
      <c r="P278" s="200">
        <v>0.25453786614053697</v>
      </c>
      <c r="Q278" s="199" t="s">
        <v>1460</v>
      </c>
    </row>
    <row r="279" spans="1:17" ht="23" x14ac:dyDescent="0.35">
      <c r="A279" s="198">
        <v>1062</v>
      </c>
      <c r="B279" s="209" t="s">
        <v>858</v>
      </c>
      <c r="C279" s="209" t="s">
        <v>1179</v>
      </c>
      <c r="D279" s="209" t="s">
        <v>24</v>
      </c>
      <c r="E279" s="200">
        <v>0.27272727272727298</v>
      </c>
      <c r="F279" s="205">
        <v>2</v>
      </c>
      <c r="G279" s="200">
        <v>0.82345360824742264</v>
      </c>
      <c r="H279" s="202">
        <v>14744</v>
      </c>
      <c r="I279" s="202">
        <v>12141</v>
      </c>
      <c r="J279" s="210">
        <v>46055</v>
      </c>
      <c r="K279" s="210">
        <v>46082</v>
      </c>
      <c r="L279" s="202">
        <v>4</v>
      </c>
      <c r="M279" s="199" t="s">
        <v>1251</v>
      </c>
      <c r="N279" s="199" t="s">
        <v>1232</v>
      </c>
      <c r="O279" s="200"/>
      <c r="P279" s="200"/>
      <c r="Q279" s="199" t="s">
        <v>1505</v>
      </c>
    </row>
    <row r="280" spans="1:17" x14ac:dyDescent="0.35">
      <c r="A280" s="198">
        <v>1063</v>
      </c>
      <c r="B280" s="209" t="s">
        <v>858</v>
      </c>
      <c r="C280" s="209" t="s">
        <v>945</v>
      </c>
      <c r="D280" s="209" t="s">
        <v>24</v>
      </c>
      <c r="E280" s="200">
        <v>0.28315412186379901</v>
      </c>
      <c r="F280" s="205">
        <v>2</v>
      </c>
      <c r="G280" s="200">
        <v>0.79918135494110765</v>
      </c>
      <c r="H280" s="202">
        <v>11971</v>
      </c>
      <c r="I280" s="202">
        <v>9567</v>
      </c>
      <c r="J280" s="210">
        <v>46174</v>
      </c>
      <c r="K280" s="210">
        <v>46201</v>
      </c>
      <c r="L280" s="202">
        <v>4</v>
      </c>
      <c r="M280" s="199" t="s">
        <v>1229</v>
      </c>
      <c r="N280" s="199" t="s">
        <v>1232</v>
      </c>
      <c r="O280" s="200"/>
      <c r="P280" s="200"/>
      <c r="Q280" s="199" t="s">
        <v>1505</v>
      </c>
    </row>
    <row r="281" spans="1:17" x14ac:dyDescent="0.35">
      <c r="A281" s="198">
        <v>1065</v>
      </c>
      <c r="B281" s="209" t="s">
        <v>425</v>
      </c>
      <c r="C281" s="209" t="s">
        <v>426</v>
      </c>
      <c r="D281" s="209" t="s">
        <v>24</v>
      </c>
      <c r="E281" s="200">
        <v>0.141891891891892</v>
      </c>
      <c r="F281" s="205">
        <v>2.54</v>
      </c>
      <c r="G281" s="200">
        <v>0.3854651369303449</v>
      </c>
      <c r="H281" s="202">
        <v>28153</v>
      </c>
      <c r="I281" s="202">
        <v>10852</v>
      </c>
      <c r="J281" s="210">
        <v>46119</v>
      </c>
      <c r="K281" s="210">
        <v>46152</v>
      </c>
      <c r="L281" s="202">
        <v>5</v>
      </c>
      <c r="M281" s="199" t="s">
        <v>1251</v>
      </c>
      <c r="N281" s="199" t="s">
        <v>1232</v>
      </c>
      <c r="O281" s="200">
        <v>0.24999999999999989</v>
      </c>
      <c r="P281" s="200">
        <v>0.13546513693034501</v>
      </c>
      <c r="Q281" s="199" t="s">
        <v>1460</v>
      </c>
    </row>
    <row r="282" spans="1:17" x14ac:dyDescent="0.35">
      <c r="A282" s="198">
        <v>1066</v>
      </c>
      <c r="B282" s="209" t="s">
        <v>425</v>
      </c>
      <c r="C282" s="209" t="s">
        <v>852</v>
      </c>
      <c r="D282" s="209" t="s">
        <v>24</v>
      </c>
      <c r="E282" s="200">
        <v>0.31103678929765899</v>
      </c>
      <c r="F282" s="205">
        <v>2.06</v>
      </c>
      <c r="G282" s="200">
        <v>0.48690118437334279</v>
      </c>
      <c r="H282" s="202">
        <v>28285</v>
      </c>
      <c r="I282" s="202">
        <v>13772</v>
      </c>
      <c r="J282" s="210">
        <v>46020</v>
      </c>
      <c r="K282" s="210">
        <v>46054</v>
      </c>
      <c r="L282" s="202">
        <v>5</v>
      </c>
      <c r="M282" s="199" t="s">
        <v>1251</v>
      </c>
      <c r="N282" s="199" t="s">
        <v>1232</v>
      </c>
      <c r="O282" s="200">
        <v>0.34999999999999976</v>
      </c>
      <c r="P282" s="200">
        <v>0.136901184373343</v>
      </c>
      <c r="Q282" s="199" t="s">
        <v>1460</v>
      </c>
    </row>
    <row r="283" spans="1:17" ht="34.5" x14ac:dyDescent="0.35">
      <c r="A283" s="198">
        <v>962</v>
      </c>
      <c r="B283" s="209" t="s">
        <v>90</v>
      </c>
      <c r="C283" s="209" t="s">
        <v>672</v>
      </c>
      <c r="D283" s="209" t="s">
        <v>24</v>
      </c>
      <c r="E283" s="200">
        <v>0.27759197324414697</v>
      </c>
      <c r="F283" s="205">
        <v>2.16</v>
      </c>
      <c r="G283" s="200">
        <v>2.9395938205172714</v>
      </c>
      <c r="H283" s="202">
        <v>5761</v>
      </c>
      <c r="I283" s="202">
        <v>16935</v>
      </c>
      <c r="J283" s="210">
        <v>46020</v>
      </c>
      <c r="K283" s="210">
        <v>46026</v>
      </c>
      <c r="L283" s="202">
        <v>1</v>
      </c>
      <c r="M283" s="199" t="s">
        <v>1229</v>
      </c>
      <c r="N283" s="199" t="s">
        <v>1232</v>
      </c>
      <c r="O283" s="200">
        <v>0.50000000000000133</v>
      </c>
      <c r="P283" s="200">
        <v>2.43959382051727</v>
      </c>
      <c r="Q283" s="199" t="s">
        <v>1460</v>
      </c>
    </row>
    <row r="284" spans="1:17" ht="34.5" x14ac:dyDescent="0.35">
      <c r="A284" s="198">
        <v>963</v>
      </c>
      <c r="B284" s="209" t="s">
        <v>90</v>
      </c>
      <c r="C284" s="209" t="s">
        <v>663</v>
      </c>
      <c r="D284" s="209" t="s">
        <v>24</v>
      </c>
      <c r="E284" s="200">
        <v>0.15</v>
      </c>
      <c r="F284" s="205">
        <v>2.5499999999999998</v>
      </c>
      <c r="G284" s="200">
        <v>2.912346450135332</v>
      </c>
      <c r="H284" s="202">
        <v>4803</v>
      </c>
      <c r="I284" s="202">
        <v>13988</v>
      </c>
      <c r="J284" s="210">
        <v>46132</v>
      </c>
      <c r="K284" s="210">
        <v>46138</v>
      </c>
      <c r="L284" s="202">
        <v>1</v>
      </c>
      <c r="M284" s="199" t="s">
        <v>1229</v>
      </c>
      <c r="N284" s="199" t="s">
        <v>1232</v>
      </c>
      <c r="O284" s="200">
        <v>0.25000000000000222</v>
      </c>
      <c r="P284" s="200">
        <v>2.6623464501353298</v>
      </c>
      <c r="Q284" s="199" t="s">
        <v>1460</v>
      </c>
    </row>
    <row r="285" spans="1:17" ht="23" x14ac:dyDescent="0.35">
      <c r="A285" s="198">
        <v>1070</v>
      </c>
      <c r="B285" s="209" t="s">
        <v>361</v>
      </c>
      <c r="C285" s="209" t="s">
        <v>1106</v>
      </c>
      <c r="D285" s="209" t="s">
        <v>24</v>
      </c>
      <c r="E285" s="200">
        <v>0.24372759856630799</v>
      </c>
      <c r="F285" s="205">
        <v>2.11</v>
      </c>
      <c r="G285" s="200">
        <v>0.94724756782887187</v>
      </c>
      <c r="H285" s="202">
        <v>16549</v>
      </c>
      <c r="I285" s="202">
        <v>15676</v>
      </c>
      <c r="J285" s="210">
        <v>46055</v>
      </c>
      <c r="K285" s="210">
        <v>46075</v>
      </c>
      <c r="L285" s="202">
        <v>3</v>
      </c>
      <c r="M285" s="199" t="s">
        <v>1229</v>
      </c>
      <c r="N285" s="199" t="s">
        <v>1232</v>
      </c>
      <c r="O285" s="200"/>
      <c r="P285" s="200"/>
      <c r="Q285" s="199" t="s">
        <v>1505</v>
      </c>
    </row>
    <row r="286" spans="1:17" ht="23" x14ac:dyDescent="0.35">
      <c r="A286" s="198">
        <v>1071</v>
      </c>
      <c r="B286" s="209" t="s">
        <v>361</v>
      </c>
      <c r="C286" s="209" t="s">
        <v>647</v>
      </c>
      <c r="D286" s="209" t="s">
        <v>24</v>
      </c>
      <c r="E286" s="200">
        <v>0.27240143369175601</v>
      </c>
      <c r="F286" s="205">
        <v>2.0299999999999998</v>
      </c>
      <c r="G286" s="200">
        <v>0.73879796082640192</v>
      </c>
      <c r="H286" s="202">
        <v>14908</v>
      </c>
      <c r="I286" s="202">
        <v>11014</v>
      </c>
      <c r="J286" s="210">
        <v>46027</v>
      </c>
      <c r="K286" s="210">
        <v>46047</v>
      </c>
      <c r="L286" s="202">
        <v>3</v>
      </c>
      <c r="M286" s="199" t="s">
        <v>1229</v>
      </c>
      <c r="N286" s="199" t="s">
        <v>1232</v>
      </c>
      <c r="O286" s="200"/>
      <c r="P286" s="200"/>
      <c r="Q286" s="199" t="s">
        <v>1505</v>
      </c>
    </row>
    <row r="287" spans="1:17" x14ac:dyDescent="0.35">
      <c r="A287" s="198">
        <v>1269</v>
      </c>
      <c r="B287" s="209" t="s">
        <v>217</v>
      </c>
      <c r="C287" s="209" t="s">
        <v>242</v>
      </c>
      <c r="D287" s="209" t="s">
        <v>24</v>
      </c>
      <c r="E287" s="200">
        <v>0.199288256227758</v>
      </c>
      <c r="F287" s="205">
        <v>2.25</v>
      </c>
      <c r="G287" s="200">
        <v>0.72960940282559661</v>
      </c>
      <c r="H287" s="202">
        <v>16846</v>
      </c>
      <c r="I287" s="202">
        <v>12291</v>
      </c>
      <c r="J287" s="210">
        <v>46020</v>
      </c>
      <c r="K287" s="210">
        <v>46033</v>
      </c>
      <c r="L287" s="202">
        <v>2</v>
      </c>
      <c r="M287" s="199" t="s">
        <v>1229</v>
      </c>
      <c r="N287" s="199" t="s">
        <v>1232</v>
      </c>
      <c r="O287" s="200">
        <v>0.59999999999999964</v>
      </c>
      <c r="P287" s="200">
        <v>0.12960940282559699</v>
      </c>
      <c r="Q287" s="199" t="s">
        <v>1460</v>
      </c>
    </row>
    <row r="288" spans="1:17" x14ac:dyDescent="0.35">
      <c r="A288" s="198">
        <v>1270</v>
      </c>
      <c r="B288" s="209" t="s">
        <v>217</v>
      </c>
      <c r="C288" s="209" t="s">
        <v>219</v>
      </c>
      <c r="D288" s="209" t="s">
        <v>24</v>
      </c>
      <c r="E288" s="200">
        <v>0.39426523297491001</v>
      </c>
      <c r="F288" s="205">
        <v>1.69</v>
      </c>
      <c r="G288" s="200">
        <v>1.6301277740416946</v>
      </c>
      <c r="H288" s="202">
        <v>7435</v>
      </c>
      <c r="I288" s="202">
        <v>12120</v>
      </c>
      <c r="J288" s="210">
        <v>46146</v>
      </c>
      <c r="K288" s="210">
        <v>46152</v>
      </c>
      <c r="L288" s="202">
        <v>1</v>
      </c>
      <c r="M288" s="199" t="s">
        <v>1251</v>
      </c>
      <c r="N288" s="199" t="s">
        <v>1232</v>
      </c>
      <c r="O288" s="200">
        <v>0.60000000000000453</v>
      </c>
      <c r="P288" s="200">
        <v>1.0301277740416901</v>
      </c>
      <c r="Q288" s="199" t="s">
        <v>1460</v>
      </c>
    </row>
    <row r="289" spans="1:17" ht="23" x14ac:dyDescent="0.35">
      <c r="A289" s="198">
        <v>1274</v>
      </c>
      <c r="B289" s="209" t="s">
        <v>234</v>
      </c>
      <c r="C289" s="209" t="s">
        <v>847</v>
      </c>
      <c r="D289" s="209" t="s">
        <v>24</v>
      </c>
      <c r="E289" s="200">
        <v>9.2178770949720698E-2</v>
      </c>
      <c r="F289" s="205">
        <v>3.25</v>
      </c>
      <c r="G289" s="200">
        <v>0.21342726895980108</v>
      </c>
      <c r="H289" s="202">
        <v>2413</v>
      </c>
      <c r="I289" s="202">
        <v>515</v>
      </c>
      <c r="J289" s="210">
        <v>46027</v>
      </c>
      <c r="K289" s="210">
        <v>46054</v>
      </c>
      <c r="L289" s="202">
        <v>4</v>
      </c>
      <c r="M289" s="199" t="s">
        <v>1229</v>
      </c>
      <c r="N289" s="199" t="s">
        <v>1230</v>
      </c>
      <c r="O289" s="200">
        <v>0.14999999999999997</v>
      </c>
      <c r="P289" s="200">
        <v>6.3427268959801095E-2</v>
      </c>
      <c r="Q289" s="199" t="s">
        <v>1460</v>
      </c>
    </row>
    <row r="290" spans="1:17" ht="23" x14ac:dyDescent="0.35">
      <c r="A290" s="198">
        <v>1275</v>
      </c>
      <c r="B290" s="209" t="s">
        <v>234</v>
      </c>
      <c r="C290" s="209" t="s">
        <v>235</v>
      </c>
      <c r="D290" s="209" t="s">
        <v>24</v>
      </c>
      <c r="E290" s="200">
        <v>8.6592178770949699E-2</v>
      </c>
      <c r="F290" s="205">
        <v>3.2699999999999996</v>
      </c>
      <c r="G290" s="200">
        <v>0.17055084745762711</v>
      </c>
      <c r="H290" s="202">
        <v>2832</v>
      </c>
      <c r="I290" s="202">
        <v>483</v>
      </c>
      <c r="J290" s="210">
        <v>46055</v>
      </c>
      <c r="K290" s="210">
        <v>46082</v>
      </c>
      <c r="L290" s="202">
        <v>4</v>
      </c>
      <c r="M290" s="199" t="s">
        <v>1229</v>
      </c>
      <c r="N290" s="199" t="s">
        <v>1230</v>
      </c>
      <c r="O290" s="200">
        <v>0.15000000000000002</v>
      </c>
      <c r="P290" s="200">
        <v>2.05508474576271E-2</v>
      </c>
      <c r="Q290" s="199" t="s">
        <v>1460</v>
      </c>
    </row>
    <row r="291" spans="1:17" ht="23" x14ac:dyDescent="0.35">
      <c r="A291" s="198">
        <v>1277</v>
      </c>
      <c r="B291" s="209" t="s">
        <v>234</v>
      </c>
      <c r="C291" s="209" t="s">
        <v>544</v>
      </c>
      <c r="D291" s="209" t="s">
        <v>24</v>
      </c>
      <c r="E291" s="200">
        <v>3.7634408602150601E-2</v>
      </c>
      <c r="F291" s="205">
        <v>3.58</v>
      </c>
      <c r="G291" s="200">
        <v>0.12207305650952233</v>
      </c>
      <c r="H291" s="202">
        <v>3203</v>
      </c>
      <c r="I291" s="202">
        <v>391</v>
      </c>
      <c r="J291" s="210">
        <v>46174</v>
      </c>
      <c r="K291" s="210">
        <v>46201</v>
      </c>
      <c r="L291" s="202">
        <v>4</v>
      </c>
      <c r="M291" s="199" t="s">
        <v>1251</v>
      </c>
      <c r="N291" s="199" t="s">
        <v>1230</v>
      </c>
      <c r="O291" s="200">
        <v>1.1500000000000024</v>
      </c>
      <c r="P291" s="200">
        <v>-1.0279269434904801</v>
      </c>
      <c r="Q291" s="199" t="s">
        <v>1461</v>
      </c>
    </row>
    <row r="292" spans="1:17" x14ac:dyDescent="0.35">
      <c r="A292" s="198">
        <v>1280</v>
      </c>
      <c r="B292" s="209" t="s">
        <v>178</v>
      </c>
      <c r="C292" s="209" t="s">
        <v>518</v>
      </c>
      <c r="D292" s="209" t="s">
        <v>24</v>
      </c>
      <c r="E292" s="200">
        <v>0.25626740947075199</v>
      </c>
      <c r="F292" s="205">
        <v>2.67</v>
      </c>
      <c r="G292" s="200">
        <v>0.27748691099476441</v>
      </c>
      <c r="H292" s="202">
        <v>6876</v>
      </c>
      <c r="I292" s="202">
        <v>1908</v>
      </c>
      <c r="J292" s="210">
        <v>46027</v>
      </c>
      <c r="K292" s="210">
        <v>46054</v>
      </c>
      <c r="L292" s="202">
        <v>4</v>
      </c>
      <c r="M292" s="199" t="s">
        <v>1229</v>
      </c>
      <c r="N292" s="199" t="s">
        <v>1230</v>
      </c>
      <c r="O292" s="200">
        <v>0.3</v>
      </c>
      <c r="P292" s="200">
        <v>-2.25130890052356E-2</v>
      </c>
      <c r="Q292" s="199" t="s">
        <v>1461</v>
      </c>
    </row>
    <row r="293" spans="1:17" x14ac:dyDescent="0.35">
      <c r="A293" s="198">
        <v>1281</v>
      </c>
      <c r="B293" s="209" t="s">
        <v>178</v>
      </c>
      <c r="C293" s="209" t="s">
        <v>399</v>
      </c>
      <c r="D293" s="209" t="s">
        <v>24</v>
      </c>
      <c r="E293" s="200">
        <v>0.250696378830084</v>
      </c>
      <c r="F293" s="205">
        <v>2.69</v>
      </c>
      <c r="G293" s="200">
        <v>0.31142136901299206</v>
      </c>
      <c r="H293" s="202">
        <v>5157</v>
      </c>
      <c r="I293" s="202">
        <v>1606</v>
      </c>
      <c r="J293" s="210">
        <v>46055</v>
      </c>
      <c r="K293" s="210">
        <v>46075</v>
      </c>
      <c r="L293" s="202">
        <v>3</v>
      </c>
      <c r="M293" s="199" t="s">
        <v>1229</v>
      </c>
      <c r="N293" s="199" t="s">
        <v>1230</v>
      </c>
      <c r="O293" s="200">
        <v>0.29999999999999993</v>
      </c>
      <c r="P293" s="200">
        <v>1.1421369012992099E-2</v>
      </c>
      <c r="Q293" s="199" t="s">
        <v>1460</v>
      </c>
    </row>
    <row r="294" spans="1:17" x14ac:dyDescent="0.35">
      <c r="A294" s="198">
        <v>1283</v>
      </c>
      <c r="B294" s="209" t="s">
        <v>178</v>
      </c>
      <c r="C294" s="209" t="s">
        <v>179</v>
      </c>
      <c r="D294" s="209" t="s">
        <v>24</v>
      </c>
      <c r="E294" s="200">
        <v>0.212307692307692</v>
      </c>
      <c r="F294" s="205">
        <v>2.56</v>
      </c>
      <c r="G294" s="200">
        <v>0.3408221797323136</v>
      </c>
      <c r="H294" s="202">
        <v>8368</v>
      </c>
      <c r="I294" s="202">
        <v>2852</v>
      </c>
      <c r="J294" s="210">
        <v>46167</v>
      </c>
      <c r="K294" s="210">
        <v>46194</v>
      </c>
      <c r="L294" s="202">
        <v>4</v>
      </c>
      <c r="M294" s="199" t="s">
        <v>1229</v>
      </c>
      <c r="N294" s="199" t="s">
        <v>1230</v>
      </c>
      <c r="O294" s="200">
        <v>0.19999999999999959</v>
      </c>
      <c r="P294" s="200">
        <v>0.14082217973231401</v>
      </c>
      <c r="Q294" s="199" t="s">
        <v>1460</v>
      </c>
    </row>
    <row r="295" spans="1:17" x14ac:dyDescent="0.35">
      <c r="A295" s="198">
        <v>1074</v>
      </c>
      <c r="B295" s="209" t="s">
        <v>475</v>
      </c>
      <c r="C295" s="209" t="s">
        <v>1161</v>
      </c>
      <c r="D295" s="209" t="s">
        <v>29</v>
      </c>
      <c r="E295" s="200">
        <v>0.208695652173913</v>
      </c>
      <c r="F295" s="205">
        <v>9.1</v>
      </c>
      <c r="G295" s="200">
        <v>0.77393103448275857</v>
      </c>
      <c r="H295" s="202">
        <v>7250</v>
      </c>
      <c r="I295" s="202">
        <v>5611</v>
      </c>
      <c r="J295" s="210">
        <v>46167</v>
      </c>
      <c r="K295" s="210">
        <v>46208</v>
      </c>
      <c r="L295" s="202">
        <v>6</v>
      </c>
      <c r="M295" s="199" t="s">
        <v>1251</v>
      </c>
      <c r="N295" s="199" t="s">
        <v>1232</v>
      </c>
      <c r="O295" s="200">
        <v>0.19999999999999962</v>
      </c>
      <c r="P295" s="200">
        <v>0.57393103448275895</v>
      </c>
      <c r="Q295" s="199" t="s">
        <v>1460</v>
      </c>
    </row>
    <row r="296" spans="1:17" ht="23" x14ac:dyDescent="0.35">
      <c r="A296" s="198">
        <v>1076</v>
      </c>
      <c r="B296" s="209" t="s">
        <v>475</v>
      </c>
      <c r="C296" s="209" t="s">
        <v>1108</v>
      </c>
      <c r="D296" s="209" t="s">
        <v>24</v>
      </c>
      <c r="E296" s="200">
        <v>0.100719424460432</v>
      </c>
      <c r="F296" s="205">
        <v>2.5</v>
      </c>
      <c r="G296" s="200">
        <v>0.43173679498657119</v>
      </c>
      <c r="H296" s="202">
        <v>4468</v>
      </c>
      <c r="I296" s="202">
        <v>1929</v>
      </c>
      <c r="J296" s="210">
        <v>46048</v>
      </c>
      <c r="K296" s="210">
        <v>46089</v>
      </c>
      <c r="L296" s="202">
        <v>6</v>
      </c>
      <c r="M296" s="199" t="s">
        <v>1229</v>
      </c>
      <c r="N296" s="199" t="s">
        <v>1232</v>
      </c>
      <c r="O296" s="200">
        <v>0.30000000000000016</v>
      </c>
      <c r="P296" s="200">
        <v>0.13173679498657101</v>
      </c>
      <c r="Q296" s="199" t="s">
        <v>1460</v>
      </c>
    </row>
    <row r="297" spans="1:17" x14ac:dyDescent="0.35">
      <c r="A297" s="198" t="s">
        <v>1348</v>
      </c>
      <c r="B297" s="209" t="s">
        <v>475</v>
      </c>
      <c r="C297" s="209" t="s">
        <v>636</v>
      </c>
      <c r="D297" s="209" t="s">
        <v>24</v>
      </c>
      <c r="E297" s="200">
        <v>0.161073825503356</v>
      </c>
      <c r="F297" s="205">
        <v>2.5</v>
      </c>
      <c r="G297" s="200">
        <v>0.28816639741518579</v>
      </c>
      <c r="H297" s="202">
        <v>9904</v>
      </c>
      <c r="I297" s="202">
        <v>2854</v>
      </c>
      <c r="J297" s="210">
        <v>46139</v>
      </c>
      <c r="K297" s="210">
        <v>46173</v>
      </c>
      <c r="L297" s="202">
        <v>5</v>
      </c>
      <c r="M297" s="199" t="s">
        <v>1251</v>
      </c>
      <c r="N297" s="199" t="s">
        <v>1232</v>
      </c>
      <c r="O297" s="200">
        <v>0.2</v>
      </c>
      <c r="P297" s="200">
        <v>8.8166397415185796E-2</v>
      </c>
      <c r="Q297" s="199" t="s">
        <v>1460</v>
      </c>
    </row>
    <row r="298" spans="1:17" x14ac:dyDescent="0.35">
      <c r="A298" s="198" t="s">
        <v>1349</v>
      </c>
      <c r="B298" s="209" t="s">
        <v>475</v>
      </c>
      <c r="C298" s="209" t="s">
        <v>636</v>
      </c>
      <c r="D298" s="209" t="s">
        <v>29</v>
      </c>
      <c r="E298" s="200">
        <v>0.23255813953488402</v>
      </c>
      <c r="F298" s="205">
        <v>9.9</v>
      </c>
      <c r="G298" s="200">
        <v>0.61510427211986229</v>
      </c>
      <c r="H298" s="202">
        <v>4939</v>
      </c>
      <c r="I298" s="202">
        <v>3038</v>
      </c>
      <c r="J298" s="210">
        <v>46076</v>
      </c>
      <c r="K298" s="210">
        <v>46138</v>
      </c>
      <c r="L298" s="202">
        <v>9</v>
      </c>
      <c r="M298" s="199" t="s">
        <v>1251</v>
      </c>
      <c r="N298" s="199" t="s">
        <v>1232</v>
      </c>
      <c r="O298" s="200">
        <v>0.30000000000000032</v>
      </c>
      <c r="P298" s="200">
        <v>0.31510427211986197</v>
      </c>
      <c r="Q298" s="199" t="s">
        <v>1460</v>
      </c>
    </row>
    <row r="299" spans="1:17" x14ac:dyDescent="0.35">
      <c r="A299" s="198">
        <v>903</v>
      </c>
      <c r="B299" s="209" t="s">
        <v>149</v>
      </c>
      <c r="C299" s="209" t="s">
        <v>892</v>
      </c>
      <c r="D299" s="209" t="s">
        <v>24</v>
      </c>
      <c r="E299" s="200">
        <v>0.28428093645484998</v>
      </c>
      <c r="F299" s="205">
        <v>2.14</v>
      </c>
      <c r="G299" s="200">
        <v>0.81602914389799641</v>
      </c>
      <c r="H299" s="202">
        <v>2196</v>
      </c>
      <c r="I299" s="202">
        <v>1792</v>
      </c>
      <c r="J299" s="210">
        <v>46027</v>
      </c>
      <c r="K299" s="210">
        <v>46040</v>
      </c>
      <c r="L299" s="202">
        <v>2</v>
      </c>
      <c r="M299" s="199" t="s">
        <v>1229</v>
      </c>
      <c r="N299" s="199" t="s">
        <v>1232</v>
      </c>
      <c r="O299" s="200">
        <v>0.40000000000000041</v>
      </c>
      <c r="P299" s="200">
        <v>0.416029143897996</v>
      </c>
      <c r="Q299" s="199" t="s">
        <v>1460</v>
      </c>
    </row>
    <row r="300" spans="1:17" x14ac:dyDescent="0.35">
      <c r="A300" s="198">
        <v>904</v>
      </c>
      <c r="B300" s="209" t="s">
        <v>149</v>
      </c>
      <c r="C300" s="209" t="s">
        <v>1004</v>
      </c>
      <c r="D300" s="209" t="s">
        <v>24</v>
      </c>
      <c r="E300" s="200">
        <v>0.14046822742474899</v>
      </c>
      <c r="F300" s="205">
        <v>2.57</v>
      </c>
      <c r="G300" s="200">
        <v>0.41659819227608874</v>
      </c>
      <c r="H300" s="202">
        <v>2434</v>
      </c>
      <c r="I300" s="202">
        <v>1014</v>
      </c>
      <c r="J300" s="210">
        <v>46083</v>
      </c>
      <c r="K300" s="210">
        <v>46096</v>
      </c>
      <c r="L300" s="202">
        <v>2</v>
      </c>
      <c r="M300" s="199" t="s">
        <v>1229</v>
      </c>
      <c r="N300" s="199" t="s">
        <v>1232</v>
      </c>
      <c r="O300" s="200">
        <v>0.4</v>
      </c>
      <c r="P300" s="200">
        <v>1.6598192276088702E-2</v>
      </c>
      <c r="Q300" s="199" t="s">
        <v>1460</v>
      </c>
    </row>
    <row r="301" spans="1:17" x14ac:dyDescent="0.35">
      <c r="A301" s="198">
        <v>905</v>
      </c>
      <c r="B301" s="209" t="s">
        <v>149</v>
      </c>
      <c r="C301" s="209" t="s">
        <v>1140</v>
      </c>
      <c r="D301" s="209" t="s">
        <v>24</v>
      </c>
      <c r="E301" s="200">
        <v>0.173913043478261</v>
      </c>
      <c r="F301" s="205">
        <v>2.4700000000000002</v>
      </c>
      <c r="G301" s="200">
        <v>0.43330388692579508</v>
      </c>
      <c r="H301" s="202">
        <v>2264</v>
      </c>
      <c r="I301" s="202">
        <v>981</v>
      </c>
      <c r="J301" s="210">
        <v>46146</v>
      </c>
      <c r="K301" s="210">
        <v>46159</v>
      </c>
      <c r="L301" s="202">
        <v>2</v>
      </c>
      <c r="M301" s="199" t="s">
        <v>1229</v>
      </c>
      <c r="N301" s="199" t="s">
        <v>1232</v>
      </c>
      <c r="O301" s="200">
        <v>0.5</v>
      </c>
      <c r="P301" s="200">
        <v>-6.6696113074204894E-2</v>
      </c>
      <c r="Q301" s="199" t="s">
        <v>1461</v>
      </c>
    </row>
    <row r="302" spans="1:17" x14ac:dyDescent="0.35">
      <c r="A302" s="198">
        <v>906</v>
      </c>
      <c r="B302" s="209" t="s">
        <v>149</v>
      </c>
      <c r="C302" s="209" t="s">
        <v>1216</v>
      </c>
      <c r="D302" s="209" t="s">
        <v>24</v>
      </c>
      <c r="E302" s="200">
        <v>0.27054794520547898</v>
      </c>
      <c r="F302" s="205">
        <v>2.13</v>
      </c>
      <c r="G302" s="200">
        <v>0.52825670498084287</v>
      </c>
      <c r="H302" s="202">
        <v>2088</v>
      </c>
      <c r="I302" s="202">
        <v>1103</v>
      </c>
      <c r="J302" s="210">
        <v>46202</v>
      </c>
      <c r="K302" s="210">
        <v>46215</v>
      </c>
      <c r="L302" s="202">
        <v>2</v>
      </c>
      <c r="M302" s="199" t="s">
        <v>1229</v>
      </c>
      <c r="N302" s="199" t="s">
        <v>1232</v>
      </c>
      <c r="O302" s="200">
        <v>0.39999999999999991</v>
      </c>
      <c r="P302" s="200">
        <v>0.12825670498084299</v>
      </c>
      <c r="Q302" s="199" t="s">
        <v>1460</v>
      </c>
    </row>
    <row r="303" spans="1:17" x14ac:dyDescent="0.35">
      <c r="A303" s="198">
        <v>1297</v>
      </c>
      <c r="B303" s="209" t="s">
        <v>247</v>
      </c>
      <c r="C303" s="209" t="s">
        <v>971</v>
      </c>
      <c r="D303" s="209" t="s">
        <v>24</v>
      </c>
      <c r="E303" s="200">
        <v>8.0128205128205093E-2</v>
      </c>
      <c r="F303" s="205">
        <v>2.87</v>
      </c>
      <c r="G303" s="200">
        <v>0.22117841575229219</v>
      </c>
      <c r="H303" s="202">
        <v>13306</v>
      </c>
      <c r="I303" s="202">
        <v>2943</v>
      </c>
      <c r="J303" s="210">
        <v>46034</v>
      </c>
      <c r="K303" s="210">
        <v>46040</v>
      </c>
      <c r="L303" s="202">
        <v>1</v>
      </c>
      <c r="M303" s="199" t="s">
        <v>1229</v>
      </c>
      <c r="N303" s="199" t="s">
        <v>1230</v>
      </c>
      <c r="O303" s="200">
        <v>0.3</v>
      </c>
      <c r="P303" s="200">
        <v>-7.8821584247707799E-2</v>
      </c>
      <c r="Q303" s="199" t="s">
        <v>1461</v>
      </c>
    </row>
    <row r="304" spans="1:17" x14ac:dyDescent="0.35">
      <c r="A304" s="198">
        <v>1186</v>
      </c>
      <c r="B304" s="209" t="s">
        <v>230</v>
      </c>
      <c r="C304" s="209" t="s">
        <v>808</v>
      </c>
      <c r="D304" s="209" t="s">
        <v>29</v>
      </c>
      <c r="E304" s="200">
        <v>8.8174273858921307E-2</v>
      </c>
      <c r="F304" s="205">
        <v>8.7899999999999991</v>
      </c>
      <c r="G304" s="200">
        <v>0.36378213158290323</v>
      </c>
      <c r="H304" s="202">
        <v>19957</v>
      </c>
      <c r="I304" s="202">
        <v>7260</v>
      </c>
      <c r="J304" s="210">
        <v>46055</v>
      </c>
      <c r="K304" s="210">
        <v>46089</v>
      </c>
      <c r="L304" s="202">
        <v>5</v>
      </c>
      <c r="M304" s="199" t="s">
        <v>1251</v>
      </c>
      <c r="N304" s="199" t="s">
        <v>1232</v>
      </c>
      <c r="O304" s="200">
        <v>0.55000000000000027</v>
      </c>
      <c r="P304" s="200">
        <v>-0.186217868417097</v>
      </c>
      <c r="Q304" s="199" t="s">
        <v>1461</v>
      </c>
    </row>
    <row r="305" spans="1:17" x14ac:dyDescent="0.35">
      <c r="A305" s="198">
        <v>1188</v>
      </c>
      <c r="B305" s="209" t="s">
        <v>230</v>
      </c>
      <c r="C305" s="209" t="s">
        <v>793</v>
      </c>
      <c r="D305" s="209" t="s">
        <v>29</v>
      </c>
      <c r="E305" s="200">
        <v>0.110416666666667</v>
      </c>
      <c r="F305" s="205">
        <v>8.5399999999999991</v>
      </c>
      <c r="G305" s="200">
        <v>0.30064143681847338</v>
      </c>
      <c r="H305" s="202">
        <v>15590</v>
      </c>
      <c r="I305" s="202">
        <v>4687</v>
      </c>
      <c r="J305" s="210">
        <v>46118</v>
      </c>
      <c r="K305" s="210">
        <v>46145</v>
      </c>
      <c r="L305" s="202">
        <v>4</v>
      </c>
      <c r="M305" s="199" t="s">
        <v>1229</v>
      </c>
      <c r="N305" s="199" t="s">
        <v>1232</v>
      </c>
      <c r="O305" s="200">
        <v>0.39999999999999997</v>
      </c>
      <c r="P305" s="200">
        <v>-9.9358563181526596E-2</v>
      </c>
      <c r="Q305" s="199" t="s">
        <v>1461</v>
      </c>
    </row>
    <row r="306" spans="1:17" x14ac:dyDescent="0.35">
      <c r="A306" s="198">
        <v>1189</v>
      </c>
      <c r="B306" s="209" t="s">
        <v>230</v>
      </c>
      <c r="C306" s="209" t="s">
        <v>1207</v>
      </c>
      <c r="D306" s="209" t="s">
        <v>29</v>
      </c>
      <c r="E306" s="200">
        <v>5.0223214285714406E-2</v>
      </c>
      <c r="F306" s="205">
        <v>8.51</v>
      </c>
      <c r="G306" s="200">
        <v>0.28329826832820842</v>
      </c>
      <c r="H306" s="202">
        <v>12358</v>
      </c>
      <c r="I306" s="202">
        <v>3501</v>
      </c>
      <c r="J306" s="210">
        <v>46153</v>
      </c>
      <c r="K306" s="210">
        <v>46166</v>
      </c>
      <c r="L306" s="202">
        <v>2</v>
      </c>
      <c r="M306" s="199" t="s">
        <v>1251</v>
      </c>
      <c r="N306" s="199" t="s">
        <v>1232</v>
      </c>
      <c r="O306" s="200">
        <v>0.40000000000000041</v>
      </c>
      <c r="P306" s="200">
        <v>-0.116701731671792</v>
      </c>
      <c r="Q306" s="199" t="s">
        <v>1461</v>
      </c>
    </row>
    <row r="307" spans="1:17" x14ac:dyDescent="0.35">
      <c r="A307" s="198">
        <v>971</v>
      </c>
      <c r="B307" s="209" t="s">
        <v>308</v>
      </c>
      <c r="C307" s="209" t="s">
        <v>437</v>
      </c>
      <c r="D307" s="209" t="s">
        <v>24</v>
      </c>
      <c r="E307" s="200">
        <v>0.44072948328267497</v>
      </c>
      <c r="F307" s="205">
        <v>1.84</v>
      </c>
      <c r="G307" s="200">
        <v>1.4138115631691648</v>
      </c>
      <c r="H307" s="202">
        <v>1868</v>
      </c>
      <c r="I307" s="202">
        <v>2641</v>
      </c>
      <c r="J307" s="210">
        <v>46055</v>
      </c>
      <c r="K307" s="210">
        <v>46068</v>
      </c>
      <c r="L307" s="202">
        <v>2</v>
      </c>
      <c r="M307" s="199" t="s">
        <v>1229</v>
      </c>
      <c r="N307" s="199" t="s">
        <v>1232</v>
      </c>
      <c r="O307" s="200">
        <v>1.9999999999999998</v>
      </c>
      <c r="P307" s="200">
        <v>-0.58618843683083499</v>
      </c>
      <c r="Q307" s="199" t="s">
        <v>1461</v>
      </c>
    </row>
    <row r="308" spans="1:17" x14ac:dyDescent="0.35">
      <c r="A308" s="198">
        <v>972</v>
      </c>
      <c r="B308" s="209" t="s">
        <v>308</v>
      </c>
      <c r="C308" s="209" t="s">
        <v>523</v>
      </c>
      <c r="D308" s="209" t="s">
        <v>24</v>
      </c>
      <c r="E308" s="200">
        <v>0.21630094043887099</v>
      </c>
      <c r="F308" s="205">
        <v>2.5</v>
      </c>
      <c r="G308" s="200">
        <v>0.51815384615384619</v>
      </c>
      <c r="H308" s="202">
        <v>1625</v>
      </c>
      <c r="I308" s="202">
        <v>842</v>
      </c>
      <c r="J308" s="210">
        <v>46138</v>
      </c>
      <c r="K308" s="210">
        <v>46152</v>
      </c>
      <c r="L308" s="202">
        <v>3</v>
      </c>
      <c r="M308" s="199" t="s">
        <v>1229</v>
      </c>
      <c r="N308" s="199" t="s">
        <v>1232</v>
      </c>
      <c r="O308" s="200">
        <v>1.5000000000000002</v>
      </c>
      <c r="P308" s="200">
        <v>-0.98184615384615403</v>
      </c>
      <c r="Q308" s="199" t="s">
        <v>1461</v>
      </c>
    </row>
    <row r="309" spans="1:17" ht="23" x14ac:dyDescent="0.35">
      <c r="A309" s="198">
        <v>974</v>
      </c>
      <c r="B309" s="209" t="s">
        <v>162</v>
      </c>
      <c r="C309" s="209" t="s">
        <v>481</v>
      </c>
      <c r="D309" s="209" t="s">
        <v>24</v>
      </c>
      <c r="E309" s="200">
        <v>0.33333333333333298</v>
      </c>
      <c r="F309" s="205">
        <v>2.64</v>
      </c>
      <c r="G309" s="200">
        <v>1.3204419889502763</v>
      </c>
      <c r="H309" s="202">
        <v>1448</v>
      </c>
      <c r="I309" s="202">
        <v>1912</v>
      </c>
      <c r="J309" s="210">
        <v>46055</v>
      </c>
      <c r="K309" s="210">
        <v>46082</v>
      </c>
      <c r="L309" s="202">
        <v>4</v>
      </c>
      <c r="M309" s="199" t="s">
        <v>1229</v>
      </c>
      <c r="N309" s="199" t="s">
        <v>1512</v>
      </c>
      <c r="O309" s="200">
        <v>0.29999999999999627</v>
      </c>
      <c r="P309" s="200">
        <v>1.02044198895028</v>
      </c>
      <c r="Q309" s="199" t="s">
        <v>1460</v>
      </c>
    </row>
    <row r="310" spans="1:17" x14ac:dyDescent="0.35">
      <c r="A310" s="198">
        <v>975</v>
      </c>
      <c r="B310" s="209" t="s">
        <v>162</v>
      </c>
      <c r="C310" s="209" t="s">
        <v>408</v>
      </c>
      <c r="D310" s="209" t="s">
        <v>24</v>
      </c>
      <c r="E310" s="200">
        <v>0.45400593471810102</v>
      </c>
      <c r="F310" s="205">
        <v>1.84</v>
      </c>
      <c r="G310" s="200">
        <v>2.4141772151898735</v>
      </c>
      <c r="H310" s="202">
        <v>1975</v>
      </c>
      <c r="I310" s="202">
        <v>4768</v>
      </c>
      <c r="J310" s="210">
        <v>46153</v>
      </c>
      <c r="K310" s="210">
        <v>46166</v>
      </c>
      <c r="L310" s="202">
        <v>2</v>
      </c>
      <c r="M310" s="199" t="s">
        <v>1229</v>
      </c>
      <c r="N310" s="199" t="s">
        <v>1512</v>
      </c>
      <c r="O310" s="200">
        <v>0.30000000000000338</v>
      </c>
      <c r="P310" s="200">
        <v>2.1141772151898701</v>
      </c>
      <c r="Q310" s="199" t="s">
        <v>1460</v>
      </c>
    </row>
    <row r="311" spans="1:17" x14ac:dyDescent="0.35">
      <c r="A311" s="198">
        <v>976</v>
      </c>
      <c r="B311" s="209" t="s">
        <v>162</v>
      </c>
      <c r="C311" s="209" t="s">
        <v>163</v>
      </c>
      <c r="D311" s="209" t="s">
        <v>24</v>
      </c>
      <c r="E311" s="200">
        <v>0.19083969465648901</v>
      </c>
      <c r="F311" s="205">
        <v>2.12</v>
      </c>
      <c r="G311" s="200">
        <v>0.98281559814937214</v>
      </c>
      <c r="H311" s="202">
        <v>1513</v>
      </c>
      <c r="I311" s="202">
        <v>1487</v>
      </c>
      <c r="J311" s="210">
        <v>46209</v>
      </c>
      <c r="K311" s="210">
        <v>46232</v>
      </c>
      <c r="L311" s="202">
        <v>4</v>
      </c>
      <c r="M311" s="199" t="s">
        <v>1229</v>
      </c>
      <c r="N311" s="199" t="s">
        <v>1512</v>
      </c>
      <c r="O311" s="200">
        <v>0.30000000000000004</v>
      </c>
      <c r="P311" s="200">
        <v>0.68281559814937209</v>
      </c>
      <c r="Q311" s="199" t="s">
        <v>1460</v>
      </c>
    </row>
    <row r="312" spans="1:17" ht="23" x14ac:dyDescent="0.35">
      <c r="A312" s="198">
        <v>1302</v>
      </c>
      <c r="B312" s="209" t="s">
        <v>644</v>
      </c>
      <c r="C312" s="209" t="s">
        <v>645</v>
      </c>
      <c r="D312" s="209" t="s">
        <v>24</v>
      </c>
      <c r="E312" s="200">
        <v>0.13712374581939801</v>
      </c>
      <c r="F312" s="205">
        <v>2.58</v>
      </c>
      <c r="G312" s="200">
        <v>0.40195514663599768</v>
      </c>
      <c r="H312" s="202">
        <v>1739</v>
      </c>
      <c r="I312" s="202">
        <v>699</v>
      </c>
      <c r="J312" s="210">
        <v>46027</v>
      </c>
      <c r="K312" s="210">
        <v>46054</v>
      </c>
      <c r="L312" s="202">
        <v>4</v>
      </c>
      <c r="M312" s="199" t="s">
        <v>1251</v>
      </c>
      <c r="N312" s="199" t="s">
        <v>1230</v>
      </c>
      <c r="O312" s="200">
        <v>0.19999999999999968</v>
      </c>
      <c r="P312" s="200">
        <v>0.20195514663599801</v>
      </c>
      <c r="Q312" s="199" t="s">
        <v>1460</v>
      </c>
    </row>
    <row r="313" spans="1:17" x14ac:dyDescent="0.35">
      <c r="A313" s="198">
        <v>1303</v>
      </c>
      <c r="B313" s="209" t="s">
        <v>644</v>
      </c>
      <c r="C313" s="209" t="s">
        <v>1220</v>
      </c>
      <c r="D313" s="209" t="s">
        <v>24</v>
      </c>
      <c r="E313" s="200">
        <v>0.13043478260869601</v>
      </c>
      <c r="F313" s="205">
        <v>2.6</v>
      </c>
      <c r="G313" s="200">
        <v>0.40942562592047127</v>
      </c>
      <c r="H313" s="202">
        <v>2037</v>
      </c>
      <c r="I313" s="202">
        <v>834</v>
      </c>
      <c r="J313" s="210">
        <v>46118</v>
      </c>
      <c r="K313" s="210">
        <v>46145</v>
      </c>
      <c r="L313" s="202">
        <v>4</v>
      </c>
      <c r="M313" s="199" t="s">
        <v>1229</v>
      </c>
      <c r="N313" s="199" t="s">
        <v>1230</v>
      </c>
      <c r="O313" s="200">
        <v>0.20000000000000026</v>
      </c>
      <c r="P313" s="200">
        <v>0.20942562592047101</v>
      </c>
      <c r="Q313" s="199" t="s">
        <v>1460</v>
      </c>
    </row>
    <row r="314" spans="1:17" x14ac:dyDescent="0.35">
      <c r="A314" s="198">
        <v>908</v>
      </c>
      <c r="B314" s="209" t="s">
        <v>66</v>
      </c>
      <c r="C314" s="209" t="s">
        <v>401</v>
      </c>
      <c r="D314" s="209" t="s">
        <v>24</v>
      </c>
      <c r="E314" s="200">
        <v>0.49626865671641801</v>
      </c>
      <c r="F314" s="205">
        <v>1.35</v>
      </c>
      <c r="G314" s="200">
        <v>8.1571133198814234</v>
      </c>
      <c r="H314" s="202">
        <v>40143</v>
      </c>
      <c r="I314" s="202">
        <v>327451</v>
      </c>
      <c r="J314" s="210">
        <v>45309</v>
      </c>
      <c r="K314" s="210">
        <v>46046</v>
      </c>
      <c r="L314" s="202">
        <v>106</v>
      </c>
      <c r="M314" s="199" t="s">
        <v>1229</v>
      </c>
      <c r="N314" s="199" t="s">
        <v>1232</v>
      </c>
      <c r="O314" s="200">
        <v>6.0000000000000036</v>
      </c>
      <c r="P314" s="200">
        <v>2.1571133198814199</v>
      </c>
      <c r="Q314" s="199" t="s">
        <v>1460</v>
      </c>
    </row>
    <row r="315" spans="1:17" x14ac:dyDescent="0.35">
      <c r="A315" s="198">
        <v>914</v>
      </c>
      <c r="B315" s="209" t="s">
        <v>66</v>
      </c>
      <c r="C315" s="209" t="s">
        <v>775</v>
      </c>
      <c r="D315" s="209" t="s">
        <v>29</v>
      </c>
      <c r="E315" s="200">
        <v>0.182893539581438</v>
      </c>
      <c r="F315" s="205">
        <v>8.98</v>
      </c>
      <c r="G315" s="200">
        <v>1.4323486082034582</v>
      </c>
      <c r="H315" s="202">
        <v>12897</v>
      </c>
      <c r="I315" s="202">
        <v>18473</v>
      </c>
      <c r="J315" s="210">
        <v>46026</v>
      </c>
      <c r="K315" s="210">
        <v>46032</v>
      </c>
      <c r="L315" s="202">
        <v>1</v>
      </c>
      <c r="M315" s="199" t="s">
        <v>1229</v>
      </c>
      <c r="N315" s="199" t="s">
        <v>1232</v>
      </c>
      <c r="O315" s="200">
        <v>1.5</v>
      </c>
      <c r="P315" s="200">
        <v>-6.7651391796541796E-2</v>
      </c>
      <c r="Q315" s="199" t="s">
        <v>1461</v>
      </c>
    </row>
    <row r="316" spans="1:17" x14ac:dyDescent="0.35">
      <c r="A316" s="198">
        <v>1414</v>
      </c>
      <c r="B316" s="209" t="s">
        <v>66</v>
      </c>
      <c r="C316" s="209" t="s">
        <v>464</v>
      </c>
      <c r="D316" s="209" t="s">
        <v>24</v>
      </c>
      <c r="E316" s="200">
        <v>1.49253731343284E-2</v>
      </c>
      <c r="F316" s="205">
        <v>2.64</v>
      </c>
      <c r="G316" s="200">
        <v>1.47237252008526</v>
      </c>
      <c r="H316" s="202">
        <v>12198</v>
      </c>
      <c r="I316" s="202">
        <v>17960</v>
      </c>
      <c r="J316" s="210">
        <v>46054</v>
      </c>
      <c r="K316" s="210">
        <v>46081</v>
      </c>
      <c r="L316" s="202">
        <v>4</v>
      </c>
      <c r="M316" s="199" t="s">
        <v>1251</v>
      </c>
      <c r="N316" s="199" t="s">
        <v>1232</v>
      </c>
      <c r="O316" s="200"/>
      <c r="P316" s="200"/>
      <c r="Q316" s="199" t="s">
        <v>1505</v>
      </c>
    </row>
    <row r="317" spans="1:17" x14ac:dyDescent="0.35">
      <c r="A317" s="198">
        <v>978</v>
      </c>
      <c r="B317" s="209" t="s">
        <v>181</v>
      </c>
      <c r="C317" s="209" t="s">
        <v>567</v>
      </c>
      <c r="D317" s="209" t="s">
        <v>24</v>
      </c>
      <c r="E317" s="200">
        <v>0.18729096989966601</v>
      </c>
      <c r="F317" s="205">
        <v>2.4300000000000002</v>
      </c>
      <c r="G317" s="200">
        <v>0.5043478260869565</v>
      </c>
      <c r="H317" s="202">
        <v>8280</v>
      </c>
      <c r="I317" s="202">
        <v>4176</v>
      </c>
      <c r="J317" s="210">
        <v>46048</v>
      </c>
      <c r="K317" s="210">
        <v>46075</v>
      </c>
      <c r="L317" s="202">
        <v>4</v>
      </c>
      <c r="M317" s="199" t="s">
        <v>1229</v>
      </c>
      <c r="N317" s="199" t="s">
        <v>1232</v>
      </c>
      <c r="O317" s="200">
        <v>0.5</v>
      </c>
      <c r="P317" s="200">
        <v>4.3478260869565001E-3</v>
      </c>
      <c r="Q317" s="199" t="s">
        <v>1460</v>
      </c>
    </row>
    <row r="318" spans="1:17" x14ac:dyDescent="0.35">
      <c r="A318" s="198">
        <v>979</v>
      </c>
      <c r="B318" s="209" t="s">
        <v>181</v>
      </c>
      <c r="C318" s="209" t="s">
        <v>690</v>
      </c>
      <c r="D318" s="209" t="s">
        <v>24</v>
      </c>
      <c r="E318" s="200">
        <v>0.19127516778523501</v>
      </c>
      <c r="F318" s="205">
        <v>2.41</v>
      </c>
      <c r="G318" s="200">
        <v>0.47209515096065874</v>
      </c>
      <c r="H318" s="202">
        <v>9837</v>
      </c>
      <c r="I318" s="202">
        <v>4644</v>
      </c>
      <c r="J318" s="210">
        <v>46132</v>
      </c>
      <c r="K318" s="210">
        <v>46166</v>
      </c>
      <c r="L318" s="202">
        <v>5</v>
      </c>
      <c r="M318" s="199" t="s">
        <v>1229</v>
      </c>
      <c r="N318" s="199" t="s">
        <v>1232</v>
      </c>
      <c r="O318" s="200">
        <v>0.24999999999999978</v>
      </c>
      <c r="P318" s="200">
        <v>0.22209515096065896</v>
      </c>
      <c r="Q318" s="199" t="s">
        <v>1460</v>
      </c>
    </row>
    <row r="319" spans="1:17" x14ac:dyDescent="0.35">
      <c r="A319" s="198">
        <v>981</v>
      </c>
      <c r="B319" s="209" t="s">
        <v>181</v>
      </c>
      <c r="C319" s="209" t="s">
        <v>182</v>
      </c>
      <c r="D319" s="209" t="s">
        <v>24</v>
      </c>
      <c r="E319" s="200">
        <v>0.19191919191919199</v>
      </c>
      <c r="F319" s="205">
        <v>2.4</v>
      </c>
      <c r="G319" s="200">
        <v>0.43721872187218724</v>
      </c>
      <c r="H319" s="202">
        <v>8888</v>
      </c>
      <c r="I319" s="202">
        <v>3886</v>
      </c>
      <c r="J319" s="210">
        <v>46195</v>
      </c>
      <c r="K319" s="210">
        <v>46229</v>
      </c>
      <c r="L319" s="202">
        <v>5</v>
      </c>
      <c r="M319" s="199" t="s">
        <v>1229</v>
      </c>
      <c r="N319" s="199" t="s">
        <v>1232</v>
      </c>
      <c r="O319" s="200">
        <v>0.25000000000000022</v>
      </c>
      <c r="P319" s="200">
        <v>0.18721872187218699</v>
      </c>
      <c r="Q319" s="199" t="s">
        <v>1460</v>
      </c>
    </row>
    <row r="320" spans="1:17" x14ac:dyDescent="0.35">
      <c r="A320" s="198">
        <v>1091</v>
      </c>
      <c r="B320" s="209" t="s">
        <v>55</v>
      </c>
      <c r="C320" s="209" t="s">
        <v>992</v>
      </c>
      <c r="D320" s="209" t="s">
        <v>29</v>
      </c>
      <c r="E320" s="200">
        <v>0.11010009099181101</v>
      </c>
      <c r="F320" s="205">
        <v>9.7799999999999994</v>
      </c>
      <c r="G320" s="200">
        <v>0.63838316352096214</v>
      </c>
      <c r="H320" s="202">
        <v>5987</v>
      </c>
      <c r="I320" s="202">
        <v>3822</v>
      </c>
      <c r="J320" s="210">
        <v>46174</v>
      </c>
      <c r="K320" s="210">
        <v>46201</v>
      </c>
      <c r="L320" s="202">
        <v>4</v>
      </c>
      <c r="M320" s="199" t="s">
        <v>1251</v>
      </c>
      <c r="N320" s="199" t="s">
        <v>1232</v>
      </c>
      <c r="O320" s="200">
        <v>0.20000000000000012</v>
      </c>
      <c r="P320" s="200">
        <v>0.43838316352096202</v>
      </c>
      <c r="Q320" s="199" t="s">
        <v>1460</v>
      </c>
    </row>
    <row r="321" spans="1:17" x14ac:dyDescent="0.35">
      <c r="A321" s="198">
        <v>1093</v>
      </c>
      <c r="B321" s="209" t="s">
        <v>55</v>
      </c>
      <c r="C321" s="209" t="s">
        <v>533</v>
      </c>
      <c r="D321" s="209" t="s">
        <v>24</v>
      </c>
      <c r="E321" s="200">
        <v>0.15100671140939601</v>
      </c>
      <c r="F321" s="205">
        <v>2.5300000000000002</v>
      </c>
      <c r="G321" s="200">
        <v>0.30821752474223252</v>
      </c>
      <c r="H321" s="202">
        <v>28999</v>
      </c>
      <c r="I321" s="202">
        <v>8938</v>
      </c>
      <c r="J321" s="210">
        <v>46048</v>
      </c>
      <c r="K321" s="210">
        <v>46089</v>
      </c>
      <c r="L321" s="202">
        <v>6</v>
      </c>
      <c r="M321" s="199" t="s">
        <v>1229</v>
      </c>
      <c r="N321" s="199" t="s">
        <v>1232</v>
      </c>
      <c r="O321" s="200">
        <v>0.3</v>
      </c>
      <c r="P321" s="200">
        <v>8.2175247422325293E-3</v>
      </c>
      <c r="Q321" s="199" t="s">
        <v>1460</v>
      </c>
    </row>
    <row r="322" spans="1:17" x14ac:dyDescent="0.35">
      <c r="A322" s="198">
        <v>1096</v>
      </c>
      <c r="B322" s="209" t="s">
        <v>55</v>
      </c>
      <c r="C322" s="209" t="s">
        <v>56</v>
      </c>
      <c r="D322" s="209" t="s">
        <v>24</v>
      </c>
      <c r="E322" s="200">
        <v>0.157190635451505</v>
      </c>
      <c r="F322" s="205">
        <v>2.52</v>
      </c>
      <c r="G322" s="200">
        <v>0.41291087766858692</v>
      </c>
      <c r="H322" s="202">
        <v>17706</v>
      </c>
      <c r="I322" s="202">
        <v>7311</v>
      </c>
      <c r="J322" s="210">
        <v>46139</v>
      </c>
      <c r="K322" s="210">
        <v>46173</v>
      </c>
      <c r="L322" s="202">
        <v>5</v>
      </c>
      <c r="M322" s="199" t="s">
        <v>1229</v>
      </c>
      <c r="N322" s="199" t="s">
        <v>1232</v>
      </c>
      <c r="O322" s="200">
        <v>0.19999999999999993</v>
      </c>
      <c r="P322" s="200">
        <v>0.21291087766858699</v>
      </c>
      <c r="Q322" s="199" t="s">
        <v>1460</v>
      </c>
    </row>
    <row r="323" spans="1:17" x14ac:dyDescent="0.35">
      <c r="A323" s="198">
        <v>1564</v>
      </c>
      <c r="B323" s="209" t="s">
        <v>201</v>
      </c>
      <c r="C323" s="209" t="s">
        <v>587</v>
      </c>
      <c r="D323" s="209" t="s">
        <v>88</v>
      </c>
      <c r="E323" s="200">
        <v>0.16641604010025099</v>
      </c>
      <c r="F323" s="205">
        <v>16.63</v>
      </c>
      <c r="G323" s="200">
        <v>0.80971299837018107</v>
      </c>
      <c r="H323" s="202">
        <v>442994</v>
      </c>
      <c r="I323" s="202">
        <v>358698</v>
      </c>
      <c r="J323" s="210">
        <v>46020</v>
      </c>
      <c r="K323" s="210">
        <v>46054</v>
      </c>
      <c r="L323" s="202">
        <v>5</v>
      </c>
      <c r="M323" s="199" t="s">
        <v>1229</v>
      </c>
      <c r="N323" s="199" t="s">
        <v>1231</v>
      </c>
      <c r="O323" s="200">
        <v>0.75</v>
      </c>
      <c r="P323" s="200">
        <v>5.9712998370181097E-2</v>
      </c>
      <c r="Q323" s="199" t="s">
        <v>1460</v>
      </c>
    </row>
    <row r="324" spans="1:17" x14ac:dyDescent="0.35">
      <c r="A324" s="198">
        <v>986</v>
      </c>
      <c r="B324" s="209" t="s">
        <v>21</v>
      </c>
      <c r="C324" s="209" t="s">
        <v>585</v>
      </c>
      <c r="D324" s="209" t="s">
        <v>24</v>
      </c>
      <c r="E324" s="200">
        <v>0.36280487804877998</v>
      </c>
      <c r="F324" s="205">
        <v>2.09</v>
      </c>
      <c r="G324" s="200">
        <v>0.5664151395376692</v>
      </c>
      <c r="H324" s="202">
        <v>41745</v>
      </c>
      <c r="I324" s="202">
        <v>23645</v>
      </c>
      <c r="J324" s="210">
        <v>46048</v>
      </c>
      <c r="K324" s="210">
        <v>46117</v>
      </c>
      <c r="L324" s="202">
        <v>10</v>
      </c>
      <c r="M324" s="199" t="s">
        <v>1251</v>
      </c>
      <c r="N324" s="199" t="s">
        <v>1232</v>
      </c>
      <c r="O324" s="200">
        <v>0.5</v>
      </c>
      <c r="P324" s="200">
        <v>6.6415139537669199E-2</v>
      </c>
      <c r="Q324" s="199" t="s">
        <v>1460</v>
      </c>
    </row>
    <row r="325" spans="1:17" x14ac:dyDescent="0.35">
      <c r="A325" s="198">
        <v>987</v>
      </c>
      <c r="B325" s="209" t="s">
        <v>21</v>
      </c>
      <c r="C325" s="209" t="s">
        <v>339</v>
      </c>
      <c r="D325" s="209" t="s">
        <v>24</v>
      </c>
      <c r="E325" s="200">
        <v>0.232704402515723</v>
      </c>
      <c r="F325" s="205">
        <v>2.44</v>
      </c>
      <c r="G325" s="200">
        <v>0.42620075553157044</v>
      </c>
      <c r="H325" s="202">
        <v>7412</v>
      </c>
      <c r="I325" s="202">
        <v>3159</v>
      </c>
      <c r="J325" s="210">
        <v>46139</v>
      </c>
      <c r="K325" s="210">
        <v>46159</v>
      </c>
      <c r="L325" s="202">
        <v>3</v>
      </c>
      <c r="M325" s="199" t="s">
        <v>1251</v>
      </c>
      <c r="N325" s="199" t="s">
        <v>1232</v>
      </c>
      <c r="O325" s="200">
        <v>0.30000000000000043</v>
      </c>
      <c r="P325" s="200">
        <v>0.12620075553157001</v>
      </c>
      <c r="Q325" s="199" t="s">
        <v>1460</v>
      </c>
    </row>
    <row r="326" spans="1:17" x14ac:dyDescent="0.35">
      <c r="A326" s="198">
        <v>1032</v>
      </c>
      <c r="B326" s="209" t="s">
        <v>21</v>
      </c>
      <c r="C326" s="209" t="s">
        <v>375</v>
      </c>
      <c r="D326" s="209" t="s">
        <v>24</v>
      </c>
      <c r="E326" s="200">
        <v>0.31152647975077902</v>
      </c>
      <c r="F326" s="205">
        <v>2.21</v>
      </c>
      <c r="G326" s="200">
        <v>0.11667035643125968</v>
      </c>
      <c r="H326" s="202">
        <v>4517</v>
      </c>
      <c r="I326" s="202">
        <v>527</v>
      </c>
      <c r="J326" s="210">
        <v>46160</v>
      </c>
      <c r="K326" s="210">
        <v>46173</v>
      </c>
      <c r="L326" s="202">
        <v>2</v>
      </c>
      <c r="M326" s="199" t="s">
        <v>1229</v>
      </c>
      <c r="N326" s="199" t="s">
        <v>1232</v>
      </c>
      <c r="O326" s="200">
        <v>4.9999999999999989E-2</v>
      </c>
      <c r="P326" s="200">
        <v>6.6670356431259695E-2</v>
      </c>
      <c r="Q326" s="199" t="s">
        <v>1460</v>
      </c>
    </row>
    <row r="327" spans="1:17" x14ac:dyDescent="0.35">
      <c r="A327" s="198">
        <v>1306</v>
      </c>
      <c r="B327" s="209" t="s">
        <v>100</v>
      </c>
      <c r="C327" s="209" t="s">
        <v>132</v>
      </c>
      <c r="D327" s="209" t="s">
        <v>24</v>
      </c>
      <c r="E327" s="200">
        <v>0.3</v>
      </c>
      <c r="F327" s="205">
        <v>2.0299999999999998</v>
      </c>
      <c r="G327" s="200">
        <v>0.92788564113505445</v>
      </c>
      <c r="H327" s="202">
        <v>9374</v>
      </c>
      <c r="I327" s="202">
        <v>8698</v>
      </c>
      <c r="J327" s="210">
        <v>46020</v>
      </c>
      <c r="K327" s="210">
        <v>46037</v>
      </c>
      <c r="L327" s="202">
        <v>3</v>
      </c>
      <c r="M327" s="199" t="s">
        <v>1229</v>
      </c>
      <c r="N327" s="199" t="s">
        <v>1232</v>
      </c>
      <c r="O327" s="200">
        <v>0.40000000000000047</v>
      </c>
      <c r="P327" s="200">
        <v>0.52788564113505398</v>
      </c>
      <c r="Q327" s="199" t="s">
        <v>1460</v>
      </c>
    </row>
    <row r="328" spans="1:17" x14ac:dyDescent="0.35">
      <c r="A328" s="198">
        <v>1307</v>
      </c>
      <c r="B328" s="209" t="s">
        <v>100</v>
      </c>
      <c r="C328" s="209" t="s">
        <v>1092</v>
      </c>
      <c r="D328" s="209" t="s">
        <v>24</v>
      </c>
      <c r="E328" s="200">
        <v>0.12802768166090001</v>
      </c>
      <c r="F328" s="205">
        <v>2.52</v>
      </c>
      <c r="G328" s="200">
        <v>0.59356552538370722</v>
      </c>
      <c r="H328" s="202">
        <v>3388</v>
      </c>
      <c r="I328" s="202">
        <v>2011</v>
      </c>
      <c r="J328" s="210">
        <v>46083</v>
      </c>
      <c r="K328" s="210">
        <v>46096</v>
      </c>
      <c r="L328" s="202">
        <v>2</v>
      </c>
      <c r="M328" s="199" t="s">
        <v>1229</v>
      </c>
      <c r="N328" s="199" t="s">
        <v>1232</v>
      </c>
      <c r="O328" s="200">
        <v>0.3500000000000002</v>
      </c>
      <c r="P328" s="200">
        <v>0.24356552538370699</v>
      </c>
      <c r="Q328" s="199" t="s">
        <v>1460</v>
      </c>
    </row>
    <row r="329" spans="1:17" x14ac:dyDescent="0.35">
      <c r="A329" s="198">
        <v>1308</v>
      </c>
      <c r="B329" s="209" t="s">
        <v>100</v>
      </c>
      <c r="C329" s="209" t="s">
        <v>167</v>
      </c>
      <c r="D329" s="209" t="s">
        <v>24</v>
      </c>
      <c r="E329" s="200">
        <v>0.13058419243986299</v>
      </c>
      <c r="F329" s="205">
        <v>2.5299999999999998</v>
      </c>
      <c r="G329" s="200">
        <v>0.56291611185086554</v>
      </c>
      <c r="H329" s="202">
        <v>3004</v>
      </c>
      <c r="I329" s="202">
        <v>1691</v>
      </c>
      <c r="J329" s="210">
        <v>46132</v>
      </c>
      <c r="K329" s="210">
        <v>46145</v>
      </c>
      <c r="L329" s="202">
        <v>2</v>
      </c>
      <c r="M329" s="199" t="s">
        <v>1229</v>
      </c>
      <c r="N329" s="199" t="s">
        <v>1232</v>
      </c>
      <c r="O329" s="200">
        <v>0.39999999999999958</v>
      </c>
      <c r="P329" s="200">
        <v>0.16291611185086599</v>
      </c>
      <c r="Q329" s="199" t="s">
        <v>1460</v>
      </c>
    </row>
    <row r="330" spans="1:17" x14ac:dyDescent="0.35">
      <c r="A330" s="198">
        <v>1309</v>
      </c>
      <c r="B330" s="209" t="s">
        <v>100</v>
      </c>
      <c r="C330" s="209" t="s">
        <v>632</v>
      </c>
      <c r="D330" s="209" t="s">
        <v>24</v>
      </c>
      <c r="E330" s="200">
        <v>0.194630872483222</v>
      </c>
      <c r="F330" s="205">
        <v>2.4</v>
      </c>
      <c r="G330" s="200">
        <v>0.28408826945412313</v>
      </c>
      <c r="H330" s="202">
        <v>4305</v>
      </c>
      <c r="I330" s="202">
        <v>1223</v>
      </c>
      <c r="J330" s="210">
        <v>46174</v>
      </c>
      <c r="K330" s="210">
        <v>46187</v>
      </c>
      <c r="L330" s="202">
        <v>2</v>
      </c>
      <c r="M330" s="199" t="s">
        <v>1229</v>
      </c>
      <c r="N330" s="199" t="s">
        <v>1232</v>
      </c>
      <c r="O330" s="200">
        <v>0.34999999999999992</v>
      </c>
      <c r="P330" s="200">
        <v>-6.5911730545876804E-2</v>
      </c>
      <c r="Q330" s="199" t="s">
        <v>1461</v>
      </c>
    </row>
    <row r="331" spans="1:17" x14ac:dyDescent="0.35">
      <c r="A331" s="198">
        <v>1313</v>
      </c>
      <c r="B331" s="209" t="s">
        <v>100</v>
      </c>
      <c r="C331" s="209" t="s">
        <v>959</v>
      </c>
      <c r="D331" s="209" t="s">
        <v>29</v>
      </c>
      <c r="E331" s="200">
        <v>0.12825278810408899</v>
      </c>
      <c r="F331" s="205">
        <v>9.3800000000000026</v>
      </c>
      <c r="G331" s="200">
        <v>0.43867655447803766</v>
      </c>
      <c r="H331" s="202">
        <v>1753</v>
      </c>
      <c r="I331" s="202">
        <v>769</v>
      </c>
      <c r="J331" s="210">
        <v>46048</v>
      </c>
      <c r="K331" s="210">
        <v>46061</v>
      </c>
      <c r="L331" s="202">
        <v>2</v>
      </c>
      <c r="M331" s="199" t="s">
        <v>1229</v>
      </c>
      <c r="N331" s="199" t="s">
        <v>1232</v>
      </c>
      <c r="O331" s="200">
        <v>0.19999999999999962</v>
      </c>
      <c r="P331" s="200">
        <v>0.23867655447803804</v>
      </c>
      <c r="Q331" s="199" t="s">
        <v>1460</v>
      </c>
    </row>
    <row r="332" spans="1:17" x14ac:dyDescent="0.35">
      <c r="A332" s="198">
        <v>1314</v>
      </c>
      <c r="B332" s="209" t="s">
        <v>100</v>
      </c>
      <c r="C332" s="209" t="s">
        <v>565</v>
      </c>
      <c r="D332" s="209" t="s">
        <v>29</v>
      </c>
      <c r="E332" s="200">
        <v>0.15477293790546801</v>
      </c>
      <c r="F332" s="205">
        <v>9.1199999999999992</v>
      </c>
      <c r="G332" s="200">
        <v>0.54287274713271438</v>
      </c>
      <c r="H332" s="202">
        <v>1831</v>
      </c>
      <c r="I332" s="202">
        <v>994</v>
      </c>
      <c r="J332" s="210">
        <v>46111</v>
      </c>
      <c r="K332" s="210">
        <v>46124</v>
      </c>
      <c r="L332" s="202">
        <v>2</v>
      </c>
      <c r="M332" s="199" t="s">
        <v>1229</v>
      </c>
      <c r="N332" s="199" t="s">
        <v>1232</v>
      </c>
      <c r="O332" s="200">
        <v>0.35000000000000042</v>
      </c>
      <c r="P332" s="200">
        <v>0.19287274713271399</v>
      </c>
      <c r="Q332" s="199" t="s">
        <v>1460</v>
      </c>
    </row>
    <row r="333" spans="1:17" x14ac:dyDescent="0.35">
      <c r="A333" s="198">
        <v>1315</v>
      </c>
      <c r="B333" s="209" t="s">
        <v>100</v>
      </c>
      <c r="C333" s="209" t="s">
        <v>712</v>
      </c>
      <c r="D333" s="209" t="s">
        <v>29</v>
      </c>
      <c r="E333" s="200">
        <v>0.14656771799628901</v>
      </c>
      <c r="F333" s="205">
        <v>9.1999999999999993</v>
      </c>
      <c r="G333" s="200">
        <v>0.352752880921895</v>
      </c>
      <c r="H333" s="202">
        <v>1562</v>
      </c>
      <c r="I333" s="202">
        <v>551</v>
      </c>
      <c r="J333" s="210">
        <v>46174</v>
      </c>
      <c r="K333" s="210">
        <v>46187</v>
      </c>
      <c r="L333" s="202">
        <v>2</v>
      </c>
      <c r="M333" s="199" t="s">
        <v>1229</v>
      </c>
      <c r="N333" s="199" t="s">
        <v>1232</v>
      </c>
      <c r="O333" s="200">
        <v>0.35</v>
      </c>
      <c r="P333" s="200">
        <v>2.75288092189502E-3</v>
      </c>
      <c r="Q333" s="199" t="s">
        <v>1460</v>
      </c>
    </row>
    <row r="334" spans="1:17" x14ac:dyDescent="0.35">
      <c r="A334" s="198">
        <v>1203</v>
      </c>
      <c r="B334" s="209" t="s">
        <v>386</v>
      </c>
      <c r="C334" s="209" t="s">
        <v>388</v>
      </c>
      <c r="D334" s="209" t="s">
        <v>24</v>
      </c>
      <c r="E334" s="200">
        <v>0.15415019762845802</v>
      </c>
      <c r="F334" s="205">
        <v>2.14</v>
      </c>
      <c r="G334" s="200">
        <v>8.6078955179578504E-2</v>
      </c>
      <c r="H334" s="202">
        <v>3369</v>
      </c>
      <c r="I334" s="202">
        <v>290</v>
      </c>
      <c r="J334" s="210">
        <v>46083</v>
      </c>
      <c r="K334" s="210">
        <v>46096</v>
      </c>
      <c r="L334" s="202">
        <v>2</v>
      </c>
      <c r="M334" s="199" t="s">
        <v>1251</v>
      </c>
      <c r="N334" s="199" t="s">
        <v>1232</v>
      </c>
      <c r="O334" s="200">
        <v>0.20000000000000051</v>
      </c>
      <c r="P334" s="200">
        <v>-0.11392104482042199</v>
      </c>
      <c r="Q334" s="199" t="s">
        <v>1461</v>
      </c>
    </row>
    <row r="335" spans="1:17" x14ac:dyDescent="0.35">
      <c r="A335" s="198">
        <v>1204</v>
      </c>
      <c r="B335" s="209" t="s">
        <v>386</v>
      </c>
      <c r="C335" s="209" t="s">
        <v>947</v>
      </c>
      <c r="D335" s="209" t="s">
        <v>24</v>
      </c>
      <c r="E335" s="200">
        <v>6.8000000000000005E-2</v>
      </c>
      <c r="F335" s="205">
        <v>2.33</v>
      </c>
      <c r="G335" s="200">
        <v>0.27641051397957478</v>
      </c>
      <c r="H335" s="202">
        <v>5973</v>
      </c>
      <c r="I335" s="202">
        <v>1651</v>
      </c>
      <c r="J335" s="210">
        <v>46111</v>
      </c>
      <c r="K335" s="210">
        <v>46138</v>
      </c>
      <c r="L335" s="202">
        <v>4</v>
      </c>
      <c r="M335" s="199" t="s">
        <v>1229</v>
      </c>
      <c r="N335" s="199" t="s">
        <v>1232</v>
      </c>
      <c r="O335" s="200">
        <v>0.19999999999999998</v>
      </c>
      <c r="P335" s="200">
        <v>7.6410513979574796E-2</v>
      </c>
      <c r="Q335" s="199" t="s">
        <v>1460</v>
      </c>
    </row>
    <row r="336" spans="1:17" x14ac:dyDescent="0.35">
      <c r="A336" s="198">
        <v>1206</v>
      </c>
      <c r="B336" s="209" t="s">
        <v>386</v>
      </c>
      <c r="C336" s="209" t="s">
        <v>640</v>
      </c>
      <c r="D336" s="209" t="s">
        <v>24</v>
      </c>
      <c r="E336" s="200">
        <v>7.9365079365079402E-2</v>
      </c>
      <c r="F336" s="205">
        <v>2.3199999999999998</v>
      </c>
      <c r="G336" s="200">
        <v>0.30989984591679509</v>
      </c>
      <c r="H336" s="202">
        <v>5192</v>
      </c>
      <c r="I336" s="202">
        <v>1609</v>
      </c>
      <c r="J336" s="210">
        <v>46167</v>
      </c>
      <c r="K336" s="210">
        <v>46194</v>
      </c>
      <c r="L336" s="202">
        <v>4</v>
      </c>
      <c r="M336" s="199" t="s">
        <v>1251</v>
      </c>
      <c r="N336" s="199" t="s">
        <v>1232</v>
      </c>
      <c r="O336" s="200">
        <v>0.20000000000000012</v>
      </c>
      <c r="P336" s="200">
        <v>0.10989984591679498</v>
      </c>
      <c r="Q336" s="199" t="s">
        <v>1460</v>
      </c>
    </row>
    <row r="337" spans="1:17" x14ac:dyDescent="0.35">
      <c r="A337" s="198">
        <v>1000</v>
      </c>
      <c r="B337" s="209" t="s">
        <v>434</v>
      </c>
      <c r="C337" s="209" t="s">
        <v>1181</v>
      </c>
      <c r="D337" s="209" t="s">
        <v>24</v>
      </c>
      <c r="E337" s="200">
        <v>0.20066889632106999</v>
      </c>
      <c r="F337" s="205">
        <v>2.39</v>
      </c>
      <c r="G337" s="200">
        <v>0.55782766990291266</v>
      </c>
      <c r="H337" s="202">
        <v>49440</v>
      </c>
      <c r="I337" s="202">
        <v>27579</v>
      </c>
      <c r="J337" s="210">
        <v>46048</v>
      </c>
      <c r="K337" s="210">
        <v>46075</v>
      </c>
      <c r="L337" s="202">
        <v>4</v>
      </c>
      <c r="M337" s="199" t="s">
        <v>1229</v>
      </c>
      <c r="N337" s="199" t="s">
        <v>1512</v>
      </c>
      <c r="O337" s="200">
        <v>0.49999999999999994</v>
      </c>
      <c r="P337" s="200">
        <v>5.7827669902912701E-2</v>
      </c>
      <c r="Q337" s="199" t="s">
        <v>1460</v>
      </c>
    </row>
    <row r="338" spans="1:17" x14ac:dyDescent="0.35">
      <c r="A338" s="198">
        <v>1001</v>
      </c>
      <c r="B338" s="209" t="s">
        <v>434</v>
      </c>
      <c r="C338" s="209" t="s">
        <v>1008</v>
      </c>
      <c r="D338" s="209" t="s">
        <v>24</v>
      </c>
      <c r="E338" s="200">
        <v>0.163879598662207</v>
      </c>
      <c r="F338" s="205">
        <v>2.5</v>
      </c>
      <c r="G338" s="200">
        <v>0.32135817953771728</v>
      </c>
      <c r="H338" s="202">
        <v>44648</v>
      </c>
      <c r="I338" s="202">
        <v>14348</v>
      </c>
      <c r="J338" s="210">
        <v>46139</v>
      </c>
      <c r="K338" s="210">
        <v>46166</v>
      </c>
      <c r="L338" s="202">
        <v>4</v>
      </c>
      <c r="M338" s="199" t="s">
        <v>1229</v>
      </c>
      <c r="N338" s="199" t="s">
        <v>1512</v>
      </c>
      <c r="O338" s="200">
        <v>0.3</v>
      </c>
      <c r="P338" s="200">
        <v>2.1358179537717299E-2</v>
      </c>
      <c r="Q338" s="199" t="s">
        <v>1460</v>
      </c>
    </row>
    <row r="339" spans="1:17" ht="23" x14ac:dyDescent="0.35">
      <c r="A339" s="198">
        <v>1109</v>
      </c>
      <c r="B339" s="209" t="s">
        <v>412</v>
      </c>
      <c r="C339" s="209" t="s">
        <v>531</v>
      </c>
      <c r="D339" s="209" t="s">
        <v>29</v>
      </c>
      <c r="E339" s="200">
        <v>8.7272727272727293E-2</v>
      </c>
      <c r="F339" s="205">
        <v>10.039999999999999</v>
      </c>
      <c r="G339" s="200">
        <v>0.3702171664943123</v>
      </c>
      <c r="H339" s="202">
        <v>5802</v>
      </c>
      <c r="I339" s="202">
        <v>2148</v>
      </c>
      <c r="J339" s="210">
        <v>46055</v>
      </c>
      <c r="K339" s="210">
        <v>46082</v>
      </c>
      <c r="L339" s="202">
        <v>4</v>
      </c>
      <c r="M339" s="199" t="s">
        <v>1229</v>
      </c>
      <c r="N339" s="199" t="s">
        <v>1232</v>
      </c>
      <c r="O339" s="200">
        <v>0.3</v>
      </c>
      <c r="P339" s="200">
        <v>7.0217166494312297E-2</v>
      </c>
      <c r="Q339" s="199" t="s">
        <v>1460</v>
      </c>
    </row>
    <row r="340" spans="1:17" ht="23" x14ac:dyDescent="0.35">
      <c r="A340" s="198">
        <v>1110</v>
      </c>
      <c r="B340" s="209" t="s">
        <v>412</v>
      </c>
      <c r="C340" s="209" t="s">
        <v>890</v>
      </c>
      <c r="D340" s="209" t="s">
        <v>24</v>
      </c>
      <c r="E340" s="200">
        <v>0.12666666666666701</v>
      </c>
      <c r="F340" s="205">
        <v>2.62</v>
      </c>
      <c r="G340" s="200">
        <v>0.28727814483741415</v>
      </c>
      <c r="H340" s="202">
        <v>15438</v>
      </c>
      <c r="I340" s="202">
        <v>4435</v>
      </c>
      <c r="J340" s="210">
        <v>46027</v>
      </c>
      <c r="K340" s="210">
        <v>46054</v>
      </c>
      <c r="L340" s="202">
        <v>4</v>
      </c>
      <c r="M340" s="199" t="s">
        <v>1229</v>
      </c>
      <c r="N340" s="199" t="s">
        <v>1232</v>
      </c>
      <c r="O340" s="200"/>
      <c r="P340" s="200"/>
      <c r="Q340" s="199" t="s">
        <v>1505</v>
      </c>
    </row>
    <row r="341" spans="1:17" x14ac:dyDescent="0.35">
      <c r="A341" s="198">
        <v>1112</v>
      </c>
      <c r="B341" s="209" t="s">
        <v>412</v>
      </c>
      <c r="C341" s="209" t="s">
        <v>837</v>
      </c>
      <c r="D341" s="209" t="s">
        <v>29</v>
      </c>
      <c r="E341" s="200">
        <v>8.7272727272727293E-2</v>
      </c>
      <c r="F341" s="205">
        <v>10.039999999999999</v>
      </c>
      <c r="G341" s="200">
        <v>0.38748230853907845</v>
      </c>
      <c r="H341" s="202">
        <v>6359</v>
      </c>
      <c r="I341" s="202">
        <v>2464</v>
      </c>
      <c r="J341" s="210">
        <v>46139</v>
      </c>
      <c r="K341" s="210">
        <v>46166</v>
      </c>
      <c r="L341" s="202">
        <v>4</v>
      </c>
      <c r="M341" s="199" t="s">
        <v>1229</v>
      </c>
      <c r="N341" s="199" t="s">
        <v>1232</v>
      </c>
      <c r="O341" s="200">
        <v>0.29999999999999993</v>
      </c>
      <c r="P341" s="200">
        <v>8.7482308539078499E-2</v>
      </c>
      <c r="Q341" s="199" t="s">
        <v>1460</v>
      </c>
    </row>
    <row r="342" spans="1:17" x14ac:dyDescent="0.35">
      <c r="A342" s="198">
        <v>1113</v>
      </c>
      <c r="B342" s="209" t="s">
        <v>412</v>
      </c>
      <c r="C342" s="209" t="s">
        <v>618</v>
      </c>
      <c r="D342" s="209" t="s">
        <v>24</v>
      </c>
      <c r="E342" s="200">
        <v>0.18394648829431401</v>
      </c>
      <c r="F342" s="205">
        <v>2.44</v>
      </c>
      <c r="G342" s="200">
        <v>0.51847038240439891</v>
      </c>
      <c r="H342" s="202">
        <v>20005</v>
      </c>
      <c r="I342" s="202">
        <v>10372</v>
      </c>
      <c r="J342" s="210">
        <v>46125</v>
      </c>
      <c r="K342" s="210">
        <v>46152</v>
      </c>
      <c r="L342" s="202">
        <v>4</v>
      </c>
      <c r="M342" s="199" t="s">
        <v>1229</v>
      </c>
      <c r="N342" s="199" t="s">
        <v>1232</v>
      </c>
      <c r="O342" s="200"/>
      <c r="P342" s="200"/>
      <c r="Q342" s="199" t="s">
        <v>1505</v>
      </c>
    </row>
    <row r="343" spans="1:17" ht="23" x14ac:dyDescent="0.35">
      <c r="A343" s="198">
        <v>1408</v>
      </c>
      <c r="B343" s="209" t="s">
        <v>490</v>
      </c>
      <c r="C343" s="209" t="s">
        <v>559</v>
      </c>
      <c r="D343" s="209" t="s">
        <v>29</v>
      </c>
      <c r="E343" s="200">
        <v>9.8998887652947801E-2</v>
      </c>
      <c r="F343" s="205">
        <v>8.1</v>
      </c>
      <c r="G343" s="200">
        <v>1.3084611565496878</v>
      </c>
      <c r="H343" s="202">
        <v>76538</v>
      </c>
      <c r="I343" s="202">
        <v>100147</v>
      </c>
      <c r="J343" s="210">
        <v>46020</v>
      </c>
      <c r="K343" s="210">
        <v>46026</v>
      </c>
      <c r="L343" s="202">
        <v>1</v>
      </c>
      <c r="M343" s="199" t="s">
        <v>1251</v>
      </c>
      <c r="N343" s="199" t="s">
        <v>1232</v>
      </c>
      <c r="O343" s="200">
        <v>0.5199999999999998</v>
      </c>
      <c r="P343" s="200">
        <v>0.78846115654968796</v>
      </c>
      <c r="Q343" s="199" t="s">
        <v>1460</v>
      </c>
    </row>
    <row r="344" spans="1:17" ht="23" x14ac:dyDescent="0.35">
      <c r="A344" s="198">
        <v>1419</v>
      </c>
      <c r="B344" s="209" t="s">
        <v>490</v>
      </c>
      <c r="C344" s="209" t="s">
        <v>907</v>
      </c>
      <c r="D344" s="209" t="s">
        <v>29</v>
      </c>
      <c r="E344" s="200">
        <v>0.16129032258064499</v>
      </c>
      <c r="F344" s="205">
        <v>7.54</v>
      </c>
      <c r="G344" s="200">
        <v>2.1919840341689123</v>
      </c>
      <c r="H344" s="202">
        <v>78668</v>
      </c>
      <c r="I344" s="202">
        <v>172439</v>
      </c>
      <c r="J344" s="210">
        <v>46027</v>
      </c>
      <c r="K344" s="210">
        <v>46033</v>
      </c>
      <c r="L344" s="202">
        <v>1</v>
      </c>
      <c r="M344" s="199" t="s">
        <v>1251</v>
      </c>
      <c r="N344" s="199" t="s">
        <v>1232</v>
      </c>
      <c r="O344" s="200">
        <v>2.0000000000000004</v>
      </c>
      <c r="P344" s="200">
        <v>0.19198403416891199</v>
      </c>
      <c r="Q344" s="199" t="s">
        <v>1460</v>
      </c>
    </row>
    <row r="345" spans="1:17" ht="23" x14ac:dyDescent="0.35">
      <c r="A345" s="198">
        <v>1420</v>
      </c>
      <c r="B345" s="209" t="s">
        <v>490</v>
      </c>
      <c r="C345" s="209" t="s">
        <v>492</v>
      </c>
      <c r="D345" s="209" t="s">
        <v>29</v>
      </c>
      <c r="E345" s="200">
        <v>6.7853170189098894E-2</v>
      </c>
      <c r="F345" s="205">
        <v>8.3800000000000008</v>
      </c>
      <c r="G345" s="200">
        <v>1.0587086534532311</v>
      </c>
      <c r="H345" s="202">
        <v>442933</v>
      </c>
      <c r="I345" s="202">
        <v>468937</v>
      </c>
      <c r="J345" s="210">
        <v>46034</v>
      </c>
      <c r="K345" s="210">
        <v>46068</v>
      </c>
      <c r="L345" s="202">
        <v>5</v>
      </c>
      <c r="M345" s="199" t="s">
        <v>1251</v>
      </c>
      <c r="N345" s="199" t="s">
        <v>1232</v>
      </c>
      <c r="O345" s="200">
        <v>1</v>
      </c>
      <c r="P345" s="200">
        <v>5.8708653453231098E-2</v>
      </c>
      <c r="Q345" s="199" t="s">
        <v>1460</v>
      </c>
    </row>
    <row r="346" spans="1:17" ht="23" x14ac:dyDescent="0.35">
      <c r="A346" s="198">
        <v>1421</v>
      </c>
      <c r="B346" s="209" t="s">
        <v>490</v>
      </c>
      <c r="C346" s="209" t="s">
        <v>856</v>
      </c>
      <c r="D346" s="209" t="s">
        <v>29</v>
      </c>
      <c r="E346" s="200">
        <v>0.10011123470522799</v>
      </c>
      <c r="F346" s="205">
        <v>8.09</v>
      </c>
      <c r="G346" s="200">
        <v>0.31764861055009191</v>
      </c>
      <c r="H346" s="202">
        <v>485228</v>
      </c>
      <c r="I346" s="202">
        <v>154132</v>
      </c>
      <c r="J346" s="210">
        <v>46146</v>
      </c>
      <c r="K346" s="210">
        <v>46187</v>
      </c>
      <c r="L346" s="202">
        <v>6</v>
      </c>
      <c r="M346" s="199" t="s">
        <v>1251</v>
      </c>
      <c r="N346" s="199" t="s">
        <v>1232</v>
      </c>
      <c r="O346" s="200">
        <v>1.1599999999999999</v>
      </c>
      <c r="P346" s="200">
        <v>-0.84235138944990795</v>
      </c>
      <c r="Q346" s="199" t="s">
        <v>1461</v>
      </c>
    </row>
    <row r="347" spans="1:17" ht="23" x14ac:dyDescent="0.35">
      <c r="A347" s="198">
        <v>1344</v>
      </c>
      <c r="B347" s="209" t="s">
        <v>868</v>
      </c>
      <c r="C347" s="209" t="s">
        <v>953</v>
      </c>
      <c r="D347" s="209" t="s">
        <v>24</v>
      </c>
      <c r="E347" s="200">
        <v>0.18566775244299699</v>
      </c>
      <c r="F347" s="205">
        <v>2.5</v>
      </c>
      <c r="G347" s="200">
        <v>0.47235852142623486</v>
      </c>
      <c r="H347" s="202">
        <v>6114</v>
      </c>
      <c r="I347" s="202">
        <v>2888</v>
      </c>
      <c r="J347" s="210">
        <v>46020</v>
      </c>
      <c r="K347" s="210">
        <v>46054</v>
      </c>
      <c r="L347" s="202">
        <v>5</v>
      </c>
      <c r="M347" s="199" t="s">
        <v>1251</v>
      </c>
      <c r="N347" s="199" t="s">
        <v>1512</v>
      </c>
      <c r="O347" s="200">
        <v>0.49999999999999994</v>
      </c>
      <c r="P347" s="200">
        <v>-2.7641478573765095E-2</v>
      </c>
      <c r="Q347" s="199" t="s">
        <v>1461</v>
      </c>
    </row>
    <row r="348" spans="1:17" x14ac:dyDescent="0.35">
      <c r="A348" s="198">
        <v>1518</v>
      </c>
      <c r="B348" s="209" t="s">
        <v>868</v>
      </c>
      <c r="C348" s="209" t="s">
        <v>869</v>
      </c>
      <c r="D348" s="209" t="s">
        <v>24</v>
      </c>
      <c r="E348" s="200">
        <v>0.169381107491857</v>
      </c>
      <c r="F348" s="205">
        <v>2.5499999999999998</v>
      </c>
      <c r="G348" s="200">
        <v>0.33666918429003023</v>
      </c>
      <c r="H348" s="202">
        <v>5296</v>
      </c>
      <c r="I348" s="202">
        <v>1783</v>
      </c>
      <c r="J348" s="210">
        <v>46083</v>
      </c>
      <c r="K348" s="210">
        <v>46110</v>
      </c>
      <c r="L348" s="202">
        <v>4</v>
      </c>
      <c r="M348" s="199" t="s">
        <v>1229</v>
      </c>
      <c r="N348" s="199" t="s">
        <v>1512</v>
      </c>
      <c r="O348" s="200">
        <v>0.50000000000000022</v>
      </c>
      <c r="P348" s="200">
        <v>-0.16333081570996999</v>
      </c>
      <c r="Q348" s="199" t="s">
        <v>1461</v>
      </c>
    </row>
    <row r="349" spans="1:17" x14ac:dyDescent="0.35">
      <c r="A349" s="198">
        <v>1519</v>
      </c>
      <c r="B349" s="209" t="s">
        <v>868</v>
      </c>
      <c r="C349" s="209" t="s">
        <v>1075</v>
      </c>
      <c r="D349" s="209" t="s">
        <v>24</v>
      </c>
      <c r="E349" s="200">
        <v>0.24012158054711202</v>
      </c>
      <c r="F349" s="205">
        <v>2.5</v>
      </c>
      <c r="G349" s="200">
        <v>0.23696790348281357</v>
      </c>
      <c r="H349" s="202">
        <v>4393</v>
      </c>
      <c r="I349" s="202">
        <v>1041</v>
      </c>
      <c r="J349" s="210">
        <v>46149</v>
      </c>
      <c r="K349" s="210">
        <v>46173</v>
      </c>
      <c r="L349" s="202">
        <v>4</v>
      </c>
      <c r="M349" s="199" t="s">
        <v>1229</v>
      </c>
      <c r="N349" s="199" t="s">
        <v>1512</v>
      </c>
      <c r="O349" s="200">
        <v>0.49999999999999956</v>
      </c>
      <c r="P349" s="200">
        <v>-0.26303209651718601</v>
      </c>
      <c r="Q349" s="199" t="s">
        <v>1461</v>
      </c>
    </row>
    <row r="350" spans="1:17" ht="23" x14ac:dyDescent="0.35">
      <c r="A350" s="198">
        <v>1116</v>
      </c>
      <c r="B350" s="209" t="s">
        <v>46</v>
      </c>
      <c r="C350" s="209" t="s">
        <v>1088</v>
      </c>
      <c r="D350" s="209" t="s">
        <v>24</v>
      </c>
      <c r="E350" s="200">
        <v>0.15050167224080299</v>
      </c>
      <c r="F350" s="205">
        <v>2.54</v>
      </c>
      <c r="G350" s="200">
        <v>0.3854651369303449</v>
      </c>
      <c r="H350" s="202">
        <v>28153</v>
      </c>
      <c r="I350" s="202">
        <v>10852</v>
      </c>
      <c r="J350" s="210">
        <v>46118</v>
      </c>
      <c r="K350" s="210">
        <v>46152</v>
      </c>
      <c r="L350" s="202">
        <v>5</v>
      </c>
      <c r="M350" s="199" t="s">
        <v>1251</v>
      </c>
      <c r="N350" s="199" t="s">
        <v>1232</v>
      </c>
      <c r="O350" s="200"/>
      <c r="P350" s="200"/>
      <c r="Q350" s="199" t="s">
        <v>1505</v>
      </c>
    </row>
    <row r="351" spans="1:17" ht="23" x14ac:dyDescent="0.35">
      <c r="A351" s="198">
        <v>1118</v>
      </c>
      <c r="B351" s="209" t="s">
        <v>46</v>
      </c>
      <c r="C351" s="209" t="s">
        <v>1132</v>
      </c>
      <c r="D351" s="209" t="s">
        <v>29</v>
      </c>
      <c r="E351" s="200">
        <v>9.3186372745491006E-2</v>
      </c>
      <c r="F351" s="205">
        <v>9.0500000000000007</v>
      </c>
      <c r="G351" s="200">
        <v>0.6798057697800628</v>
      </c>
      <c r="H351" s="202">
        <v>3501</v>
      </c>
      <c r="I351" s="202">
        <v>2380</v>
      </c>
      <c r="J351" s="210">
        <v>46055</v>
      </c>
      <c r="K351" s="210">
        <v>46061</v>
      </c>
      <c r="L351" s="202">
        <v>1</v>
      </c>
      <c r="M351" s="199" t="s">
        <v>1229</v>
      </c>
      <c r="N351" s="199" t="s">
        <v>1232</v>
      </c>
      <c r="O351" s="200">
        <v>0.29999999999999982</v>
      </c>
      <c r="P351" s="200">
        <v>0.37980576978006297</v>
      </c>
      <c r="Q351" s="199" t="s">
        <v>1460</v>
      </c>
    </row>
    <row r="352" spans="1:17" ht="23" x14ac:dyDescent="0.35">
      <c r="A352" s="198">
        <v>1119</v>
      </c>
      <c r="B352" s="209" t="s">
        <v>46</v>
      </c>
      <c r="C352" s="209" t="s">
        <v>527</v>
      </c>
      <c r="D352" s="209" t="s">
        <v>24</v>
      </c>
      <c r="E352" s="200">
        <v>0.30872483221476499</v>
      </c>
      <c r="F352" s="205">
        <v>2.06</v>
      </c>
      <c r="G352" s="200">
        <v>0.48690118437334279</v>
      </c>
      <c r="H352" s="202">
        <v>28285</v>
      </c>
      <c r="I352" s="202">
        <v>13772</v>
      </c>
      <c r="J352" s="210">
        <v>46020</v>
      </c>
      <c r="K352" s="210">
        <v>46054</v>
      </c>
      <c r="L352" s="202">
        <v>5</v>
      </c>
      <c r="M352" s="199" t="s">
        <v>1251</v>
      </c>
      <c r="N352" s="199" t="s">
        <v>1232</v>
      </c>
      <c r="O352" s="200">
        <v>0.34999999999999976</v>
      </c>
      <c r="P352" s="200">
        <v>0.136901184373343</v>
      </c>
      <c r="Q352" s="199" t="s">
        <v>1460</v>
      </c>
    </row>
    <row r="353" spans="1:17" ht="23" x14ac:dyDescent="0.35">
      <c r="A353" s="198">
        <v>1121</v>
      </c>
      <c r="B353" s="209" t="s">
        <v>46</v>
      </c>
      <c r="C353" s="209" t="s">
        <v>47</v>
      </c>
      <c r="D353" s="209" t="s">
        <v>29</v>
      </c>
      <c r="E353" s="200">
        <v>9.5190380761523197E-2</v>
      </c>
      <c r="F353" s="205">
        <v>9.0299999999999994</v>
      </c>
      <c r="G353" s="200">
        <v>0.44029850746268656</v>
      </c>
      <c r="H353" s="202">
        <v>4422</v>
      </c>
      <c r="I353" s="202">
        <v>1947</v>
      </c>
      <c r="J353" s="210">
        <v>46153</v>
      </c>
      <c r="K353" s="210">
        <v>46187</v>
      </c>
      <c r="L353" s="202">
        <v>5</v>
      </c>
      <c r="M353" s="199" t="s">
        <v>1229</v>
      </c>
      <c r="N353" s="199" t="s">
        <v>1232</v>
      </c>
      <c r="O353" s="200">
        <v>0.2999999999999996</v>
      </c>
      <c r="P353" s="200">
        <v>0.14029850746268699</v>
      </c>
      <c r="Q353" s="199" t="s">
        <v>1460</v>
      </c>
    </row>
    <row r="354" spans="1:17" ht="23" x14ac:dyDescent="0.35">
      <c r="A354" s="198">
        <v>1013</v>
      </c>
      <c r="B354" s="209" t="s">
        <v>513</v>
      </c>
      <c r="C354" s="209" t="s">
        <v>706</v>
      </c>
      <c r="D354" s="209" t="s">
        <v>24</v>
      </c>
      <c r="E354" s="200">
        <v>0.14285714285714299</v>
      </c>
      <c r="F354" s="205">
        <v>3</v>
      </c>
      <c r="G354" s="200">
        <v>0.59467918622848204</v>
      </c>
      <c r="H354" s="202">
        <v>639</v>
      </c>
      <c r="I354" s="202">
        <v>380</v>
      </c>
      <c r="J354" s="210">
        <v>46020</v>
      </c>
      <c r="K354" s="210">
        <v>46047</v>
      </c>
      <c r="L354" s="202">
        <v>4</v>
      </c>
      <c r="M354" s="199" t="s">
        <v>1229</v>
      </c>
      <c r="N354" s="199" t="s">
        <v>1232</v>
      </c>
      <c r="O354" s="200">
        <v>0.75</v>
      </c>
      <c r="P354" s="200">
        <v>-0.15532081377151799</v>
      </c>
      <c r="Q354" s="199" t="s">
        <v>1461</v>
      </c>
    </row>
    <row r="355" spans="1:17" ht="23" x14ac:dyDescent="0.35">
      <c r="A355" s="198">
        <v>1014</v>
      </c>
      <c r="B355" s="209" t="s">
        <v>513</v>
      </c>
      <c r="C355" s="209" t="s">
        <v>1037</v>
      </c>
      <c r="D355" s="209" t="s">
        <v>24</v>
      </c>
      <c r="E355" s="200">
        <v>0.28133704735375997</v>
      </c>
      <c r="F355" s="205">
        <v>2.58</v>
      </c>
      <c r="G355" s="200">
        <v>0.47557840616966579</v>
      </c>
      <c r="H355" s="202">
        <v>778</v>
      </c>
      <c r="I355" s="202">
        <v>370</v>
      </c>
      <c r="J355" s="210">
        <v>46139</v>
      </c>
      <c r="K355" s="210">
        <v>46166</v>
      </c>
      <c r="L355" s="202">
        <v>4</v>
      </c>
      <c r="M355" s="199" t="s">
        <v>1229</v>
      </c>
      <c r="N355" s="199" t="s">
        <v>1232</v>
      </c>
      <c r="O355" s="200">
        <v>0.74999999999999978</v>
      </c>
      <c r="P355" s="200">
        <v>-0.27442159383033399</v>
      </c>
      <c r="Q355" s="199" t="s">
        <v>1461</v>
      </c>
    </row>
    <row r="356" spans="1:17" x14ac:dyDescent="0.35">
      <c r="A356" s="198">
        <v>1136</v>
      </c>
      <c r="B356" s="209" t="s">
        <v>121</v>
      </c>
      <c r="C356" s="209" t="s">
        <v>548</v>
      </c>
      <c r="D356" s="209" t="s">
        <v>24</v>
      </c>
      <c r="E356" s="200">
        <v>0.37792642140468202</v>
      </c>
      <c r="F356" s="205">
        <v>1.86</v>
      </c>
      <c r="G356" s="200">
        <v>1.8462775098397917</v>
      </c>
      <c r="H356" s="202">
        <v>36078</v>
      </c>
      <c r="I356" s="202">
        <v>66610</v>
      </c>
      <c r="J356" s="210">
        <v>46020</v>
      </c>
      <c r="K356" s="210">
        <v>46054</v>
      </c>
      <c r="L356" s="202">
        <v>5</v>
      </c>
      <c r="M356" s="199" t="s">
        <v>1229</v>
      </c>
      <c r="N356" s="199" t="s">
        <v>1232</v>
      </c>
      <c r="O356" s="200">
        <v>0.40000000000000169</v>
      </c>
      <c r="P356" s="200">
        <v>1.44627750983979</v>
      </c>
      <c r="Q356" s="199" t="s">
        <v>1460</v>
      </c>
    </row>
    <row r="357" spans="1:17" x14ac:dyDescent="0.35">
      <c r="A357" s="198">
        <v>1138</v>
      </c>
      <c r="B357" s="209" t="s">
        <v>121</v>
      </c>
      <c r="C357" s="209" t="s">
        <v>909</v>
      </c>
      <c r="D357" s="209" t="s">
        <v>24</v>
      </c>
      <c r="E357" s="200">
        <v>0.29765886287625398</v>
      </c>
      <c r="F357" s="205">
        <v>2.1</v>
      </c>
      <c r="G357" s="200">
        <v>0.51077077220353539</v>
      </c>
      <c r="H357" s="202">
        <v>41919</v>
      </c>
      <c r="I357" s="202">
        <v>21411</v>
      </c>
      <c r="J357" s="210">
        <v>46083</v>
      </c>
      <c r="K357" s="210">
        <v>46110</v>
      </c>
      <c r="L357" s="202">
        <v>4</v>
      </c>
      <c r="M357" s="199" t="s">
        <v>1229</v>
      </c>
      <c r="N357" s="199" t="s">
        <v>1232</v>
      </c>
      <c r="O357" s="200">
        <v>0.25000000000000039</v>
      </c>
      <c r="P357" s="200">
        <v>0.26077077220353501</v>
      </c>
      <c r="Q357" s="199" t="s">
        <v>1460</v>
      </c>
    </row>
    <row r="358" spans="1:17" x14ac:dyDescent="0.35">
      <c r="A358" s="198">
        <v>1139</v>
      </c>
      <c r="B358" s="209" t="s">
        <v>121</v>
      </c>
      <c r="C358" s="209" t="s">
        <v>122</v>
      </c>
      <c r="D358" s="209" t="s">
        <v>24</v>
      </c>
      <c r="E358" s="200">
        <v>0.36102236421725198</v>
      </c>
      <c r="F358" s="205">
        <v>2</v>
      </c>
      <c r="G358" s="200">
        <v>0.72691424871991051</v>
      </c>
      <c r="H358" s="202">
        <v>16991</v>
      </c>
      <c r="I358" s="202">
        <v>12351</v>
      </c>
      <c r="J358" s="210">
        <v>46146</v>
      </c>
      <c r="K358" s="210">
        <v>46159</v>
      </c>
      <c r="L358" s="202">
        <v>2</v>
      </c>
      <c r="M358" s="199" t="s">
        <v>1229</v>
      </c>
      <c r="N358" s="199" t="s">
        <v>1232</v>
      </c>
      <c r="O358" s="200">
        <v>0.2499999999999995</v>
      </c>
      <c r="P358" s="200">
        <v>0.476914248719911</v>
      </c>
      <c r="Q358" s="199" t="s">
        <v>1460</v>
      </c>
    </row>
    <row r="359" spans="1:17" x14ac:dyDescent="0.35">
      <c r="A359" s="198">
        <v>1142</v>
      </c>
      <c r="B359" s="209" t="s">
        <v>31</v>
      </c>
      <c r="C359" s="209" t="s">
        <v>843</v>
      </c>
      <c r="D359" s="209" t="s">
        <v>24</v>
      </c>
      <c r="E359" s="200">
        <v>0.14736842105263201</v>
      </c>
      <c r="F359" s="205">
        <v>2.4300000000000002</v>
      </c>
      <c r="G359" s="200">
        <v>0.26451070405890642</v>
      </c>
      <c r="H359" s="202">
        <v>44002</v>
      </c>
      <c r="I359" s="202">
        <v>11639</v>
      </c>
      <c r="J359" s="210">
        <v>46083</v>
      </c>
      <c r="K359" s="210">
        <v>46110</v>
      </c>
      <c r="L359" s="202">
        <v>4</v>
      </c>
      <c r="M359" s="199" t="s">
        <v>1229</v>
      </c>
      <c r="N359" s="199" t="s">
        <v>1234</v>
      </c>
      <c r="O359" s="200"/>
      <c r="P359" s="200"/>
      <c r="Q359" s="199" t="s">
        <v>1505</v>
      </c>
    </row>
    <row r="360" spans="1:17" x14ac:dyDescent="0.35">
      <c r="A360" s="198">
        <v>1143</v>
      </c>
      <c r="B360" s="209" t="s">
        <v>31</v>
      </c>
      <c r="C360" s="209" t="s">
        <v>32</v>
      </c>
      <c r="D360" s="209" t="s">
        <v>24</v>
      </c>
      <c r="E360" s="200">
        <v>0.121527777777778</v>
      </c>
      <c r="F360" s="205">
        <v>2.5299999999999998</v>
      </c>
      <c r="G360" s="200">
        <v>0.27006950708335542</v>
      </c>
      <c r="H360" s="202">
        <v>37694</v>
      </c>
      <c r="I360" s="202">
        <v>10180</v>
      </c>
      <c r="J360" s="210">
        <v>46146</v>
      </c>
      <c r="K360" s="210">
        <v>46173</v>
      </c>
      <c r="L360" s="202">
        <v>4</v>
      </c>
      <c r="M360" s="199" t="s">
        <v>1229</v>
      </c>
      <c r="N360" s="199" t="s">
        <v>1234</v>
      </c>
      <c r="O360" s="200"/>
      <c r="P360" s="200"/>
      <c r="Q360" s="199" t="s">
        <v>1505</v>
      </c>
    </row>
    <row r="361" spans="1:17" x14ac:dyDescent="0.35">
      <c r="A361" s="198">
        <v>1211</v>
      </c>
      <c r="B361" s="209" t="s">
        <v>265</v>
      </c>
      <c r="C361" s="209" t="s">
        <v>736</v>
      </c>
      <c r="D361" s="209" t="s">
        <v>24</v>
      </c>
      <c r="E361" s="200">
        <v>1.5873015873015799E-2</v>
      </c>
      <c r="F361" s="205">
        <v>3.1</v>
      </c>
      <c r="G361" s="200">
        <v>6.4592294744716658E-2</v>
      </c>
      <c r="H361" s="202">
        <v>42776</v>
      </c>
      <c r="I361" s="202">
        <v>2763</v>
      </c>
      <c r="J361" s="210">
        <v>46020</v>
      </c>
      <c r="K361" s="210">
        <v>46033</v>
      </c>
      <c r="L361" s="202">
        <v>2</v>
      </c>
      <c r="M361" s="199" t="s">
        <v>1229</v>
      </c>
      <c r="N361" s="199" t="s">
        <v>1230</v>
      </c>
      <c r="O361" s="200">
        <v>0.49999999999999967</v>
      </c>
      <c r="P361" s="200">
        <v>-0.435407705255283</v>
      </c>
      <c r="Q361" s="199" t="s">
        <v>1461</v>
      </c>
    </row>
    <row r="362" spans="1:17" x14ac:dyDescent="0.35">
      <c r="A362" s="198">
        <v>1212</v>
      </c>
      <c r="B362" s="209" t="s">
        <v>265</v>
      </c>
      <c r="C362" s="209" t="s">
        <v>469</v>
      </c>
      <c r="D362" s="209" t="s">
        <v>24</v>
      </c>
      <c r="E362" s="200">
        <v>6.3492063492063405E-2</v>
      </c>
      <c r="F362" s="205">
        <v>2.95</v>
      </c>
      <c r="G362" s="200">
        <v>0.3978497267087871</v>
      </c>
      <c r="H362" s="202">
        <v>122031</v>
      </c>
      <c r="I362" s="202">
        <v>48550</v>
      </c>
      <c r="J362" s="210">
        <v>46083</v>
      </c>
      <c r="K362" s="210">
        <v>46110</v>
      </c>
      <c r="L362" s="202">
        <v>4</v>
      </c>
      <c r="M362" s="199" t="s">
        <v>1251</v>
      </c>
      <c r="N362" s="199" t="s">
        <v>1230</v>
      </c>
      <c r="O362" s="200">
        <v>0.70000000000000018</v>
      </c>
      <c r="P362" s="200">
        <v>-0.30215027329121302</v>
      </c>
      <c r="Q362" s="199" t="s">
        <v>1461</v>
      </c>
    </row>
    <row r="363" spans="1:17" x14ac:dyDescent="0.35">
      <c r="A363" s="198">
        <v>1150</v>
      </c>
      <c r="B363" s="209" t="s">
        <v>86</v>
      </c>
      <c r="C363" s="209" t="s">
        <v>321</v>
      </c>
      <c r="D363" s="209" t="s">
        <v>24</v>
      </c>
      <c r="E363" s="200">
        <v>7.0631970260222998E-2</v>
      </c>
      <c r="F363" s="205">
        <v>2.5</v>
      </c>
      <c r="G363" s="200">
        <v>0.37312661498708011</v>
      </c>
      <c r="H363" s="202">
        <v>1935</v>
      </c>
      <c r="I363" s="202">
        <v>722</v>
      </c>
      <c r="J363" s="210">
        <v>46027</v>
      </c>
      <c r="K363" s="210">
        <v>46047</v>
      </c>
      <c r="L363" s="202">
        <v>3</v>
      </c>
      <c r="M363" s="199" t="s">
        <v>1229</v>
      </c>
      <c r="N363" s="199" t="s">
        <v>1232</v>
      </c>
      <c r="O363" s="200">
        <v>0.3</v>
      </c>
      <c r="P363" s="200">
        <v>7.3126614987080105E-2</v>
      </c>
      <c r="Q363" s="199" t="s">
        <v>1460</v>
      </c>
    </row>
    <row r="364" spans="1:17" x14ac:dyDescent="0.35">
      <c r="A364" s="198">
        <v>1152</v>
      </c>
      <c r="B364" s="209" t="s">
        <v>86</v>
      </c>
      <c r="C364" s="209" t="s">
        <v>1033</v>
      </c>
      <c r="D364" s="209" t="s">
        <v>29</v>
      </c>
      <c r="E364" s="200">
        <v>9.2092092092092098E-2</v>
      </c>
      <c r="F364" s="205">
        <v>9.07</v>
      </c>
      <c r="G364" s="200">
        <v>0.34140780849244801</v>
      </c>
      <c r="H364" s="202">
        <v>3509</v>
      </c>
      <c r="I364" s="202">
        <v>1198</v>
      </c>
      <c r="J364" s="210">
        <v>46111</v>
      </c>
      <c r="K364" s="210">
        <v>46138</v>
      </c>
      <c r="L364" s="202">
        <v>4</v>
      </c>
      <c r="M364" s="199" t="s">
        <v>1229</v>
      </c>
      <c r="N364" s="199" t="s">
        <v>1232</v>
      </c>
      <c r="O364" s="200">
        <v>0.25</v>
      </c>
      <c r="P364" s="200">
        <v>9.1407808492448006E-2</v>
      </c>
      <c r="Q364" s="199" t="s">
        <v>1460</v>
      </c>
    </row>
  </sheetData>
  <mergeCells count="13">
    <mergeCell ref="A212:Q212"/>
    <mergeCell ref="A51:Q51"/>
    <mergeCell ref="A64:Q64"/>
    <mergeCell ref="A93:Q93"/>
    <mergeCell ref="A148:Q148"/>
    <mergeCell ref="A203:Q203"/>
    <mergeCell ref="A32:Q32"/>
    <mergeCell ref="A42:Q42"/>
    <mergeCell ref="A1:Q1"/>
    <mergeCell ref="A2:Q2"/>
    <mergeCell ref="A4:Q4"/>
    <mergeCell ref="A14:Q14"/>
    <mergeCell ref="A24:Q24"/>
  </mergeCells>
  <conditionalFormatting sqref="E16:E21">
    <cfRule type="dataBar" priority="3">
      <dataBar>
        <cfvo type="min"/>
        <cfvo type="max"/>
        <color rgb="FF638EC6"/>
      </dataBar>
      <extLst>
        <ext xmlns:x14="http://schemas.microsoft.com/office/spreadsheetml/2009/9/main" uri="{B025F937-C7B1-47D3-B67F-A62EFF666E3E}">
          <x14:id>{5C84C349-9DFE-4D91-90BC-7637A1804D52}</x14:id>
        </ext>
      </extLst>
    </cfRule>
  </conditionalFormatting>
  <conditionalFormatting sqref="E34:E39">
    <cfRule type="dataBar" priority="5">
      <dataBar>
        <cfvo type="min"/>
        <cfvo type="max"/>
        <color rgb="FF638EC6"/>
      </dataBar>
      <extLst>
        <ext xmlns:x14="http://schemas.microsoft.com/office/spreadsheetml/2009/9/main" uri="{B025F937-C7B1-47D3-B67F-A62EFF666E3E}">
          <x14:id>{E5288413-4BF9-4328-ABFB-5CF7E713BCF7}</x14:id>
        </ext>
      </extLst>
    </cfRule>
  </conditionalFormatting>
  <conditionalFormatting sqref="E44:E48">
    <cfRule type="dataBar" priority="6">
      <dataBar>
        <cfvo type="min"/>
        <cfvo type="max"/>
        <color rgb="FF638EC6"/>
      </dataBar>
      <extLst>
        <ext xmlns:x14="http://schemas.microsoft.com/office/spreadsheetml/2009/9/main" uri="{B025F937-C7B1-47D3-B67F-A62EFF666E3E}">
          <x14:id>{C35DA9EF-1A97-4845-9DC9-26D7FBCF60E6}</x14:id>
        </ext>
      </extLst>
    </cfRule>
  </conditionalFormatting>
  <conditionalFormatting sqref="E53:E62">
    <cfRule type="dataBar" priority="2">
      <dataBar>
        <cfvo type="min"/>
        <cfvo type="max"/>
        <color rgb="FF638EC6"/>
      </dataBar>
      <extLst>
        <ext xmlns:x14="http://schemas.microsoft.com/office/spreadsheetml/2009/9/main" uri="{B025F937-C7B1-47D3-B67F-A62EFF666E3E}">
          <x14:id>{AAE2E920-0F14-4B9F-979A-6071B04C7805}</x14:id>
        </ext>
      </extLst>
    </cfRule>
  </conditionalFormatting>
  <conditionalFormatting sqref="E95:E145">
    <cfRule type="dataBar" priority="7">
      <dataBar>
        <cfvo type="min"/>
        <cfvo type="max"/>
        <color rgb="FF638EC6"/>
      </dataBar>
      <extLst>
        <ext xmlns:x14="http://schemas.microsoft.com/office/spreadsheetml/2009/9/main" uri="{B025F937-C7B1-47D3-B67F-A62EFF666E3E}">
          <x14:id>{8F5C988E-E740-4FC7-A12A-A469641167F6}</x14:id>
        </ext>
      </extLst>
    </cfRule>
  </conditionalFormatting>
  <conditionalFormatting sqref="F26:F29">
    <cfRule type="dataBar" priority="4">
      <dataBar>
        <cfvo type="min"/>
        <cfvo type="max"/>
        <color rgb="FF638EC6"/>
      </dataBar>
      <extLst>
        <ext xmlns:x14="http://schemas.microsoft.com/office/spreadsheetml/2009/9/main" uri="{B025F937-C7B1-47D3-B67F-A62EFF666E3E}">
          <x14:id>{EF9D39D3-CE56-4C80-B525-2920D6038708}</x14:id>
        </ext>
      </extLst>
    </cfRule>
  </conditionalFormatting>
  <conditionalFormatting sqref="F150:F200">
    <cfRule type="dataBar" priority="8">
      <dataBar>
        <cfvo type="min"/>
        <cfvo type="max"/>
        <color rgb="FF638EC6"/>
      </dataBar>
      <extLst>
        <ext xmlns:x14="http://schemas.microsoft.com/office/spreadsheetml/2009/9/main" uri="{B025F937-C7B1-47D3-B67F-A62EFF666E3E}">
          <x14:id>{08E4E81B-CF4E-4A4D-847E-F5243C79A4D1}</x14:id>
        </ext>
      </extLst>
    </cfRule>
  </conditionalFormatting>
  <conditionalFormatting sqref="M95:M145">
    <cfRule type="colorScale" priority="1">
      <colorScale>
        <cfvo type="min"/>
        <cfvo type="percentile" val="50"/>
        <cfvo type="max"/>
        <color rgb="FFF8696B"/>
        <color rgb="FFFFEB84"/>
        <color rgb="FF63BE7B"/>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5C84C349-9DFE-4D91-90BC-7637A1804D52}">
            <x14:dataBar minLength="0" maxLength="100" negativeBarColorSameAsPositive="1" axisPosition="none">
              <x14:cfvo type="min"/>
              <x14:cfvo type="max"/>
            </x14:dataBar>
          </x14:cfRule>
          <xm:sqref>E16:E21</xm:sqref>
        </x14:conditionalFormatting>
        <x14:conditionalFormatting xmlns:xm="http://schemas.microsoft.com/office/excel/2006/main">
          <x14:cfRule type="dataBar" id="{E5288413-4BF9-4328-ABFB-5CF7E713BCF7}">
            <x14:dataBar minLength="0" maxLength="100" negativeBarColorSameAsPositive="1" axisPosition="none">
              <x14:cfvo type="min"/>
              <x14:cfvo type="max"/>
            </x14:dataBar>
          </x14:cfRule>
          <xm:sqref>E34:E39</xm:sqref>
        </x14:conditionalFormatting>
        <x14:conditionalFormatting xmlns:xm="http://schemas.microsoft.com/office/excel/2006/main">
          <x14:cfRule type="dataBar" id="{C35DA9EF-1A97-4845-9DC9-26D7FBCF60E6}">
            <x14:dataBar minLength="0" maxLength="100" negativeBarColorSameAsPositive="1" axisPosition="none">
              <x14:cfvo type="min"/>
              <x14:cfvo type="max"/>
            </x14:dataBar>
          </x14:cfRule>
          <xm:sqref>E44:E48</xm:sqref>
        </x14:conditionalFormatting>
        <x14:conditionalFormatting xmlns:xm="http://schemas.microsoft.com/office/excel/2006/main">
          <x14:cfRule type="dataBar" id="{AAE2E920-0F14-4B9F-979A-6071B04C7805}">
            <x14:dataBar minLength="0" maxLength="100" negativeBarColorSameAsPositive="1" axisPosition="none">
              <x14:cfvo type="min"/>
              <x14:cfvo type="max"/>
            </x14:dataBar>
          </x14:cfRule>
          <xm:sqref>E53:E62</xm:sqref>
        </x14:conditionalFormatting>
        <x14:conditionalFormatting xmlns:xm="http://schemas.microsoft.com/office/excel/2006/main">
          <x14:cfRule type="dataBar" id="{8F5C988E-E740-4FC7-A12A-A469641167F6}">
            <x14:dataBar minLength="0" maxLength="100" negativeBarColorSameAsPositive="1" axisPosition="none">
              <x14:cfvo type="min"/>
              <x14:cfvo type="max"/>
            </x14:dataBar>
          </x14:cfRule>
          <xm:sqref>E95:E145</xm:sqref>
        </x14:conditionalFormatting>
        <x14:conditionalFormatting xmlns:xm="http://schemas.microsoft.com/office/excel/2006/main">
          <x14:cfRule type="dataBar" id="{EF9D39D3-CE56-4C80-B525-2920D6038708}">
            <x14:dataBar minLength="0" maxLength="100" negativeBarColorSameAsPositive="1" axisPosition="none">
              <x14:cfvo type="min"/>
              <x14:cfvo type="max"/>
            </x14:dataBar>
          </x14:cfRule>
          <xm:sqref>F26:F29</xm:sqref>
        </x14:conditionalFormatting>
        <x14:conditionalFormatting xmlns:xm="http://schemas.microsoft.com/office/excel/2006/main">
          <x14:cfRule type="dataBar" id="{08E4E81B-CF4E-4A4D-847E-F5243C79A4D1}">
            <x14:dataBar minLength="0" maxLength="100" negativeBarColorSameAsPositive="1" axisPosition="none">
              <x14:cfvo type="min"/>
              <x14:cfvo type="max"/>
            </x14:dataBar>
          </x14:cfRule>
          <xm:sqref>F150:F200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82CD7-3D59-4593-9FE5-16F037CB5B1A}">
  <sheetPr>
    <tabColor theme="5"/>
  </sheetPr>
  <dimension ref="A1:I26"/>
  <sheetViews>
    <sheetView showGridLines="0" workbookViewId="0">
      <selection sqref="A1:I26"/>
    </sheetView>
  </sheetViews>
  <sheetFormatPr defaultRowHeight="14.5" x14ac:dyDescent="0.35"/>
  <cols>
    <col min="1" max="1" width="25.453125" customWidth="1"/>
    <col min="2" max="2" width="3.6328125" customWidth="1"/>
    <col min="3" max="3" width="25.453125" customWidth="1"/>
    <col min="4" max="4" width="3.6328125" customWidth="1"/>
    <col min="5" max="5" width="25.453125" customWidth="1"/>
    <col min="6" max="6" width="3.6328125" customWidth="1"/>
    <col min="7" max="7" width="25.453125" customWidth="1"/>
    <col min="8" max="8" width="3.6328125" customWidth="1"/>
    <col min="9" max="9" width="25.453125" customWidth="1"/>
  </cols>
  <sheetData>
    <row r="1" spans="1:9" ht="26" x14ac:dyDescent="0.35">
      <c r="A1" s="281" t="s">
        <v>1485</v>
      </c>
      <c r="B1" s="281"/>
      <c r="C1" s="281"/>
      <c r="D1" s="281"/>
      <c r="E1" s="281"/>
      <c r="F1" s="281"/>
      <c r="G1" s="281"/>
      <c r="H1" s="281"/>
      <c r="I1" s="281"/>
    </row>
    <row r="2" spans="1:9" x14ac:dyDescent="0.35">
      <c r="A2" s="282" t="s">
        <v>1486</v>
      </c>
      <c r="B2" s="282"/>
      <c r="C2" s="282"/>
      <c r="D2" s="282"/>
      <c r="E2" s="282"/>
      <c r="F2" s="282"/>
      <c r="G2" s="282"/>
      <c r="H2" s="282"/>
      <c r="I2" s="282"/>
    </row>
    <row r="3" spans="1:9" x14ac:dyDescent="0.35">
      <c r="A3" s="139"/>
      <c r="B3" s="139"/>
      <c r="C3" s="139"/>
      <c r="D3" s="139"/>
      <c r="E3" s="139"/>
      <c r="F3" s="139"/>
      <c r="G3" s="139"/>
      <c r="H3" s="139"/>
      <c r="I3" s="139"/>
    </row>
    <row r="4" spans="1:9" x14ac:dyDescent="0.35">
      <c r="A4" s="283" t="s">
        <v>1487</v>
      </c>
      <c r="B4" s="283"/>
      <c r="C4" s="283"/>
      <c r="D4" s="283"/>
      <c r="E4" s="283"/>
      <c r="F4" s="283"/>
      <c r="G4" s="283"/>
      <c r="H4" s="283"/>
      <c r="I4" s="283"/>
    </row>
    <row r="5" spans="1:9" x14ac:dyDescent="0.35">
      <c r="A5" s="139"/>
      <c r="B5" s="139"/>
      <c r="C5" s="139"/>
      <c r="D5" s="139"/>
      <c r="E5" s="139"/>
      <c r="F5" s="139"/>
      <c r="G5" s="139"/>
      <c r="H5" s="139"/>
      <c r="I5" s="139"/>
    </row>
    <row r="6" spans="1:9" x14ac:dyDescent="0.35">
      <c r="A6" s="140" t="s">
        <v>1488</v>
      </c>
      <c r="B6" s="139"/>
      <c r="C6" s="140" t="s">
        <v>1489</v>
      </c>
      <c r="D6" s="139"/>
      <c r="E6" s="140" t="s">
        <v>1490</v>
      </c>
      <c r="F6" s="139"/>
      <c r="G6" s="140" t="s">
        <v>1491</v>
      </c>
      <c r="H6" s="139"/>
      <c r="I6" s="140" t="s">
        <v>1492</v>
      </c>
    </row>
    <row r="7" spans="1:9" x14ac:dyDescent="0.35">
      <c r="A7" s="288" t="s">
        <v>1493</v>
      </c>
      <c r="B7" s="139"/>
      <c r="C7" s="288" t="s">
        <v>1494</v>
      </c>
      <c r="D7" s="139"/>
      <c r="E7" s="288" t="s">
        <v>1594</v>
      </c>
      <c r="F7" s="139"/>
      <c r="G7" s="288" t="s">
        <v>1613</v>
      </c>
      <c r="H7" s="139"/>
      <c r="I7" s="288" t="s">
        <v>1513</v>
      </c>
    </row>
    <row r="8" spans="1:9" ht="23.5" x14ac:dyDescent="0.35">
      <c r="A8" s="288"/>
      <c r="B8" s="141" t="s">
        <v>1495</v>
      </c>
      <c r="C8" s="288"/>
      <c r="D8" s="141" t="s">
        <v>1495</v>
      </c>
      <c r="E8" s="288"/>
      <c r="F8" s="141" t="s">
        <v>1495</v>
      </c>
      <c r="G8" s="288"/>
      <c r="H8" s="141" t="s">
        <v>1495</v>
      </c>
      <c r="I8" s="288"/>
    </row>
    <row r="9" spans="1:9" x14ac:dyDescent="0.35">
      <c r="A9" s="288"/>
      <c r="B9" s="139"/>
      <c r="C9" s="288"/>
      <c r="D9" s="139"/>
      <c r="E9" s="288"/>
      <c r="F9" s="139"/>
      <c r="G9" s="288"/>
      <c r="H9" s="139"/>
      <c r="I9" s="288"/>
    </row>
    <row r="10" spans="1:9" x14ac:dyDescent="0.35">
      <c r="A10" s="288"/>
      <c r="B10" s="139"/>
      <c r="C10" s="288"/>
      <c r="D10" s="139"/>
      <c r="E10" s="288"/>
      <c r="F10" s="139"/>
      <c r="G10" s="288"/>
      <c r="H10" s="139"/>
      <c r="I10" s="288"/>
    </row>
    <row r="11" spans="1:9" x14ac:dyDescent="0.35">
      <c r="A11" s="288"/>
      <c r="B11" s="139"/>
      <c r="C11" s="288"/>
      <c r="D11" s="139"/>
      <c r="E11" s="288"/>
      <c r="F11" s="139"/>
      <c r="G11" s="288"/>
      <c r="H11" s="139"/>
      <c r="I11" s="288"/>
    </row>
    <row r="12" spans="1:9" x14ac:dyDescent="0.35">
      <c r="A12" s="139"/>
      <c r="B12" s="139"/>
      <c r="C12" s="139"/>
      <c r="D12" s="139"/>
      <c r="E12" s="139"/>
      <c r="F12" s="139"/>
      <c r="G12" s="139"/>
      <c r="H12" s="139"/>
      <c r="I12" s="139"/>
    </row>
    <row r="13" spans="1:9" x14ac:dyDescent="0.35">
      <c r="A13" s="283" t="s">
        <v>1496</v>
      </c>
      <c r="B13" s="283"/>
      <c r="C13" s="283"/>
      <c r="D13" s="283"/>
      <c r="E13" s="283"/>
      <c r="F13" s="283"/>
      <c r="G13" s="283"/>
      <c r="H13" s="283"/>
      <c r="I13" s="283"/>
    </row>
    <row r="14" spans="1:9" x14ac:dyDescent="0.35">
      <c r="A14" s="139"/>
      <c r="B14" s="139"/>
      <c r="C14" s="139"/>
      <c r="D14" s="139"/>
      <c r="E14" s="139"/>
      <c r="F14" s="139"/>
      <c r="G14" s="139"/>
      <c r="H14" s="139"/>
      <c r="I14" s="139"/>
    </row>
    <row r="15" spans="1:9" x14ac:dyDescent="0.35">
      <c r="A15" s="284">
        <v>151</v>
      </c>
      <c r="B15" s="284"/>
      <c r="C15" s="285">
        <v>0.76400000000000001</v>
      </c>
      <c r="D15" s="285"/>
      <c r="E15" s="286">
        <v>2381964</v>
      </c>
      <c r="F15" s="286"/>
      <c r="G15" s="285">
        <v>0.14599999999999999</v>
      </c>
      <c r="H15" s="285"/>
      <c r="I15" s="285"/>
    </row>
    <row r="16" spans="1:9" x14ac:dyDescent="0.35">
      <c r="A16" s="284"/>
      <c r="B16" s="284"/>
      <c r="C16" s="285"/>
      <c r="D16" s="285"/>
      <c r="E16" s="286"/>
      <c r="F16" s="286"/>
      <c r="G16" s="285"/>
      <c r="H16" s="285"/>
      <c r="I16" s="285"/>
    </row>
    <row r="17" spans="1:9" x14ac:dyDescent="0.35">
      <c r="A17" s="284"/>
      <c r="B17" s="284"/>
      <c r="C17" s="285"/>
      <c r="D17" s="285"/>
      <c r="E17" s="286"/>
      <c r="F17" s="286"/>
      <c r="G17" s="285"/>
      <c r="H17" s="285"/>
      <c r="I17" s="285"/>
    </row>
    <row r="18" spans="1:9" x14ac:dyDescent="0.35">
      <c r="A18" s="289" t="s">
        <v>1497</v>
      </c>
      <c r="B18" s="289"/>
      <c r="C18" s="289" t="s">
        <v>1498</v>
      </c>
      <c r="D18" s="289"/>
      <c r="E18" s="289" t="s">
        <v>1499</v>
      </c>
      <c r="F18" s="289"/>
      <c r="G18" s="289" t="s">
        <v>1500</v>
      </c>
      <c r="H18" s="289"/>
      <c r="I18" s="289"/>
    </row>
    <row r="19" spans="1:9" x14ac:dyDescent="0.35">
      <c r="A19" s="139"/>
      <c r="B19" s="139"/>
      <c r="C19" s="139"/>
      <c r="D19" s="139"/>
      <c r="E19" s="139"/>
      <c r="F19" s="139"/>
      <c r="G19" s="139"/>
      <c r="H19" s="139"/>
      <c r="I19" s="139"/>
    </row>
    <row r="20" spans="1:9" x14ac:dyDescent="0.35">
      <c r="A20" s="283" t="s">
        <v>1501</v>
      </c>
      <c r="B20" s="283"/>
      <c r="C20" s="283"/>
      <c r="D20" s="283"/>
      <c r="E20" s="283"/>
      <c r="F20" s="283"/>
      <c r="G20" s="283"/>
      <c r="H20" s="283"/>
      <c r="I20" s="283"/>
    </row>
    <row r="21" spans="1:9" x14ac:dyDescent="0.35">
      <c r="A21" s="290" t="s">
        <v>1514</v>
      </c>
      <c r="B21" s="290"/>
      <c r="C21" s="290"/>
      <c r="D21" s="290"/>
      <c r="E21" s="290"/>
      <c r="F21" s="290"/>
      <c r="G21" s="290"/>
      <c r="H21" s="290"/>
      <c r="I21" s="290"/>
    </row>
    <row r="22" spans="1:9" x14ac:dyDescent="0.35">
      <c r="A22" s="290"/>
      <c r="B22" s="290"/>
      <c r="C22" s="290"/>
      <c r="D22" s="290"/>
      <c r="E22" s="290"/>
      <c r="F22" s="290"/>
      <c r="G22" s="290"/>
      <c r="H22" s="290"/>
      <c r="I22" s="290"/>
    </row>
    <row r="23" spans="1:9" x14ac:dyDescent="0.35">
      <c r="A23" s="290"/>
      <c r="B23" s="290"/>
      <c r="C23" s="290"/>
      <c r="D23" s="290"/>
      <c r="E23" s="290"/>
      <c r="F23" s="290"/>
      <c r="G23" s="290"/>
      <c r="H23" s="290"/>
      <c r="I23" s="290"/>
    </row>
    <row r="24" spans="1:9" x14ac:dyDescent="0.35">
      <c r="A24" s="290"/>
      <c r="B24" s="290"/>
      <c r="C24" s="290"/>
      <c r="D24" s="290"/>
      <c r="E24" s="290"/>
      <c r="F24" s="290"/>
      <c r="G24" s="290"/>
      <c r="H24" s="290"/>
      <c r="I24" s="290"/>
    </row>
    <row r="25" spans="1:9" x14ac:dyDescent="0.35">
      <c r="A25" s="139"/>
      <c r="B25" s="139"/>
      <c r="C25" s="139"/>
      <c r="D25" s="139"/>
      <c r="E25" s="139"/>
      <c r="F25" s="139"/>
      <c r="G25" s="139"/>
      <c r="H25" s="139"/>
      <c r="I25" s="139"/>
    </row>
    <row r="26" spans="1:9" x14ac:dyDescent="0.35">
      <c r="A26" s="287" t="s">
        <v>1595</v>
      </c>
      <c r="B26" s="287"/>
      <c r="C26" s="287"/>
      <c r="D26" s="287"/>
      <c r="E26" s="287"/>
      <c r="F26" s="287"/>
      <c r="G26" s="287"/>
      <c r="H26" s="287"/>
      <c r="I26" s="287"/>
    </row>
  </sheetData>
  <mergeCells count="20">
    <mergeCell ref="A26:I26"/>
    <mergeCell ref="A7:A11"/>
    <mergeCell ref="C7:C11"/>
    <mergeCell ref="E7:E11"/>
    <mergeCell ref="G7:G11"/>
    <mergeCell ref="I7:I11"/>
    <mergeCell ref="A18:B18"/>
    <mergeCell ref="C18:D18"/>
    <mergeCell ref="E18:F18"/>
    <mergeCell ref="G18:I18"/>
    <mergeCell ref="A20:I20"/>
    <mergeCell ref="A21:I24"/>
    <mergeCell ref="A1:I1"/>
    <mergeCell ref="A2:I2"/>
    <mergeCell ref="A4:I4"/>
    <mergeCell ref="A13:I13"/>
    <mergeCell ref="A15:B17"/>
    <mergeCell ref="C15:D17"/>
    <mergeCell ref="E15:F17"/>
    <mergeCell ref="G15:I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597"/>
  <sheetViews>
    <sheetView tabSelected="1" topLeftCell="B1" zoomScale="120" zoomScaleNormal="120" workbookViewId="0">
      <pane xSplit="6" ySplit="2" topLeftCell="H171" activePane="bottomRight" state="frozen"/>
      <selection activeCell="B1" sqref="B1"/>
      <selection pane="topRight" activeCell="H1" sqref="H1"/>
      <selection pane="bottomLeft" activeCell="B3" sqref="B3"/>
      <selection pane="bottomRight" activeCell="B588" sqref="B588"/>
    </sheetView>
  </sheetViews>
  <sheetFormatPr defaultRowHeight="14.5" x14ac:dyDescent="0.35"/>
  <cols>
    <col min="1" max="1" width="36.36328125" bestFit="1" customWidth="1"/>
    <col min="2" max="2" width="15" style="13" customWidth="1"/>
    <col min="3" max="3" width="20.90625" style="21" customWidth="1"/>
    <col min="4" max="4" width="11.08984375" style="13" customWidth="1"/>
    <col min="5" max="5" width="15.1796875" hidden="1" customWidth="1"/>
    <col min="6" max="6" width="39.54296875" style="21" customWidth="1"/>
    <col min="7" max="7" width="41" hidden="1" customWidth="1"/>
    <col min="8" max="8" width="12.453125" style="13" customWidth="1"/>
    <col min="9" max="9" width="11.6328125" style="13" customWidth="1"/>
    <col min="10" max="10" width="23.6328125" style="13" customWidth="1"/>
    <col min="11" max="11" width="9.81640625" customWidth="1"/>
    <col min="12" max="12" width="23.90625" bestFit="1" customWidth="1"/>
    <col min="13" max="13" width="20.36328125" bestFit="1" customWidth="1"/>
    <col min="14" max="14" width="19.6328125" bestFit="1" customWidth="1"/>
    <col min="15" max="15" width="21" bestFit="1" customWidth="1"/>
    <col min="16" max="16" width="14.1796875" bestFit="1" customWidth="1"/>
    <col min="17" max="17" width="18.6328125" bestFit="1" customWidth="1"/>
    <col min="18" max="18" width="21.36328125" bestFit="1" customWidth="1"/>
    <col min="19" max="19" width="15.90625" bestFit="1" customWidth="1"/>
    <col min="20" max="20" width="22.81640625" bestFit="1" customWidth="1"/>
    <col min="21" max="21" width="17.81640625" style="13" bestFit="1" customWidth="1"/>
    <col min="22" max="23" width="16.1796875" style="13" customWidth="1"/>
    <col min="24" max="26" width="16.36328125" style="13" customWidth="1"/>
    <col min="27" max="27" width="25.54296875" style="13" customWidth="1"/>
    <col min="28" max="28" width="20.81640625" style="69" customWidth="1"/>
    <col min="29" max="29" width="19.54296875" style="13" customWidth="1"/>
    <col min="30" max="30" width="10" style="41" customWidth="1"/>
    <col min="31" max="31" width="12.08984375" customWidth="1"/>
    <col min="32" max="32" width="11.08984375" customWidth="1"/>
    <col min="33" max="33" width="11.6328125" style="20" customWidth="1"/>
    <col min="34" max="34" width="17.81640625" customWidth="1"/>
    <col min="38" max="38" width="8.90625" style="13"/>
    <col min="39" max="39" width="44" bestFit="1" customWidth="1"/>
  </cols>
  <sheetData>
    <row r="1" spans="1:39" s="100" customFormat="1" ht="24" customHeight="1" x14ac:dyDescent="0.35">
      <c r="A1" s="95" t="s">
        <v>0</v>
      </c>
      <c r="B1" s="39" t="s">
        <v>19</v>
      </c>
      <c r="C1" s="96" t="s">
        <v>1</v>
      </c>
      <c r="D1" s="39" t="s">
        <v>1223</v>
      </c>
      <c r="E1" s="95" t="s">
        <v>2</v>
      </c>
      <c r="F1" s="96" t="s">
        <v>3</v>
      </c>
      <c r="G1" s="95" t="s">
        <v>4</v>
      </c>
      <c r="H1" s="95" t="s">
        <v>5</v>
      </c>
      <c r="I1" s="95" t="s">
        <v>6</v>
      </c>
      <c r="J1" s="95" t="s">
        <v>7</v>
      </c>
      <c r="K1" s="95" t="s">
        <v>8</v>
      </c>
      <c r="L1" s="95" t="s">
        <v>9</v>
      </c>
      <c r="M1" s="95" t="s">
        <v>10</v>
      </c>
      <c r="N1" s="95" t="s">
        <v>11</v>
      </c>
      <c r="O1" s="95" t="s">
        <v>12</v>
      </c>
      <c r="P1" s="95" t="s">
        <v>13</v>
      </c>
      <c r="Q1" s="95" t="s">
        <v>14</v>
      </c>
      <c r="R1" s="95" t="s">
        <v>15</v>
      </c>
      <c r="S1" s="95" t="s">
        <v>16</v>
      </c>
      <c r="T1" s="95" t="s">
        <v>17</v>
      </c>
      <c r="U1" s="95" t="s">
        <v>18</v>
      </c>
      <c r="V1" s="97" t="s">
        <v>261</v>
      </c>
      <c r="W1" s="97" t="s">
        <v>25</v>
      </c>
      <c r="X1" s="97" t="s">
        <v>1238</v>
      </c>
      <c r="Y1" s="97" t="s">
        <v>53</v>
      </c>
      <c r="Z1" s="97" t="s">
        <v>329</v>
      </c>
      <c r="AA1" s="39" t="s">
        <v>1224</v>
      </c>
      <c r="AB1" s="98" t="s">
        <v>1246</v>
      </c>
      <c r="AC1" s="39" t="s">
        <v>1252</v>
      </c>
      <c r="AD1" s="39" t="s">
        <v>1225</v>
      </c>
      <c r="AE1" s="39" t="s">
        <v>1408</v>
      </c>
      <c r="AF1" s="39" t="s">
        <v>1409</v>
      </c>
      <c r="AG1" s="99" t="s">
        <v>1226</v>
      </c>
      <c r="AH1" s="39" t="s">
        <v>1227</v>
      </c>
      <c r="AI1" s="39" t="s">
        <v>1228</v>
      </c>
      <c r="AJ1" s="39" t="s">
        <v>1458</v>
      </c>
      <c r="AK1" s="39" t="s">
        <v>1405</v>
      </c>
      <c r="AL1" s="39" t="s">
        <v>1399</v>
      </c>
      <c r="AM1" s="39" t="s">
        <v>1260</v>
      </c>
    </row>
    <row r="2" spans="1:39" x14ac:dyDescent="0.35">
      <c r="A2" t="s">
        <v>1098</v>
      </c>
      <c r="B2" s="12">
        <v>1155</v>
      </c>
      <c r="C2" s="21" t="s">
        <v>1099</v>
      </c>
      <c r="D2" s="13" t="s">
        <v>1230</v>
      </c>
      <c r="F2" t="s">
        <v>1100</v>
      </c>
      <c r="G2" t="s">
        <v>23</v>
      </c>
      <c r="H2" s="1">
        <v>46085</v>
      </c>
      <c r="I2" s="1">
        <v>46140</v>
      </c>
      <c r="J2" s="13" t="s">
        <v>24</v>
      </c>
      <c r="L2" s="2">
        <v>261415.8</v>
      </c>
      <c r="M2" s="2">
        <v>433857.4</v>
      </c>
      <c r="N2" s="2">
        <v>216928.7</v>
      </c>
      <c r="O2" s="2">
        <v>650786.1</v>
      </c>
      <c r="P2" s="3">
        <v>0.5</v>
      </c>
      <c r="Q2" s="3"/>
      <c r="R2" s="2">
        <v>167033.79</v>
      </c>
      <c r="S2" s="3">
        <v>0.38</v>
      </c>
      <c r="T2" s="2">
        <v>600891.18999999994</v>
      </c>
      <c r="U2" t="s">
        <v>267</v>
      </c>
      <c r="V2" s="13" t="str">
        <f t="shared" ref="V2:Z11" si="0">IF(ISNUMBER(SEARCH(V$1,$U2)),"Yes","No")</f>
        <v>No</v>
      </c>
      <c r="W2" s="13" t="str">
        <f t="shared" si="0"/>
        <v>Yes</v>
      </c>
      <c r="X2" s="13" t="str">
        <f t="shared" si="0"/>
        <v>No</v>
      </c>
      <c r="Y2" s="13" t="str">
        <f t="shared" si="0"/>
        <v>No</v>
      </c>
      <c r="Z2" s="13" t="str">
        <f t="shared" si="0"/>
        <v>No</v>
      </c>
      <c r="AC2" s="69"/>
      <c r="AD2" s="13"/>
      <c r="AH2" s="6"/>
      <c r="AJ2" s="116" t="str">
        <f>IF(AND(ISNUMBER(Table1[[#This Row],[Lift  ]]),ISNUMBER(Table1[[#This Row],[Plan lift, %]]),Table1[[#This Row],[Plan lift, %]]&lt;&gt;0),Table1[[#This Row],[Lift  ]]-Table1[[#This Row],[Plan lift, %]],"")</f>
        <v/>
      </c>
      <c r="AK2" s="116"/>
    </row>
    <row r="3" spans="1:39" x14ac:dyDescent="0.35">
      <c r="A3" t="s">
        <v>1151</v>
      </c>
      <c r="B3" s="73">
        <v>1367</v>
      </c>
      <c r="C3" s="21" t="s">
        <v>420</v>
      </c>
      <c r="D3" s="13" t="s">
        <v>1232</v>
      </c>
      <c r="F3" s="21" t="s">
        <v>1152</v>
      </c>
      <c r="G3" t="s">
        <v>23</v>
      </c>
      <c r="H3" s="14">
        <v>46023</v>
      </c>
      <c r="I3" s="14">
        <v>46053</v>
      </c>
      <c r="J3" s="13" t="s">
        <v>24</v>
      </c>
      <c r="L3" s="2">
        <v>68457.600000000006</v>
      </c>
      <c r="M3" s="2">
        <v>4732.74</v>
      </c>
      <c r="N3" s="2">
        <v>55357.34</v>
      </c>
      <c r="O3" s="2">
        <v>60090.080000000002</v>
      </c>
      <c r="P3" s="3"/>
      <c r="Q3" s="3"/>
      <c r="R3" s="2">
        <v>-158.37</v>
      </c>
      <c r="S3" s="3">
        <v>-0.01</v>
      </c>
      <c r="T3" s="2">
        <v>13618.3</v>
      </c>
      <c r="U3" s="13" t="s">
        <v>261</v>
      </c>
      <c r="V3" s="13" t="str">
        <f t="shared" si="0"/>
        <v>Yes</v>
      </c>
      <c r="W3" s="13" t="str">
        <f t="shared" si="0"/>
        <v>No</v>
      </c>
      <c r="X3" s="13" t="str">
        <f t="shared" si="0"/>
        <v>No</v>
      </c>
      <c r="Y3" s="13" t="str">
        <f t="shared" si="0"/>
        <v>No</v>
      </c>
      <c r="Z3" s="13" t="str">
        <f t="shared" si="0"/>
        <v>No</v>
      </c>
      <c r="AA3" s="71">
        <f>+(Table1[[#This Row],[Everyday price]]-Table1[[#This Row],[Promo Price]])/Table1[[#This Row],[Everyday price]]</f>
        <v>0.14189189189189186</v>
      </c>
      <c r="AB3" s="69">
        <v>2.54</v>
      </c>
      <c r="AC3" s="69">
        <v>2.96</v>
      </c>
      <c r="AD3" s="40" t="s">
        <v>1251</v>
      </c>
      <c r="AE3" s="5">
        <v>46026</v>
      </c>
      <c r="AF3" s="5">
        <v>46047</v>
      </c>
      <c r="AG3" s="20">
        <v>19479</v>
      </c>
      <c r="AH3" s="20">
        <v>15280</v>
      </c>
      <c r="AI3" s="11">
        <f>Table1[[#This Row],[Incremental Units]]/Table1[[#This Row],[Base Units]]</f>
        <v>0.78443451922583296</v>
      </c>
      <c r="AJ3" s="11" t="str">
        <f>IF(AND(ISNUMBER(Table1[[#This Row],[Lift  ]]),ISNUMBER(Table1[[#This Row],[Plan lift, %]]),Table1[[#This Row],[Plan lift, %]]&lt;&gt;0),Table1[[#This Row],[Lift  ]]-Table1[[#This Row],[Plan lift, %]],"")</f>
        <v/>
      </c>
      <c r="AK3" s="11"/>
      <c r="AL3" s="71" t="s">
        <v>1403</v>
      </c>
      <c r="AM3" t="s">
        <v>1404</v>
      </c>
    </row>
    <row r="4" spans="1:39" x14ac:dyDescent="0.35">
      <c r="A4" t="s">
        <v>955</v>
      </c>
      <c r="B4" s="73">
        <v>898</v>
      </c>
      <c r="C4" s="21" t="s">
        <v>420</v>
      </c>
      <c r="D4" s="13" t="s">
        <v>1232</v>
      </c>
      <c r="F4" s="21" t="s">
        <v>956</v>
      </c>
      <c r="G4" t="s">
        <v>23</v>
      </c>
      <c r="H4" s="14">
        <v>46057</v>
      </c>
      <c r="I4" s="14">
        <v>46084</v>
      </c>
      <c r="J4" s="13" t="s">
        <v>29</v>
      </c>
      <c r="L4" s="2">
        <v>69087.100000000006</v>
      </c>
      <c r="M4" s="2">
        <v>43864.82</v>
      </c>
      <c r="N4" s="2">
        <v>21932.41</v>
      </c>
      <c r="O4" s="2">
        <v>65797.23</v>
      </c>
      <c r="P4" s="3">
        <v>0.5</v>
      </c>
      <c r="Q4" s="3"/>
      <c r="R4" s="2">
        <v>-12215.69</v>
      </c>
      <c r="S4" s="3">
        <v>-0.19</v>
      </c>
      <c r="T4" s="2">
        <v>52671.18</v>
      </c>
      <c r="U4" s="13" t="s">
        <v>957</v>
      </c>
      <c r="V4" s="13" t="str">
        <f t="shared" si="0"/>
        <v>Yes</v>
      </c>
      <c r="W4" s="13" t="str">
        <f t="shared" si="0"/>
        <v>No</v>
      </c>
      <c r="X4" s="13" t="str">
        <f t="shared" si="0"/>
        <v>No</v>
      </c>
      <c r="Y4" s="13" t="str">
        <f t="shared" si="0"/>
        <v>Yes</v>
      </c>
      <c r="Z4" s="13" t="str">
        <f t="shared" si="0"/>
        <v>No</v>
      </c>
      <c r="AA4" s="71">
        <f>+(Table1[[#This Row],[Everyday price]]-Table1[[#This Row],[Promo Price]])/Table1[[#This Row],[Everyday price]]</f>
        <v>6.0109289617486412E-2</v>
      </c>
      <c r="AB4" s="69">
        <v>8.6</v>
      </c>
      <c r="AC4" s="69">
        <v>9.15</v>
      </c>
      <c r="AD4" s="40" t="s">
        <v>1251</v>
      </c>
      <c r="AE4" s="5">
        <v>46062</v>
      </c>
      <c r="AF4" s="5">
        <v>46067</v>
      </c>
      <c r="AG4" s="20">
        <v>681521</v>
      </c>
      <c r="AH4" s="6">
        <v>277962</v>
      </c>
      <c r="AI4" s="11">
        <f>Table1[[#This Row],[Incremental Units]]/Table1[[#This Row],[Base Units]]</f>
        <v>0.40785537056084847</v>
      </c>
      <c r="AJ4" s="11">
        <f>IF(AND(ISNUMBER(Table1[[#This Row],[Lift  ]]),ISNUMBER(Table1[[#This Row],[Plan lift, %]]),Table1[[#This Row],[Plan lift, %]]&lt;&gt;0),Table1[[#This Row],[Lift  ]]-Table1[[#This Row],[Plan lift, %]],"")</f>
        <v>-9.2144629439151526E-2</v>
      </c>
      <c r="AK4" s="11"/>
      <c r="AL4" s="71" t="s">
        <v>1403</v>
      </c>
    </row>
    <row r="5" spans="1:39" x14ac:dyDescent="0.35">
      <c r="A5" t="s">
        <v>419</v>
      </c>
      <c r="B5" s="73">
        <v>899</v>
      </c>
      <c r="C5" s="21" t="s">
        <v>420</v>
      </c>
      <c r="D5" s="13" t="s">
        <v>1232</v>
      </c>
      <c r="F5" s="21" t="s">
        <v>421</v>
      </c>
      <c r="G5" t="s">
        <v>23</v>
      </c>
      <c r="H5" s="14">
        <v>46085</v>
      </c>
      <c r="I5" s="14">
        <v>46112</v>
      </c>
      <c r="J5" s="13" t="s">
        <v>29</v>
      </c>
      <c r="L5" s="2">
        <v>192139.42</v>
      </c>
      <c r="M5" s="2">
        <v>50713.14</v>
      </c>
      <c r="N5" s="2">
        <v>101426.28</v>
      </c>
      <c r="O5" s="2">
        <v>152139.42000000001</v>
      </c>
      <c r="P5" s="3">
        <v>2</v>
      </c>
      <c r="Q5" s="3"/>
      <c r="R5" s="2">
        <v>3878.93</v>
      </c>
      <c r="S5" s="3">
        <v>0.2</v>
      </c>
      <c r="T5" s="2">
        <v>22986.85</v>
      </c>
      <c r="U5" s="13" t="s">
        <v>422</v>
      </c>
      <c r="V5" s="13" t="str">
        <f t="shared" si="0"/>
        <v>No</v>
      </c>
      <c r="W5" s="13" t="str">
        <f t="shared" si="0"/>
        <v>Yes</v>
      </c>
      <c r="X5" s="13" t="str">
        <f t="shared" si="0"/>
        <v>Yes</v>
      </c>
      <c r="Y5" s="13" t="str">
        <f t="shared" si="0"/>
        <v>No</v>
      </c>
      <c r="Z5" s="13" t="str">
        <f t="shared" si="0"/>
        <v>No</v>
      </c>
      <c r="AA5" s="71">
        <f>+(Table1[[#This Row],[Everyday price]]-Table1[[#This Row],[Promo Price]])/Table1[[#This Row],[Everyday price]]</f>
        <v>3.4896401308615078E-2</v>
      </c>
      <c r="AB5" s="69">
        <v>8.85</v>
      </c>
      <c r="AC5" s="69">
        <v>9.17</v>
      </c>
      <c r="AD5" s="40" t="s">
        <v>1251</v>
      </c>
      <c r="AE5" s="5">
        <v>46083</v>
      </c>
      <c r="AF5" s="5">
        <v>46103</v>
      </c>
      <c r="AG5" s="20">
        <v>1051528</v>
      </c>
      <c r="AH5" s="6">
        <v>153416</v>
      </c>
      <c r="AI5" s="11">
        <f>Table1[[#This Row],[Incremental Units]]/Table1[[#This Row],[Base Units]]</f>
        <v>0.14589815963055666</v>
      </c>
      <c r="AJ5" s="11">
        <f>IF(AND(ISNUMBER(Table1[[#This Row],[Lift  ]]),ISNUMBER(Table1[[#This Row],[Plan lift, %]]),Table1[[#This Row],[Plan lift, %]]&lt;&gt;0),Table1[[#This Row],[Lift  ]]-Table1[[#This Row],[Plan lift, %]],"")</f>
        <v>-1.8541018403694434</v>
      </c>
      <c r="AK5" s="11"/>
      <c r="AL5" s="71" t="s">
        <v>1403</v>
      </c>
    </row>
    <row r="6" spans="1:39" x14ac:dyDescent="0.35">
      <c r="A6" t="s">
        <v>678</v>
      </c>
      <c r="B6" s="82">
        <v>1422</v>
      </c>
      <c r="C6" s="21" t="s">
        <v>448</v>
      </c>
      <c r="D6" s="13" t="s">
        <v>1232</v>
      </c>
      <c r="F6" s="21" t="s">
        <v>125</v>
      </c>
      <c r="G6" t="s">
        <v>23</v>
      </c>
      <c r="H6" s="14">
        <v>46050</v>
      </c>
      <c r="I6" s="14">
        <v>46084</v>
      </c>
      <c r="J6" s="13" t="s">
        <v>29</v>
      </c>
      <c r="L6" s="2">
        <v>4162.3100000000004</v>
      </c>
      <c r="M6" s="2">
        <v>3329.85</v>
      </c>
      <c r="N6" s="2">
        <v>832.46</v>
      </c>
      <c r="O6" s="2">
        <v>4162.3100000000004</v>
      </c>
      <c r="P6" s="3">
        <v>0.25</v>
      </c>
      <c r="Q6" s="3"/>
      <c r="R6" s="2">
        <v>0</v>
      </c>
      <c r="S6" s="3">
        <v>0</v>
      </c>
      <c r="T6" s="2">
        <v>0</v>
      </c>
      <c r="U6" s="13" t="s">
        <v>25</v>
      </c>
      <c r="V6" s="13" t="str">
        <f t="shared" si="0"/>
        <v>No</v>
      </c>
      <c r="W6" s="13" t="str">
        <f t="shared" si="0"/>
        <v>Yes</v>
      </c>
      <c r="X6" s="13" t="str">
        <f t="shared" si="0"/>
        <v>No</v>
      </c>
      <c r="Y6" s="13" t="str">
        <f t="shared" si="0"/>
        <v>No</v>
      </c>
      <c r="Z6" s="13" t="str">
        <f t="shared" si="0"/>
        <v>No</v>
      </c>
      <c r="AA6" s="71">
        <f>+(Table1[[#This Row],[Everyday price]]-Table1[[#This Row],[Promo Price]])/Table1[[#This Row],[Everyday price]]</f>
        <v>5.5609756097561004E-2</v>
      </c>
      <c r="AB6" s="69">
        <v>9.68</v>
      </c>
      <c r="AC6" s="69">
        <v>10.25</v>
      </c>
      <c r="AD6" s="41" t="s">
        <v>1229</v>
      </c>
      <c r="AE6" s="5">
        <v>46055</v>
      </c>
      <c r="AF6" s="5">
        <v>46082</v>
      </c>
      <c r="AG6" s="20">
        <v>3482</v>
      </c>
      <c r="AH6" s="20">
        <v>942</v>
      </c>
      <c r="AI6" s="11">
        <f>Table1[[#This Row],[Incremental Units]]/Table1[[#This Row],[Base Units]]</f>
        <v>0.27053417576105687</v>
      </c>
      <c r="AJ6" s="11">
        <f>IF(AND(ISNUMBER(Table1[[#This Row],[Lift  ]]),ISNUMBER(Table1[[#This Row],[Plan lift, %]]),Table1[[#This Row],[Plan lift, %]]&lt;&gt;0),Table1[[#This Row],[Lift  ]]-Table1[[#This Row],[Plan lift, %]],"")</f>
        <v>2.0534175761056872E-2</v>
      </c>
      <c r="AK6" s="11"/>
      <c r="AL6" s="71" t="s">
        <v>1400</v>
      </c>
    </row>
    <row r="7" spans="1:39" x14ac:dyDescent="0.35">
      <c r="A7" t="s">
        <v>860</v>
      </c>
      <c r="B7" s="82">
        <v>1434</v>
      </c>
      <c r="C7" s="21" t="s">
        <v>448</v>
      </c>
      <c r="D7" s="13" t="s">
        <v>1232</v>
      </c>
      <c r="F7" s="21" t="s">
        <v>187</v>
      </c>
      <c r="G7" t="s">
        <v>23</v>
      </c>
      <c r="H7" s="14">
        <v>46085</v>
      </c>
      <c r="I7" s="14">
        <v>46112</v>
      </c>
      <c r="J7" s="13" t="s">
        <v>29</v>
      </c>
      <c r="L7" s="2">
        <v>3718</v>
      </c>
      <c r="M7" s="2">
        <v>2860</v>
      </c>
      <c r="N7" s="2">
        <v>858</v>
      </c>
      <c r="O7" s="2">
        <v>3718</v>
      </c>
      <c r="P7" s="3">
        <v>0.3</v>
      </c>
      <c r="Q7" s="3"/>
      <c r="R7" s="2">
        <v>0</v>
      </c>
      <c r="S7" s="3">
        <v>0</v>
      </c>
      <c r="T7" s="2">
        <v>0</v>
      </c>
      <c r="U7" s="13" t="s">
        <v>25</v>
      </c>
      <c r="V7" s="13" t="str">
        <f t="shared" si="0"/>
        <v>No</v>
      </c>
      <c r="W7" s="13" t="str">
        <f t="shared" si="0"/>
        <v>Yes</v>
      </c>
      <c r="X7" s="13" t="str">
        <f t="shared" si="0"/>
        <v>No</v>
      </c>
      <c r="Y7" s="13" t="str">
        <f t="shared" si="0"/>
        <v>No</v>
      </c>
      <c r="Z7" s="13" t="str">
        <f t="shared" si="0"/>
        <v>No</v>
      </c>
      <c r="AA7" s="71">
        <f>+(Table1[[#This Row],[Everyday price]]-Table1[[#This Row],[Promo Price]])/Table1[[#This Row],[Everyday price]]</f>
        <v>3.5363457760314285E-2</v>
      </c>
      <c r="AB7" s="69">
        <v>9.82</v>
      </c>
      <c r="AC7" s="69">
        <v>10.18</v>
      </c>
      <c r="AD7" s="41" t="s">
        <v>1229</v>
      </c>
      <c r="AE7" s="5">
        <v>46089</v>
      </c>
      <c r="AF7" s="5">
        <v>46109</v>
      </c>
      <c r="AG7" s="20">
        <v>2768</v>
      </c>
      <c r="AH7" s="20">
        <v>694</v>
      </c>
      <c r="AI7" s="11">
        <f>Table1[[#This Row],[Incremental Units]]/Table1[[#This Row],[Base Units]]</f>
        <v>0.25072254335260113</v>
      </c>
      <c r="AJ7" s="11">
        <f>IF(AND(ISNUMBER(Table1[[#This Row],[Lift  ]]),ISNUMBER(Table1[[#This Row],[Plan lift, %]]),Table1[[#This Row],[Plan lift, %]]&lt;&gt;0),Table1[[#This Row],[Lift  ]]-Table1[[#This Row],[Plan lift, %]],"")</f>
        <v>-4.9277456647398854E-2</v>
      </c>
      <c r="AK7" s="11"/>
      <c r="AL7" s="71" t="s">
        <v>1400</v>
      </c>
      <c r="AM7" t="s">
        <v>1261</v>
      </c>
    </row>
    <row r="8" spans="1:39" x14ac:dyDescent="0.35">
      <c r="A8" t="s">
        <v>1076</v>
      </c>
      <c r="B8" s="82">
        <v>1435</v>
      </c>
      <c r="C8" s="21" t="s">
        <v>448</v>
      </c>
      <c r="D8" s="13" t="s">
        <v>1232</v>
      </c>
      <c r="F8" s="21" t="s">
        <v>563</v>
      </c>
      <c r="G8" t="s">
        <v>23</v>
      </c>
      <c r="H8" s="14">
        <v>46113</v>
      </c>
      <c r="I8" s="14">
        <v>46140</v>
      </c>
      <c r="J8" s="13" t="s">
        <v>29</v>
      </c>
      <c r="L8" s="2">
        <v>132.86000000000001</v>
      </c>
      <c r="M8" s="2">
        <v>2530.77</v>
      </c>
      <c r="N8" s="2">
        <v>126.54</v>
      </c>
      <c r="O8" s="2">
        <v>2657.31</v>
      </c>
      <c r="P8" s="3">
        <v>0.05</v>
      </c>
      <c r="Q8" s="3"/>
      <c r="R8" s="2">
        <v>0</v>
      </c>
      <c r="S8" s="3">
        <v>0</v>
      </c>
      <c r="T8" s="2">
        <v>0</v>
      </c>
      <c r="U8" s="13" t="s">
        <v>53</v>
      </c>
      <c r="V8" s="13" t="str">
        <f t="shared" si="0"/>
        <v>No</v>
      </c>
      <c r="W8" s="13" t="str">
        <f t="shared" si="0"/>
        <v>No</v>
      </c>
      <c r="X8" s="13" t="str">
        <f t="shared" si="0"/>
        <v>No</v>
      </c>
      <c r="Y8" s="13" t="str">
        <f t="shared" si="0"/>
        <v>Yes</v>
      </c>
      <c r="Z8" s="13" t="str">
        <f t="shared" si="0"/>
        <v>No</v>
      </c>
      <c r="AA8" s="71">
        <f>+(Table1[[#This Row],[Everyday price]]-Table1[[#This Row],[Promo Price]])/Table1[[#This Row],[Everyday price]]</f>
        <v>0.19942473633748803</v>
      </c>
      <c r="AB8" s="69">
        <v>8.35</v>
      </c>
      <c r="AC8" s="69">
        <v>10.43</v>
      </c>
      <c r="AD8" s="41" t="s">
        <v>1229</v>
      </c>
      <c r="AE8" s="5">
        <v>46111</v>
      </c>
      <c r="AF8" s="5">
        <v>46124</v>
      </c>
      <c r="AG8" s="20">
        <v>1470</v>
      </c>
      <c r="AH8" s="6">
        <v>83</v>
      </c>
      <c r="AI8" s="11">
        <f>Table1[[#This Row],[Incremental Units]]/Table1[[#This Row],[Base Units]]</f>
        <v>5.6462585034013607E-2</v>
      </c>
      <c r="AJ8" s="11">
        <f>IF(AND(ISNUMBER(Table1[[#This Row],[Lift  ]]),ISNUMBER(Table1[[#This Row],[Plan lift, %]]),Table1[[#This Row],[Plan lift, %]]&lt;&gt;0),Table1[[#This Row],[Lift  ]]-Table1[[#This Row],[Plan lift, %]],"")</f>
        <v>6.4625850340136043E-3</v>
      </c>
      <c r="AK8" s="11"/>
      <c r="AL8" s="71" t="s">
        <v>1400</v>
      </c>
      <c r="AM8" t="s">
        <v>1262</v>
      </c>
    </row>
    <row r="9" spans="1:39" x14ac:dyDescent="0.35">
      <c r="A9" t="s">
        <v>746</v>
      </c>
      <c r="B9" s="82">
        <v>1433</v>
      </c>
      <c r="C9" s="21" t="s">
        <v>448</v>
      </c>
      <c r="D9" s="13" t="s">
        <v>1232</v>
      </c>
      <c r="F9" s="21" t="s">
        <v>107</v>
      </c>
      <c r="G9" t="s">
        <v>23</v>
      </c>
      <c r="H9" s="14">
        <v>46141</v>
      </c>
      <c r="I9" s="14">
        <v>46168</v>
      </c>
      <c r="J9" s="13" t="s">
        <v>29</v>
      </c>
      <c r="L9" s="2">
        <v>3615.03</v>
      </c>
      <c r="M9" s="2">
        <v>2459.1999999999998</v>
      </c>
      <c r="N9" s="2">
        <v>983.68</v>
      </c>
      <c r="O9" s="2">
        <v>3442.88</v>
      </c>
      <c r="P9" s="3">
        <v>0.4</v>
      </c>
      <c r="Q9" s="3"/>
      <c r="R9" s="2">
        <v>0</v>
      </c>
      <c r="S9" s="3">
        <v>0</v>
      </c>
      <c r="T9" s="2">
        <v>0</v>
      </c>
      <c r="U9" s="13" t="s">
        <v>108</v>
      </c>
      <c r="V9" s="13" t="str">
        <f t="shared" si="0"/>
        <v>No</v>
      </c>
      <c r="W9" s="13" t="str">
        <f t="shared" si="0"/>
        <v>Yes</v>
      </c>
      <c r="X9" s="13" t="str">
        <f t="shared" si="0"/>
        <v>No</v>
      </c>
      <c r="Y9" s="13" t="str">
        <f t="shared" si="0"/>
        <v>Yes</v>
      </c>
      <c r="Z9" s="13" t="str">
        <f t="shared" si="0"/>
        <v>No</v>
      </c>
      <c r="AA9" s="71">
        <f>+(Table1[[#This Row],[Everyday price]]-Table1[[#This Row],[Promo Price]])/Table1[[#This Row],[Everyday price]]</f>
        <v>0.12224448897795596</v>
      </c>
      <c r="AB9" s="69">
        <v>8.76</v>
      </c>
      <c r="AC9" s="69">
        <v>9.98</v>
      </c>
      <c r="AD9" s="41" t="s">
        <v>1251</v>
      </c>
      <c r="AE9" s="5">
        <v>46139</v>
      </c>
      <c r="AF9" s="5">
        <v>46166</v>
      </c>
      <c r="AG9" s="20">
        <v>3237</v>
      </c>
      <c r="AH9" s="6">
        <v>2634</v>
      </c>
      <c r="AI9" s="11">
        <f>Table1[[#This Row],[Incremental Units]]/Table1[[#This Row],[Base Units]]</f>
        <v>0.81371640407784984</v>
      </c>
      <c r="AJ9" s="11">
        <f>IF(AND(ISNUMBER(Table1[[#This Row],[Lift  ]]),ISNUMBER(Table1[[#This Row],[Plan lift, %]]),Table1[[#This Row],[Plan lift, %]]&lt;&gt;0),Table1[[#This Row],[Lift  ]]-Table1[[#This Row],[Plan lift, %]],"")</f>
        <v>0.41371640407784982</v>
      </c>
      <c r="AK9" s="11"/>
      <c r="AL9" s="71" t="s">
        <v>1400</v>
      </c>
      <c r="AM9" t="s">
        <v>1263</v>
      </c>
    </row>
    <row r="10" spans="1:39" x14ac:dyDescent="0.35">
      <c r="A10" t="s">
        <v>697</v>
      </c>
      <c r="B10" s="73">
        <v>1436</v>
      </c>
      <c r="C10" s="21" t="s">
        <v>448</v>
      </c>
      <c r="D10" s="13" t="s">
        <v>1232</v>
      </c>
      <c r="F10" s="21" t="s">
        <v>28</v>
      </c>
      <c r="G10" t="s">
        <v>23</v>
      </c>
      <c r="H10" s="14">
        <v>46204</v>
      </c>
      <c r="I10" s="14">
        <v>46231</v>
      </c>
      <c r="J10" s="13" t="s">
        <v>29</v>
      </c>
      <c r="L10" s="2">
        <v>3442.88</v>
      </c>
      <c r="M10" s="2">
        <v>2459.1999999999998</v>
      </c>
      <c r="N10" s="2">
        <v>983.68</v>
      </c>
      <c r="O10" s="2">
        <v>3442.88</v>
      </c>
      <c r="P10" s="3">
        <v>0.4</v>
      </c>
      <c r="Q10" s="3"/>
      <c r="R10" s="2">
        <v>0</v>
      </c>
      <c r="S10" s="3">
        <v>0</v>
      </c>
      <c r="T10" s="2">
        <v>0</v>
      </c>
      <c r="U10" s="13" t="s">
        <v>25</v>
      </c>
      <c r="V10" s="13" t="str">
        <f t="shared" si="0"/>
        <v>No</v>
      </c>
      <c r="W10" s="13" t="str">
        <f t="shared" si="0"/>
        <v>Yes</v>
      </c>
      <c r="X10" s="13" t="str">
        <f t="shared" si="0"/>
        <v>No</v>
      </c>
      <c r="Y10" s="13" t="str">
        <f t="shared" si="0"/>
        <v>No</v>
      </c>
      <c r="Z10" s="13" t="str">
        <f t="shared" si="0"/>
        <v>No</v>
      </c>
      <c r="AA10" s="71" t="e">
        <f>+(Table1[[#This Row],[Everyday price]]-Table1[[#This Row],[Promo Price]])/Table1[[#This Row],[Everyday price]]</f>
        <v>#DIV/0!</v>
      </c>
      <c r="AC10" s="69"/>
      <c r="AH10" s="6"/>
      <c r="AJ10" s="116" t="str">
        <f>IF(AND(ISNUMBER(Table1[[#This Row],[Lift  ]]),ISNUMBER(Table1[[#This Row],[Plan lift, %]]),Table1[[#This Row],[Plan lift, %]]&lt;&gt;0),Table1[[#This Row],[Lift  ]]-Table1[[#This Row],[Plan lift, %]],"")</f>
        <v/>
      </c>
      <c r="AK10" s="116"/>
    </row>
    <row r="11" spans="1:39" x14ac:dyDescent="0.35">
      <c r="A11" t="s">
        <v>700</v>
      </c>
      <c r="B11" s="12">
        <v>1437</v>
      </c>
      <c r="C11" s="21" t="s">
        <v>448</v>
      </c>
      <c r="D11" s="13" t="s">
        <v>1232</v>
      </c>
      <c r="F11" s="21" t="s">
        <v>317</v>
      </c>
      <c r="G11" t="s">
        <v>60</v>
      </c>
      <c r="H11" s="14">
        <v>46235</v>
      </c>
      <c r="I11" s="14">
        <v>46262</v>
      </c>
      <c r="J11" s="13" t="s">
        <v>29</v>
      </c>
      <c r="L11" s="2">
        <v>7377.6</v>
      </c>
      <c r="M11" s="2">
        <v>2459.1999999999998</v>
      </c>
      <c r="N11" s="2">
        <v>1229.5999999999999</v>
      </c>
      <c r="O11" s="2">
        <v>3688.8</v>
      </c>
      <c r="P11" s="3">
        <v>0.5</v>
      </c>
      <c r="Q11" s="3"/>
      <c r="R11" s="2">
        <v>0</v>
      </c>
      <c r="S11" s="3">
        <v>0</v>
      </c>
      <c r="T11" s="2">
        <v>0</v>
      </c>
      <c r="U11" s="13" t="s">
        <v>25</v>
      </c>
      <c r="V11" s="13" t="str">
        <f t="shared" si="0"/>
        <v>No</v>
      </c>
      <c r="W11" s="13" t="str">
        <f t="shared" si="0"/>
        <v>Yes</v>
      </c>
      <c r="X11" s="13" t="str">
        <f t="shared" si="0"/>
        <v>No</v>
      </c>
      <c r="Y11" s="13" t="str">
        <f t="shared" si="0"/>
        <v>No</v>
      </c>
      <c r="Z11" s="13" t="str">
        <f t="shared" si="0"/>
        <v>No</v>
      </c>
      <c r="AA11" s="71" t="e">
        <f>+(Table1[[#This Row],[Everyday price]]-Table1[[#This Row],[Promo Price]])/Table1[[#This Row],[Everyday price]]</f>
        <v>#DIV/0!</v>
      </c>
      <c r="AC11" s="69"/>
      <c r="AH11" s="6"/>
      <c r="AJ11" s="116" t="str">
        <f>IF(AND(ISNUMBER(Table1[[#This Row],[Lift  ]]),ISNUMBER(Table1[[#This Row],[Plan lift, %]]),Table1[[#This Row],[Plan lift, %]]&lt;&gt;0),Table1[[#This Row],[Lift  ]]-Table1[[#This Row],[Plan lift, %]],"")</f>
        <v/>
      </c>
      <c r="AK11" s="116"/>
    </row>
    <row r="12" spans="1:39" x14ac:dyDescent="0.35">
      <c r="A12" t="s">
        <v>1143</v>
      </c>
      <c r="B12" s="12">
        <v>1438</v>
      </c>
      <c r="C12" s="21" t="s">
        <v>448</v>
      </c>
      <c r="D12" s="13" t="s">
        <v>1232</v>
      </c>
      <c r="F12" s="21" t="s">
        <v>52</v>
      </c>
      <c r="G12" t="s">
        <v>44</v>
      </c>
      <c r="H12" s="14">
        <v>46266</v>
      </c>
      <c r="I12" s="14">
        <v>46293</v>
      </c>
      <c r="J12" s="13" t="s">
        <v>29</v>
      </c>
      <c r="L12" s="2">
        <v>129.1</v>
      </c>
      <c r="M12" s="2">
        <v>2459.1999999999998</v>
      </c>
      <c r="N12" s="2">
        <v>122.96</v>
      </c>
      <c r="O12" s="2">
        <v>2582.16</v>
      </c>
      <c r="P12" s="3">
        <v>0.05</v>
      </c>
      <c r="Q12" s="3"/>
      <c r="R12" s="2">
        <v>0</v>
      </c>
      <c r="S12" s="3">
        <v>0</v>
      </c>
      <c r="T12" s="2">
        <v>0</v>
      </c>
      <c r="U12" s="13" t="s">
        <v>53</v>
      </c>
      <c r="V12" s="13" t="str">
        <f t="shared" ref="V12:Z21" si="1">IF(ISNUMBER(SEARCH(V$1,$U12)),"Yes","No")</f>
        <v>No</v>
      </c>
      <c r="W12" s="13" t="str">
        <f t="shared" si="1"/>
        <v>No</v>
      </c>
      <c r="X12" s="13" t="str">
        <f t="shared" si="1"/>
        <v>No</v>
      </c>
      <c r="Y12" s="13" t="str">
        <f t="shared" si="1"/>
        <v>Yes</v>
      </c>
      <c r="Z12" s="13" t="str">
        <f t="shared" si="1"/>
        <v>No</v>
      </c>
      <c r="AA12" s="71" t="e">
        <f>+(Table1[[#This Row],[Everyday price]]-Table1[[#This Row],[Promo Price]])/Table1[[#This Row],[Everyday price]]</f>
        <v>#DIV/0!</v>
      </c>
      <c r="AC12" s="69"/>
      <c r="AH12" s="6"/>
      <c r="AJ12" s="116" t="str">
        <f>IF(AND(ISNUMBER(Table1[[#This Row],[Lift  ]]),ISNUMBER(Table1[[#This Row],[Plan lift, %]]),Table1[[#This Row],[Plan lift, %]]&lt;&gt;0),Table1[[#This Row],[Lift  ]]-Table1[[#This Row],[Plan lift, %]],"")</f>
        <v/>
      </c>
      <c r="AK12" s="116"/>
    </row>
    <row r="13" spans="1:39" x14ac:dyDescent="0.35">
      <c r="A13" t="s">
        <v>447</v>
      </c>
      <c r="B13" s="12">
        <v>1439</v>
      </c>
      <c r="C13" s="21" t="s">
        <v>448</v>
      </c>
      <c r="D13" s="13" t="s">
        <v>1232</v>
      </c>
      <c r="F13" s="21" t="s">
        <v>143</v>
      </c>
      <c r="G13" t="s">
        <v>44</v>
      </c>
      <c r="H13" s="14">
        <v>46296</v>
      </c>
      <c r="I13" s="14">
        <v>46323</v>
      </c>
      <c r="J13" s="13" t="s">
        <v>29</v>
      </c>
      <c r="L13" s="2">
        <v>3442.88</v>
      </c>
      <c r="M13" s="2">
        <v>2459.1999999999998</v>
      </c>
      <c r="N13" s="2">
        <v>983.68</v>
      </c>
      <c r="O13" s="2">
        <v>3442.88</v>
      </c>
      <c r="P13" s="3">
        <v>0.4</v>
      </c>
      <c r="Q13" s="3"/>
      <c r="R13" s="2">
        <v>0</v>
      </c>
      <c r="S13" s="3">
        <v>0</v>
      </c>
      <c r="T13" s="2">
        <v>0</v>
      </c>
      <c r="U13" s="13" t="s">
        <v>25</v>
      </c>
      <c r="V13" s="13" t="str">
        <f t="shared" si="1"/>
        <v>No</v>
      </c>
      <c r="W13" s="13" t="str">
        <f t="shared" si="1"/>
        <v>Yes</v>
      </c>
      <c r="X13" s="13" t="str">
        <f t="shared" si="1"/>
        <v>No</v>
      </c>
      <c r="Y13" s="13" t="str">
        <f t="shared" si="1"/>
        <v>No</v>
      </c>
      <c r="Z13" s="13" t="str">
        <f t="shared" si="1"/>
        <v>No</v>
      </c>
      <c r="AA13" s="71" t="e">
        <f>+(Table1[[#This Row],[Everyday price]]-Table1[[#This Row],[Promo Price]])/Table1[[#This Row],[Everyday price]]</f>
        <v>#DIV/0!</v>
      </c>
      <c r="AC13" s="69"/>
      <c r="AH13" s="6"/>
      <c r="AJ13" s="116" t="str">
        <f>IF(AND(ISNUMBER(Table1[[#This Row],[Lift  ]]),ISNUMBER(Table1[[#This Row],[Plan lift, %]]),Table1[[#This Row],[Plan lift, %]]&lt;&gt;0),Table1[[#This Row],[Lift  ]]-Table1[[#This Row],[Plan lift, %]],"")</f>
        <v/>
      </c>
      <c r="AK13" s="116"/>
    </row>
    <row r="14" spans="1:39" x14ac:dyDescent="0.35">
      <c r="A14" t="s">
        <v>876</v>
      </c>
      <c r="B14" s="82">
        <v>1331</v>
      </c>
      <c r="C14" s="21" t="s">
        <v>293</v>
      </c>
      <c r="D14" s="13" t="s">
        <v>1232</v>
      </c>
      <c r="F14" s="21" t="s">
        <v>877</v>
      </c>
      <c r="G14" t="s">
        <v>23</v>
      </c>
      <c r="H14" s="14">
        <v>46050</v>
      </c>
      <c r="I14" s="14">
        <v>46077</v>
      </c>
      <c r="J14" s="13" t="s">
        <v>24</v>
      </c>
      <c r="L14" s="2">
        <v>1429.75</v>
      </c>
      <c r="M14" s="2">
        <v>1807.59</v>
      </c>
      <c r="N14" s="2">
        <v>451.9</v>
      </c>
      <c r="O14" s="2">
        <v>2259.4899999999998</v>
      </c>
      <c r="P14" s="3">
        <v>0.25</v>
      </c>
      <c r="Q14" s="3"/>
      <c r="R14" s="2">
        <v>573.45000000000005</v>
      </c>
      <c r="S14" s="3">
        <v>0.41</v>
      </c>
      <c r="T14" s="2">
        <v>1988.58</v>
      </c>
      <c r="U14" s="13" t="s">
        <v>33</v>
      </c>
      <c r="V14" s="13" t="str">
        <f t="shared" si="1"/>
        <v>No</v>
      </c>
      <c r="W14" s="13" t="str">
        <f t="shared" si="1"/>
        <v>Yes</v>
      </c>
      <c r="X14" s="13" t="str">
        <f t="shared" si="1"/>
        <v>Yes</v>
      </c>
      <c r="Y14" s="13" t="str">
        <f t="shared" si="1"/>
        <v>No</v>
      </c>
      <c r="Z14" s="13" t="str">
        <f t="shared" si="1"/>
        <v>No</v>
      </c>
      <c r="AA14" s="71">
        <f>+(Table1[[#This Row],[Everyday price]]-Table1[[#This Row],[Promo Price]])/Table1[[#This Row],[Everyday price]]</f>
        <v>0.12158054711246198</v>
      </c>
      <c r="AB14" s="69">
        <v>2.89</v>
      </c>
      <c r="AC14" s="69">
        <v>3.29</v>
      </c>
      <c r="AD14" s="41" t="s">
        <v>1257</v>
      </c>
      <c r="AE14" s="5">
        <v>46048</v>
      </c>
      <c r="AF14" s="5">
        <v>46075</v>
      </c>
      <c r="AG14" s="20">
        <v>1402</v>
      </c>
      <c r="AH14" s="6">
        <v>612</v>
      </c>
      <c r="AI14" s="11">
        <f>Table1[[#This Row],[Incremental Units]]/Table1[[#This Row],[Base Units]]</f>
        <v>0.43651925820256776</v>
      </c>
      <c r="AJ14" s="11">
        <f>IF(AND(ISNUMBER(Table1[[#This Row],[Lift  ]]),ISNUMBER(Table1[[#This Row],[Plan lift, %]]),Table1[[#This Row],[Plan lift, %]]&lt;&gt;0),Table1[[#This Row],[Lift  ]]-Table1[[#This Row],[Plan lift, %]],"")</f>
        <v>0.18651925820256776</v>
      </c>
      <c r="AK14" s="116"/>
      <c r="AL14" s="13" t="s">
        <v>1434</v>
      </c>
    </row>
    <row r="15" spans="1:39" x14ac:dyDescent="0.35">
      <c r="A15" t="s">
        <v>926</v>
      </c>
      <c r="B15" s="82">
        <v>1403</v>
      </c>
      <c r="C15" s="21" t="s">
        <v>293</v>
      </c>
      <c r="D15" s="13" t="s">
        <v>1232</v>
      </c>
      <c r="F15" s="21" t="s">
        <v>927</v>
      </c>
      <c r="G15" t="s">
        <v>23</v>
      </c>
      <c r="H15" s="14">
        <v>46113</v>
      </c>
      <c r="I15" s="14">
        <v>46142</v>
      </c>
      <c r="J15" s="13" t="s">
        <v>24</v>
      </c>
      <c r="L15" s="2">
        <v>619.20000000000005</v>
      </c>
      <c r="M15" s="2">
        <v>1301.78</v>
      </c>
      <c r="N15" s="2">
        <v>0</v>
      </c>
      <c r="O15" s="2">
        <v>1301.78</v>
      </c>
      <c r="P15" s="3">
        <v>0</v>
      </c>
      <c r="Q15" s="3"/>
      <c r="R15" s="2">
        <v>794.61</v>
      </c>
      <c r="S15" s="3">
        <v>0.56999999999999995</v>
      </c>
      <c r="T15" s="2">
        <v>2179.85</v>
      </c>
      <c r="U15" s="13" t="s">
        <v>462</v>
      </c>
      <c r="V15" s="13" t="str">
        <f t="shared" si="1"/>
        <v>No</v>
      </c>
      <c r="W15" s="13" t="str">
        <f t="shared" si="1"/>
        <v>No</v>
      </c>
      <c r="X15" s="13" t="str">
        <f t="shared" si="1"/>
        <v>No</v>
      </c>
      <c r="Y15" s="13" t="str">
        <f t="shared" si="1"/>
        <v>No</v>
      </c>
      <c r="Z15" s="13" t="str">
        <f t="shared" si="1"/>
        <v>No</v>
      </c>
      <c r="AA15" s="71">
        <f>+(Table1[[#This Row],[Everyday price]]-Table1[[#This Row],[Promo Price]])/Table1[[#This Row],[Everyday price]]</f>
        <v>0.24012158054711247</v>
      </c>
      <c r="AB15" s="69">
        <v>2.5</v>
      </c>
      <c r="AC15" s="69">
        <v>3.29</v>
      </c>
      <c r="AD15" s="41" t="s">
        <v>1251</v>
      </c>
      <c r="AE15" s="5">
        <v>46111</v>
      </c>
      <c r="AF15" s="5">
        <v>46137</v>
      </c>
      <c r="AG15" s="20">
        <v>1640</v>
      </c>
      <c r="AH15" s="6">
        <v>889</v>
      </c>
      <c r="AI15" s="11">
        <f>Table1[[#This Row],[Incremental Units]]/Table1[[#This Row],[Base Units]]</f>
        <v>0.54207317073170735</v>
      </c>
      <c r="AJ15" s="11" t="str">
        <f>IF(AND(ISNUMBER(Table1[[#This Row],[Lift  ]]),ISNUMBER(Table1[[#This Row],[Plan lift, %]]),Table1[[#This Row],[Plan lift, %]]&lt;&gt;0),Table1[[#This Row],[Lift  ]]-Table1[[#This Row],[Plan lift, %]],"")</f>
        <v/>
      </c>
      <c r="AK15" s="116"/>
      <c r="AL15" s="13" t="s">
        <v>1434</v>
      </c>
      <c r="AM15" t="s">
        <v>1435</v>
      </c>
    </row>
    <row r="16" spans="1:39" x14ac:dyDescent="0.35">
      <c r="A16" t="s">
        <v>666</v>
      </c>
      <c r="B16" s="82">
        <v>1332</v>
      </c>
      <c r="C16" s="21" t="s">
        <v>293</v>
      </c>
      <c r="D16" s="13" t="s">
        <v>1232</v>
      </c>
      <c r="F16" s="21" t="s">
        <v>667</v>
      </c>
      <c r="G16" t="s">
        <v>23</v>
      </c>
      <c r="H16" s="14">
        <v>46141</v>
      </c>
      <c r="I16" s="14">
        <v>46168</v>
      </c>
      <c r="J16" s="13" t="s">
        <v>24</v>
      </c>
      <c r="L16" s="2">
        <v>1271.25</v>
      </c>
      <c r="M16" s="2">
        <v>1554</v>
      </c>
      <c r="N16" s="2">
        <v>388.5</v>
      </c>
      <c r="O16" s="2">
        <v>1942.5</v>
      </c>
      <c r="P16" s="3">
        <v>0.25</v>
      </c>
      <c r="Q16" s="3"/>
      <c r="R16" s="2">
        <v>1541.43</v>
      </c>
      <c r="S16" s="3">
        <v>0.89</v>
      </c>
      <c r="T16" s="2">
        <v>3269.13</v>
      </c>
      <c r="U16" s="13" t="s">
        <v>33</v>
      </c>
      <c r="V16" s="13" t="str">
        <f t="shared" si="1"/>
        <v>No</v>
      </c>
      <c r="W16" s="13" t="str">
        <f t="shared" si="1"/>
        <v>Yes</v>
      </c>
      <c r="X16" s="13" t="str">
        <f t="shared" si="1"/>
        <v>Yes</v>
      </c>
      <c r="Y16" s="13" t="str">
        <f t="shared" si="1"/>
        <v>No</v>
      </c>
      <c r="Z16" s="13" t="str">
        <f t="shared" si="1"/>
        <v>No</v>
      </c>
      <c r="AA16" s="71">
        <f>+(Table1[[#This Row],[Everyday price]]-Table1[[#This Row],[Promo Price]])/Table1[[#This Row],[Everyday price]]</f>
        <v>0.24012158054711247</v>
      </c>
      <c r="AB16" s="69">
        <v>2.5</v>
      </c>
      <c r="AC16" s="69">
        <v>3.29</v>
      </c>
      <c r="AD16" s="41" t="s">
        <v>1251</v>
      </c>
      <c r="AE16" s="5">
        <v>46138</v>
      </c>
      <c r="AF16" s="5">
        <v>46165</v>
      </c>
      <c r="AG16" s="20">
        <v>1741</v>
      </c>
      <c r="AH16" s="6">
        <v>1577</v>
      </c>
      <c r="AI16" s="11">
        <f>Table1[[#This Row],[Incremental Units]]/Table1[[#This Row],[Base Units]]</f>
        <v>0.90580126364158531</v>
      </c>
      <c r="AJ16" s="11">
        <f>IF(AND(ISNUMBER(Table1[[#This Row],[Lift  ]]),ISNUMBER(Table1[[#This Row],[Plan lift, %]]),Table1[[#This Row],[Plan lift, %]]&lt;&gt;0),Table1[[#This Row],[Lift  ]]-Table1[[#This Row],[Plan lift, %]],"")</f>
        <v>0.65580126364158531</v>
      </c>
      <c r="AK16" s="116"/>
      <c r="AL16" s="13" t="s">
        <v>1434</v>
      </c>
      <c r="AM16" t="s">
        <v>1378</v>
      </c>
    </row>
    <row r="17" spans="1:39" x14ac:dyDescent="0.35">
      <c r="A17" t="s">
        <v>1011</v>
      </c>
      <c r="B17" s="82">
        <v>1404</v>
      </c>
      <c r="C17" s="21" t="s">
        <v>293</v>
      </c>
      <c r="D17" s="13" t="s">
        <v>1232</v>
      </c>
      <c r="F17" s="21" t="s">
        <v>1012</v>
      </c>
      <c r="G17" t="s">
        <v>23</v>
      </c>
      <c r="H17" s="14">
        <v>46174</v>
      </c>
      <c r="I17" s="14">
        <v>46203</v>
      </c>
      <c r="J17" s="13" t="s">
        <v>24</v>
      </c>
      <c r="L17" s="2">
        <v>619.20000000000005</v>
      </c>
      <c r="M17" s="2">
        <v>1311.42</v>
      </c>
      <c r="N17" s="2">
        <v>0</v>
      </c>
      <c r="O17" s="2">
        <v>1311.42</v>
      </c>
      <c r="P17" s="3">
        <v>0</v>
      </c>
      <c r="Q17" s="3"/>
      <c r="R17" s="2">
        <v>537.1</v>
      </c>
      <c r="S17" s="3">
        <v>0.4</v>
      </c>
      <c r="T17" s="2">
        <v>1866.14</v>
      </c>
      <c r="U17" s="13" t="s">
        <v>462</v>
      </c>
      <c r="V17" s="13" t="str">
        <f t="shared" si="1"/>
        <v>No</v>
      </c>
      <c r="W17" s="13" t="str">
        <f t="shared" si="1"/>
        <v>No</v>
      </c>
      <c r="X17" s="13" t="str">
        <f t="shared" si="1"/>
        <v>No</v>
      </c>
      <c r="Y17" s="13" t="str">
        <f t="shared" si="1"/>
        <v>No</v>
      </c>
      <c r="Z17" s="13" t="str">
        <f t="shared" si="1"/>
        <v>No</v>
      </c>
      <c r="AA17" s="71">
        <f>+(Table1[[#This Row],[Everyday price]]-Table1[[#This Row],[Promo Price]])/Table1[[#This Row],[Everyday price]]</f>
        <v>6.0790273556231055E-3</v>
      </c>
      <c r="AB17" s="69">
        <v>3.27</v>
      </c>
      <c r="AC17" s="69">
        <v>3.29</v>
      </c>
      <c r="AD17" s="41" t="s">
        <v>1251</v>
      </c>
      <c r="AE17" s="5">
        <v>46167</v>
      </c>
      <c r="AF17" s="5">
        <v>46187</v>
      </c>
      <c r="AG17" s="20">
        <v>1163</v>
      </c>
      <c r="AH17" s="6">
        <v>394</v>
      </c>
      <c r="AI17" s="11">
        <f>Table1[[#This Row],[Incremental Units]]/Table1[[#This Row],[Base Units]]</f>
        <v>0.33877901977644026</v>
      </c>
      <c r="AJ17" s="11" t="str">
        <f>IF(AND(ISNUMBER(Table1[[#This Row],[Lift  ]]),ISNUMBER(Table1[[#This Row],[Plan lift, %]]),Table1[[#This Row],[Plan lift, %]]&lt;&gt;0),Table1[[#This Row],[Lift  ]]-Table1[[#This Row],[Plan lift, %]],"")</f>
        <v/>
      </c>
      <c r="AK17" s="116"/>
      <c r="AL17" s="13" t="s">
        <v>1434</v>
      </c>
    </row>
    <row r="18" spans="1:39" x14ac:dyDescent="0.35">
      <c r="A18" t="s">
        <v>292</v>
      </c>
      <c r="B18" s="82">
        <v>1333</v>
      </c>
      <c r="C18" s="21" t="s">
        <v>293</v>
      </c>
      <c r="D18" s="13" t="s">
        <v>1232</v>
      </c>
      <c r="F18" s="21" t="s">
        <v>294</v>
      </c>
      <c r="G18" t="s">
        <v>23</v>
      </c>
      <c r="H18" s="14">
        <v>46204</v>
      </c>
      <c r="I18" s="14">
        <v>46231</v>
      </c>
      <c r="J18" s="13" t="s">
        <v>24</v>
      </c>
      <c r="L18" s="2">
        <v>785.61</v>
      </c>
      <c r="M18" s="2">
        <v>1554</v>
      </c>
      <c r="N18" s="2">
        <v>388.5</v>
      </c>
      <c r="O18" s="2">
        <v>1942.5</v>
      </c>
      <c r="P18" s="3">
        <v>0.25</v>
      </c>
      <c r="Q18" s="3"/>
      <c r="R18" s="2">
        <v>730.13</v>
      </c>
      <c r="S18" s="3">
        <v>1.0900000000000001</v>
      </c>
      <c r="T18" s="2">
        <v>1398.57</v>
      </c>
      <c r="U18" s="13" t="s">
        <v>33</v>
      </c>
      <c r="V18" s="13" t="str">
        <f t="shared" si="1"/>
        <v>No</v>
      </c>
      <c r="W18" s="13" t="str">
        <f t="shared" si="1"/>
        <v>Yes</v>
      </c>
      <c r="X18" s="13" t="str">
        <f t="shared" si="1"/>
        <v>Yes</v>
      </c>
      <c r="Y18" s="13" t="str">
        <f t="shared" si="1"/>
        <v>No</v>
      </c>
      <c r="Z18" s="13" t="str">
        <f t="shared" si="1"/>
        <v>No</v>
      </c>
      <c r="AA18" s="71">
        <f>+(Table1[[#This Row],[Everyday price]]-Table1[[#This Row],[Promo Price]])/Table1[[#This Row],[Everyday price]]</f>
        <v>0.24012158054711247</v>
      </c>
      <c r="AB18" s="69">
        <v>2.5</v>
      </c>
      <c r="AC18" s="69">
        <v>3.29</v>
      </c>
      <c r="AD18" s="41" t="s">
        <v>1251</v>
      </c>
      <c r="AE18" s="5">
        <v>46202</v>
      </c>
      <c r="AF18" s="5">
        <v>46229</v>
      </c>
      <c r="AG18" s="20">
        <v>1541</v>
      </c>
      <c r="AH18" s="6">
        <v>1773</v>
      </c>
      <c r="AI18" s="11">
        <f>Table1[[#This Row],[Incremental Units]]/Table1[[#This Row],[Base Units]]</f>
        <v>1.1505515898767034</v>
      </c>
      <c r="AJ18" s="11">
        <f>IF(AND(ISNUMBER(Table1[[#This Row],[Lift  ]]),ISNUMBER(Table1[[#This Row],[Plan lift, %]]),Table1[[#This Row],[Plan lift, %]]&lt;&gt;0),Table1[[#This Row],[Lift  ]]-Table1[[#This Row],[Plan lift, %]],"")</f>
        <v>0.90055158987670336</v>
      </c>
      <c r="AK18" s="116"/>
      <c r="AL18" s="13" t="s">
        <v>1434</v>
      </c>
      <c r="AM18" t="s">
        <v>1440</v>
      </c>
    </row>
    <row r="19" spans="1:39" x14ac:dyDescent="0.35">
      <c r="A19" t="s">
        <v>460</v>
      </c>
      <c r="B19" s="12">
        <v>1405</v>
      </c>
      <c r="C19" s="21" t="s">
        <v>293</v>
      </c>
      <c r="D19" s="13" t="s">
        <v>1232</v>
      </c>
      <c r="F19" s="21" t="s">
        <v>461</v>
      </c>
      <c r="G19" t="s">
        <v>60</v>
      </c>
      <c r="H19" s="14">
        <v>46235</v>
      </c>
      <c r="I19" s="14">
        <v>46265</v>
      </c>
      <c r="J19" s="13" t="s">
        <v>24</v>
      </c>
      <c r="L19" s="2">
        <v>650.16</v>
      </c>
      <c r="M19" s="2">
        <v>1355.14</v>
      </c>
      <c r="N19" s="2">
        <v>0</v>
      </c>
      <c r="O19" s="2">
        <v>1355.14</v>
      </c>
      <c r="P19" s="3">
        <v>0</v>
      </c>
      <c r="Q19" s="3"/>
      <c r="R19" s="2">
        <v>0</v>
      </c>
      <c r="S19" s="3">
        <v>0</v>
      </c>
      <c r="T19" s="2">
        <v>0</v>
      </c>
      <c r="U19" s="13" t="s">
        <v>462</v>
      </c>
      <c r="V19" s="13" t="str">
        <f t="shared" si="1"/>
        <v>No</v>
      </c>
      <c r="W19" s="13" t="str">
        <f t="shared" si="1"/>
        <v>No</v>
      </c>
      <c r="X19" s="13" t="str">
        <f t="shared" si="1"/>
        <v>No</v>
      </c>
      <c r="Y19" s="13" t="str">
        <f t="shared" si="1"/>
        <v>No</v>
      </c>
      <c r="Z19" s="13" t="str">
        <f t="shared" si="1"/>
        <v>No</v>
      </c>
      <c r="AA19" s="71" t="e">
        <f>+(Table1[[#This Row],[Everyday price]]-Table1[[#This Row],[Promo Price]])/Table1[[#This Row],[Everyday price]]</f>
        <v>#DIV/0!</v>
      </c>
      <c r="AC19" s="69"/>
      <c r="AH19" s="6"/>
      <c r="AJ19" s="116" t="str">
        <f>IF(AND(ISNUMBER(Table1[[#This Row],[Lift  ]]),ISNUMBER(Table1[[#This Row],[Plan lift, %]]),Table1[[#This Row],[Plan lift, %]]&lt;&gt;0),Table1[[#This Row],[Lift  ]]-Table1[[#This Row],[Plan lift, %]],"")</f>
        <v/>
      </c>
      <c r="AK19" s="116"/>
    </row>
    <row r="20" spans="1:39" x14ac:dyDescent="0.35">
      <c r="A20" t="s">
        <v>980</v>
      </c>
      <c r="B20" s="12">
        <v>1334</v>
      </c>
      <c r="C20" s="21" t="s">
        <v>293</v>
      </c>
      <c r="D20" s="13" t="s">
        <v>1232</v>
      </c>
      <c r="F20" s="21" t="s">
        <v>981</v>
      </c>
      <c r="G20" t="s">
        <v>44</v>
      </c>
      <c r="H20" s="14">
        <v>46260</v>
      </c>
      <c r="I20" s="14">
        <v>46287</v>
      </c>
      <c r="J20" s="13" t="s">
        <v>24</v>
      </c>
      <c r="L20" s="2">
        <v>785.61</v>
      </c>
      <c r="M20" s="2">
        <v>1554</v>
      </c>
      <c r="N20" s="2">
        <v>388.5</v>
      </c>
      <c r="O20" s="2">
        <v>1942.5</v>
      </c>
      <c r="P20" s="3">
        <v>0.25</v>
      </c>
      <c r="Q20" s="3"/>
      <c r="R20" s="2">
        <v>0</v>
      </c>
      <c r="S20" s="3">
        <v>0</v>
      </c>
      <c r="T20" s="2">
        <v>0</v>
      </c>
      <c r="U20" s="13" t="s">
        <v>33</v>
      </c>
      <c r="V20" s="13" t="str">
        <f t="shared" si="1"/>
        <v>No</v>
      </c>
      <c r="W20" s="13" t="str">
        <f t="shared" si="1"/>
        <v>Yes</v>
      </c>
      <c r="X20" s="13" t="str">
        <f t="shared" si="1"/>
        <v>Yes</v>
      </c>
      <c r="Y20" s="13" t="str">
        <f t="shared" si="1"/>
        <v>No</v>
      </c>
      <c r="Z20" s="13" t="str">
        <f t="shared" si="1"/>
        <v>No</v>
      </c>
      <c r="AA20" s="71" t="e">
        <f>+(Table1[[#This Row],[Everyday price]]-Table1[[#This Row],[Promo Price]])/Table1[[#This Row],[Everyday price]]</f>
        <v>#DIV/0!</v>
      </c>
      <c r="AC20" s="69"/>
      <c r="AH20" s="6"/>
      <c r="AJ20" s="116" t="str">
        <f>IF(AND(ISNUMBER(Table1[[#This Row],[Lift  ]]),ISNUMBER(Table1[[#This Row],[Plan lift, %]]),Table1[[#This Row],[Plan lift, %]]&lt;&gt;0),Table1[[#This Row],[Lift  ]]-Table1[[#This Row],[Plan lift, %]],"")</f>
        <v/>
      </c>
      <c r="AK20" s="116"/>
    </row>
    <row r="21" spans="1:39" x14ac:dyDescent="0.35">
      <c r="A21" t="s">
        <v>740</v>
      </c>
      <c r="B21" s="131">
        <v>1444</v>
      </c>
      <c r="C21" s="21" t="s">
        <v>319</v>
      </c>
      <c r="D21" s="13" t="s">
        <v>1232</v>
      </c>
      <c r="F21" s="21" t="s">
        <v>125</v>
      </c>
      <c r="G21" t="s">
        <v>23</v>
      </c>
      <c r="H21" s="14">
        <v>46050</v>
      </c>
      <c r="I21" s="14">
        <v>46084</v>
      </c>
      <c r="J21" s="13" t="s">
        <v>29</v>
      </c>
      <c r="L21" s="2">
        <v>5531.11</v>
      </c>
      <c r="M21" s="2">
        <v>3456.94</v>
      </c>
      <c r="N21" s="2">
        <v>2074.17</v>
      </c>
      <c r="O21" s="2">
        <v>5531.11</v>
      </c>
      <c r="P21" s="3">
        <v>0.6</v>
      </c>
      <c r="Q21" s="3"/>
      <c r="R21" s="2">
        <v>1843.84</v>
      </c>
      <c r="S21" s="3">
        <v>0.64</v>
      </c>
      <c r="T21" s="2">
        <v>4735.72</v>
      </c>
      <c r="U21" s="13" t="s">
        <v>25</v>
      </c>
      <c r="V21" s="13" t="str">
        <f t="shared" si="1"/>
        <v>No</v>
      </c>
      <c r="W21" s="13" t="str">
        <f t="shared" si="1"/>
        <v>Yes</v>
      </c>
      <c r="X21" s="13" t="str">
        <f t="shared" si="1"/>
        <v>No</v>
      </c>
      <c r="Y21" s="13" t="str">
        <f t="shared" si="1"/>
        <v>No</v>
      </c>
      <c r="Z21" s="13" t="str">
        <f t="shared" si="1"/>
        <v>No</v>
      </c>
      <c r="AA21" s="71" t="e">
        <f>+(Table1[[#This Row],[Everyday price]]-Table1[[#This Row],[Promo Price]])/Table1[[#This Row],[Everyday price]]</f>
        <v>#DIV/0!</v>
      </c>
      <c r="AC21" s="69"/>
      <c r="AH21" s="6"/>
      <c r="AJ21" s="116" t="str">
        <f>IF(AND(ISNUMBER(Table1[[#This Row],[Lift  ]]),ISNUMBER(Table1[[#This Row],[Plan lift, %]]),Table1[[#This Row],[Plan lift, %]]&lt;&gt;0),Table1[[#This Row],[Lift  ]]-Table1[[#This Row],[Plan lift, %]],"")</f>
        <v/>
      </c>
      <c r="AK21" s="116"/>
    </row>
    <row r="22" spans="1:39" x14ac:dyDescent="0.35">
      <c r="A22" t="s">
        <v>318</v>
      </c>
      <c r="B22" s="131">
        <v>1445</v>
      </c>
      <c r="C22" s="21" t="s">
        <v>319</v>
      </c>
      <c r="D22" s="13" t="s">
        <v>1232</v>
      </c>
      <c r="F22" s="21" t="s">
        <v>187</v>
      </c>
      <c r="G22" t="s">
        <v>23</v>
      </c>
      <c r="H22" s="14">
        <v>46085</v>
      </c>
      <c r="I22" s="14">
        <v>46112</v>
      </c>
      <c r="J22" s="13" t="s">
        <v>29</v>
      </c>
      <c r="L22" s="2">
        <v>4999.68</v>
      </c>
      <c r="M22" s="2">
        <v>3124.8</v>
      </c>
      <c r="N22" s="2">
        <v>1874.88</v>
      </c>
      <c r="O22" s="2">
        <v>4999.68</v>
      </c>
      <c r="P22" s="3">
        <v>0.6</v>
      </c>
      <c r="Q22" s="3"/>
      <c r="R22" s="2">
        <v>1152.98</v>
      </c>
      <c r="S22" s="3">
        <v>0.5</v>
      </c>
      <c r="T22" s="2">
        <v>3453.99</v>
      </c>
      <c r="U22" s="13" t="s">
        <v>25</v>
      </c>
      <c r="V22" s="13" t="str">
        <f t="shared" ref="V22:Z31" si="2">IF(ISNUMBER(SEARCH(V$1,$U22)),"Yes","No")</f>
        <v>No</v>
      </c>
      <c r="W22" s="13" t="str">
        <f t="shared" si="2"/>
        <v>Yes</v>
      </c>
      <c r="X22" s="13" t="str">
        <f t="shared" si="2"/>
        <v>No</v>
      </c>
      <c r="Y22" s="13" t="str">
        <f t="shared" si="2"/>
        <v>No</v>
      </c>
      <c r="Z22" s="13" t="str">
        <f t="shared" si="2"/>
        <v>No</v>
      </c>
      <c r="AA22" s="71" t="e">
        <f>+(Table1[[#This Row],[Everyday price]]-Table1[[#This Row],[Promo Price]])/Table1[[#This Row],[Everyday price]]</f>
        <v>#DIV/0!</v>
      </c>
      <c r="AC22" s="69"/>
      <c r="AH22" s="6"/>
      <c r="AJ22" s="116" t="str">
        <f>IF(AND(ISNUMBER(Table1[[#This Row],[Lift  ]]),ISNUMBER(Table1[[#This Row],[Plan lift, %]]),Table1[[#This Row],[Plan lift, %]]&lt;&gt;0),Table1[[#This Row],[Lift  ]]-Table1[[#This Row],[Plan lift, %]],"")</f>
        <v/>
      </c>
      <c r="AK22" s="116"/>
    </row>
    <row r="23" spans="1:39" x14ac:dyDescent="0.35">
      <c r="A23" t="s">
        <v>730</v>
      </c>
      <c r="B23" s="131">
        <v>1448</v>
      </c>
      <c r="C23" s="21" t="s">
        <v>319</v>
      </c>
      <c r="D23" s="13" t="s">
        <v>1232</v>
      </c>
      <c r="F23" s="21" t="s">
        <v>563</v>
      </c>
      <c r="G23" t="s">
        <v>23</v>
      </c>
      <c r="H23" s="14">
        <v>46113</v>
      </c>
      <c r="I23" s="14">
        <v>46140</v>
      </c>
      <c r="J23" s="13" t="s">
        <v>29</v>
      </c>
      <c r="L23" s="2">
        <v>131.05000000000001</v>
      </c>
      <c r="M23" s="2">
        <v>2496.2399999999998</v>
      </c>
      <c r="N23" s="2">
        <v>124.81</v>
      </c>
      <c r="O23" s="2">
        <v>2621.0500000000002</v>
      </c>
      <c r="P23" s="3">
        <v>0.05</v>
      </c>
      <c r="Q23" s="3"/>
      <c r="R23" s="2">
        <v>947.09</v>
      </c>
      <c r="S23" s="3">
        <v>0.37</v>
      </c>
      <c r="T23" s="2">
        <v>3521.72</v>
      </c>
      <c r="U23" s="13" t="s">
        <v>53</v>
      </c>
      <c r="V23" s="13" t="str">
        <f t="shared" si="2"/>
        <v>No</v>
      </c>
      <c r="W23" s="13" t="str">
        <f t="shared" si="2"/>
        <v>No</v>
      </c>
      <c r="X23" s="13" t="str">
        <f t="shared" si="2"/>
        <v>No</v>
      </c>
      <c r="Y23" s="13" t="str">
        <f t="shared" si="2"/>
        <v>Yes</v>
      </c>
      <c r="Z23" s="13" t="str">
        <f t="shared" si="2"/>
        <v>No</v>
      </c>
      <c r="AA23" s="71" t="e">
        <f>+(Table1[[#This Row],[Everyday price]]-Table1[[#This Row],[Promo Price]])/Table1[[#This Row],[Everyday price]]</f>
        <v>#DIV/0!</v>
      </c>
      <c r="AC23" s="69"/>
      <c r="AH23" s="6"/>
      <c r="AJ23" s="116" t="str">
        <f>IF(AND(ISNUMBER(Table1[[#This Row],[Lift  ]]),ISNUMBER(Table1[[#This Row],[Plan lift, %]]),Table1[[#This Row],[Plan lift, %]]&lt;&gt;0),Table1[[#This Row],[Lift  ]]-Table1[[#This Row],[Plan lift, %]],"")</f>
        <v/>
      </c>
      <c r="AK23" s="116"/>
    </row>
    <row r="24" spans="1:39" x14ac:dyDescent="0.35">
      <c r="A24" t="s">
        <v>330</v>
      </c>
      <c r="B24" s="131">
        <v>1446</v>
      </c>
      <c r="C24" s="21" t="s">
        <v>319</v>
      </c>
      <c r="D24" s="13" t="s">
        <v>1232</v>
      </c>
      <c r="F24" s="21" t="s">
        <v>107</v>
      </c>
      <c r="G24" t="s">
        <v>23</v>
      </c>
      <c r="H24" s="14">
        <v>46141</v>
      </c>
      <c r="I24" s="14">
        <v>46168</v>
      </c>
      <c r="J24" s="13" t="s">
        <v>29</v>
      </c>
      <c r="L24" s="2">
        <v>4211.8900000000003</v>
      </c>
      <c r="M24" s="2">
        <v>2359.6</v>
      </c>
      <c r="N24" s="2">
        <v>1651.72</v>
      </c>
      <c r="O24" s="2">
        <v>4011.32</v>
      </c>
      <c r="P24" s="3">
        <v>0.7</v>
      </c>
      <c r="Q24" s="3"/>
      <c r="R24" s="2">
        <v>1030.54</v>
      </c>
      <c r="S24" s="3">
        <v>0.4</v>
      </c>
      <c r="T24" s="2">
        <v>3633.56</v>
      </c>
      <c r="U24" s="13" t="s">
        <v>108</v>
      </c>
      <c r="V24" s="13" t="str">
        <f t="shared" si="2"/>
        <v>No</v>
      </c>
      <c r="W24" s="13" t="str">
        <f t="shared" si="2"/>
        <v>Yes</v>
      </c>
      <c r="X24" s="13" t="str">
        <f t="shared" si="2"/>
        <v>No</v>
      </c>
      <c r="Y24" s="13" t="str">
        <f t="shared" si="2"/>
        <v>Yes</v>
      </c>
      <c r="Z24" s="13" t="str">
        <f t="shared" si="2"/>
        <v>No</v>
      </c>
      <c r="AA24" s="71" t="e">
        <f>+(Table1[[#This Row],[Everyday price]]-Table1[[#This Row],[Promo Price]])/Table1[[#This Row],[Everyday price]]</f>
        <v>#DIV/0!</v>
      </c>
      <c r="AC24" s="69"/>
      <c r="AH24" s="6"/>
      <c r="AJ24" s="116" t="str">
        <f>IF(AND(ISNUMBER(Table1[[#This Row],[Lift  ]]),ISNUMBER(Table1[[#This Row],[Plan lift, %]]),Table1[[#This Row],[Plan lift, %]]&lt;&gt;0),Table1[[#This Row],[Lift  ]]-Table1[[#This Row],[Plan lift, %]],"")</f>
        <v/>
      </c>
      <c r="AK24" s="116"/>
    </row>
    <row r="25" spans="1:39" x14ac:dyDescent="0.35">
      <c r="A25" t="s">
        <v>934</v>
      </c>
      <c r="B25" s="12">
        <v>1447</v>
      </c>
      <c r="C25" s="21" t="s">
        <v>319</v>
      </c>
      <c r="D25" s="13" t="s">
        <v>1232</v>
      </c>
      <c r="F25" s="21" t="s">
        <v>28</v>
      </c>
      <c r="G25" t="s">
        <v>23</v>
      </c>
      <c r="H25" s="14">
        <v>46204</v>
      </c>
      <c r="I25" s="14">
        <v>46231</v>
      </c>
      <c r="J25" s="13" t="s">
        <v>29</v>
      </c>
      <c r="L25" s="2">
        <v>3539.4</v>
      </c>
      <c r="M25" s="2">
        <v>2359.6</v>
      </c>
      <c r="N25" s="2">
        <v>1179.8</v>
      </c>
      <c r="O25" s="2">
        <v>3539.4</v>
      </c>
      <c r="P25" s="3">
        <v>0.5</v>
      </c>
      <c r="Q25" s="3"/>
      <c r="R25" s="2">
        <v>514.28</v>
      </c>
      <c r="S25" s="3">
        <v>0.54</v>
      </c>
      <c r="T25" s="2">
        <v>1471</v>
      </c>
      <c r="U25" s="13" t="s">
        <v>25</v>
      </c>
      <c r="V25" s="13" t="str">
        <f t="shared" si="2"/>
        <v>No</v>
      </c>
      <c r="W25" s="13" t="str">
        <f t="shared" si="2"/>
        <v>Yes</v>
      </c>
      <c r="X25" s="13" t="str">
        <f t="shared" si="2"/>
        <v>No</v>
      </c>
      <c r="Y25" s="13" t="str">
        <f t="shared" si="2"/>
        <v>No</v>
      </c>
      <c r="Z25" s="13" t="str">
        <f t="shared" si="2"/>
        <v>No</v>
      </c>
      <c r="AA25" s="71" t="e">
        <f>+(Table1[[#This Row],[Everyday price]]-Table1[[#This Row],[Promo Price]])/Table1[[#This Row],[Everyday price]]</f>
        <v>#DIV/0!</v>
      </c>
      <c r="AC25" s="69"/>
      <c r="AH25" s="6"/>
      <c r="AJ25" s="116" t="str">
        <f>IF(AND(ISNUMBER(Table1[[#This Row],[Lift  ]]),ISNUMBER(Table1[[#This Row],[Plan lift, %]]),Table1[[#This Row],[Plan lift, %]]&lt;&gt;0),Table1[[#This Row],[Lift  ]]-Table1[[#This Row],[Plan lift, %]],"")</f>
        <v/>
      </c>
      <c r="AK25" s="116"/>
    </row>
    <row r="26" spans="1:39" x14ac:dyDescent="0.35">
      <c r="A26" t="s">
        <v>1056</v>
      </c>
      <c r="B26" s="12">
        <v>1449</v>
      </c>
      <c r="C26" s="21" t="s">
        <v>319</v>
      </c>
      <c r="D26" s="13" t="s">
        <v>1232</v>
      </c>
      <c r="F26" s="21" t="s">
        <v>317</v>
      </c>
      <c r="G26" t="s">
        <v>60</v>
      </c>
      <c r="H26" s="14">
        <v>46235</v>
      </c>
      <c r="I26" s="14">
        <v>46262</v>
      </c>
      <c r="J26" s="13" t="s">
        <v>29</v>
      </c>
      <c r="L26" s="2">
        <v>9438.4</v>
      </c>
      <c r="M26" s="2">
        <v>2359.6</v>
      </c>
      <c r="N26" s="2">
        <v>2359.6</v>
      </c>
      <c r="O26" s="2">
        <v>4719.2</v>
      </c>
      <c r="P26" s="3">
        <v>1</v>
      </c>
      <c r="Q26" s="3"/>
      <c r="R26" s="2">
        <v>0</v>
      </c>
      <c r="S26" s="3">
        <v>0</v>
      </c>
      <c r="T26" s="2">
        <v>0</v>
      </c>
      <c r="U26" s="13" t="s">
        <v>25</v>
      </c>
      <c r="V26" s="13" t="str">
        <f t="shared" si="2"/>
        <v>No</v>
      </c>
      <c r="W26" s="13" t="str">
        <f t="shared" si="2"/>
        <v>Yes</v>
      </c>
      <c r="X26" s="13" t="str">
        <f t="shared" si="2"/>
        <v>No</v>
      </c>
      <c r="Y26" s="13" t="str">
        <f t="shared" si="2"/>
        <v>No</v>
      </c>
      <c r="Z26" s="13" t="str">
        <f t="shared" si="2"/>
        <v>No</v>
      </c>
      <c r="AA26" s="71" t="e">
        <f>+(Table1[[#This Row],[Everyday price]]-Table1[[#This Row],[Promo Price]])/Table1[[#This Row],[Everyday price]]</f>
        <v>#DIV/0!</v>
      </c>
      <c r="AC26" s="69"/>
      <c r="AH26" s="6"/>
      <c r="AJ26" s="116" t="str">
        <f>IF(AND(ISNUMBER(Table1[[#This Row],[Lift  ]]),ISNUMBER(Table1[[#This Row],[Plan lift, %]]),Table1[[#This Row],[Plan lift, %]]&lt;&gt;0),Table1[[#This Row],[Lift  ]]-Table1[[#This Row],[Plan lift, %]],"")</f>
        <v/>
      </c>
      <c r="AK26" s="116"/>
    </row>
    <row r="27" spans="1:39" x14ac:dyDescent="0.35">
      <c r="A27" t="s">
        <v>384</v>
      </c>
      <c r="B27" s="12">
        <v>1450</v>
      </c>
      <c r="C27" s="21" t="s">
        <v>319</v>
      </c>
      <c r="D27" s="13" t="s">
        <v>1232</v>
      </c>
      <c r="F27" s="21" t="s">
        <v>52</v>
      </c>
      <c r="G27" t="s">
        <v>44</v>
      </c>
      <c r="H27" s="14">
        <v>46266</v>
      </c>
      <c r="I27" s="14">
        <v>46293</v>
      </c>
      <c r="J27" s="13" t="s">
        <v>29</v>
      </c>
      <c r="L27" s="2">
        <v>123.89</v>
      </c>
      <c r="M27" s="2">
        <v>2359.6</v>
      </c>
      <c r="N27" s="2">
        <v>117.98</v>
      </c>
      <c r="O27" s="2">
        <v>2477.58</v>
      </c>
      <c r="P27" s="3">
        <v>0.05</v>
      </c>
      <c r="Q27" s="3"/>
      <c r="R27" s="2">
        <v>0</v>
      </c>
      <c r="S27" s="3">
        <v>0</v>
      </c>
      <c r="T27" s="2">
        <v>0</v>
      </c>
      <c r="U27" s="13" t="s">
        <v>53</v>
      </c>
      <c r="V27" s="13" t="str">
        <f t="shared" si="2"/>
        <v>No</v>
      </c>
      <c r="W27" s="13" t="str">
        <f t="shared" si="2"/>
        <v>No</v>
      </c>
      <c r="X27" s="13" t="str">
        <f t="shared" si="2"/>
        <v>No</v>
      </c>
      <c r="Y27" s="13" t="str">
        <f t="shared" si="2"/>
        <v>Yes</v>
      </c>
      <c r="Z27" s="13" t="str">
        <f t="shared" si="2"/>
        <v>No</v>
      </c>
      <c r="AA27" s="71" t="e">
        <f>+(Table1[[#This Row],[Everyday price]]-Table1[[#This Row],[Promo Price]])/Table1[[#This Row],[Everyday price]]</f>
        <v>#DIV/0!</v>
      </c>
      <c r="AC27" s="69"/>
      <c r="AH27" s="6"/>
      <c r="AJ27" s="116" t="str">
        <f>IF(AND(ISNUMBER(Table1[[#This Row],[Lift  ]]),ISNUMBER(Table1[[#This Row],[Plan lift, %]]),Table1[[#This Row],[Plan lift, %]]&lt;&gt;0),Table1[[#This Row],[Lift  ]]-Table1[[#This Row],[Plan lift, %]],"")</f>
        <v/>
      </c>
      <c r="AK27" s="116"/>
    </row>
    <row r="28" spans="1:39" x14ac:dyDescent="0.35">
      <c r="A28" t="s">
        <v>423</v>
      </c>
      <c r="B28" s="12">
        <v>1451</v>
      </c>
      <c r="C28" s="21" t="s">
        <v>319</v>
      </c>
      <c r="D28" s="13" t="s">
        <v>1232</v>
      </c>
      <c r="F28" s="21" t="s">
        <v>143</v>
      </c>
      <c r="G28" t="s">
        <v>44</v>
      </c>
      <c r="H28" s="14">
        <v>46296</v>
      </c>
      <c r="I28" s="14">
        <v>46323</v>
      </c>
      <c r="J28" s="13" t="s">
        <v>29</v>
      </c>
      <c r="L28" s="2">
        <v>3775.36</v>
      </c>
      <c r="M28" s="2">
        <v>2359.6</v>
      </c>
      <c r="N28" s="2">
        <v>1415.76</v>
      </c>
      <c r="O28" s="2">
        <v>3775.36</v>
      </c>
      <c r="P28" s="3">
        <v>0.6</v>
      </c>
      <c r="Q28" s="3"/>
      <c r="R28" s="2">
        <v>0</v>
      </c>
      <c r="S28" s="3">
        <v>0</v>
      </c>
      <c r="T28" s="2">
        <v>0</v>
      </c>
      <c r="U28" s="13" t="s">
        <v>25</v>
      </c>
      <c r="V28" s="13" t="str">
        <f t="shared" si="2"/>
        <v>No</v>
      </c>
      <c r="W28" s="13" t="str">
        <f t="shared" si="2"/>
        <v>Yes</v>
      </c>
      <c r="X28" s="13" t="str">
        <f t="shared" si="2"/>
        <v>No</v>
      </c>
      <c r="Y28" s="13" t="str">
        <f t="shared" si="2"/>
        <v>No</v>
      </c>
      <c r="Z28" s="13" t="str">
        <f t="shared" si="2"/>
        <v>No</v>
      </c>
      <c r="AA28" s="71" t="e">
        <f>+(Table1[[#This Row],[Everyday price]]-Table1[[#This Row],[Promo Price]])/Table1[[#This Row],[Everyday price]]</f>
        <v>#DIV/0!</v>
      </c>
      <c r="AC28" s="69"/>
      <c r="AH28" s="6"/>
      <c r="AJ28" s="116" t="str">
        <f>IF(AND(ISNUMBER(Table1[[#This Row],[Lift  ]]),ISNUMBER(Table1[[#This Row],[Plan lift, %]]),Table1[[#This Row],[Plan lift, %]]&lt;&gt;0),Table1[[#This Row],[Lift  ]]-Table1[[#This Row],[Plan lift, %]],"")</f>
        <v/>
      </c>
      <c r="AK28" s="116"/>
    </row>
    <row r="29" spans="1:39" x14ac:dyDescent="0.35">
      <c r="A29" t="s">
        <v>368</v>
      </c>
      <c r="B29" s="82">
        <v>1424</v>
      </c>
      <c r="C29" s="21" t="s">
        <v>244</v>
      </c>
      <c r="D29" s="13" t="s">
        <v>1232</v>
      </c>
      <c r="F29" s="21" t="s">
        <v>369</v>
      </c>
      <c r="G29" t="s">
        <v>23</v>
      </c>
      <c r="H29" s="14">
        <v>46050</v>
      </c>
      <c r="I29" s="14">
        <v>46084</v>
      </c>
      <c r="J29" s="13" t="s">
        <v>29</v>
      </c>
      <c r="L29" s="2">
        <v>41128.5</v>
      </c>
      <c r="M29" s="2">
        <v>9347.39</v>
      </c>
      <c r="N29" s="2">
        <v>11216.86</v>
      </c>
      <c r="O29" s="2">
        <v>20564.25</v>
      </c>
      <c r="P29" s="3">
        <v>1.2</v>
      </c>
      <c r="Q29" s="3"/>
      <c r="R29" s="2">
        <v>2462.44</v>
      </c>
      <c r="S29" s="3">
        <v>0.41</v>
      </c>
      <c r="T29" s="2">
        <v>8425.58</v>
      </c>
      <c r="U29" s="13" t="s">
        <v>25</v>
      </c>
      <c r="V29" s="13" t="str">
        <f t="shared" si="2"/>
        <v>No</v>
      </c>
      <c r="W29" s="13" t="str">
        <f t="shared" si="2"/>
        <v>Yes</v>
      </c>
      <c r="X29" s="13" t="str">
        <f t="shared" si="2"/>
        <v>No</v>
      </c>
      <c r="Y29" s="13" t="str">
        <f t="shared" si="2"/>
        <v>No</v>
      </c>
      <c r="Z29" s="13" t="str">
        <f t="shared" si="2"/>
        <v>No</v>
      </c>
      <c r="AA29" s="71">
        <f>+(Table1[[#This Row],[Everyday price]]-Table1[[#This Row],[Promo Price]])/Table1[[#This Row],[Everyday price]]</f>
        <v>8.145240431795879E-2</v>
      </c>
      <c r="AB29" s="69">
        <v>9.36</v>
      </c>
      <c r="AC29" s="69">
        <v>10.19</v>
      </c>
      <c r="AD29" s="92" t="s">
        <v>1251</v>
      </c>
      <c r="AE29" s="5">
        <v>46048</v>
      </c>
      <c r="AF29" s="5">
        <v>46089</v>
      </c>
      <c r="AG29" s="65">
        <v>8836</v>
      </c>
      <c r="AH29" s="6">
        <v>4500</v>
      </c>
      <c r="AI29" s="11">
        <f>Table1[[#This Row],[Incremental Units]]/Table1[[#This Row],[Base Units]]</f>
        <v>0.50928021729289275</v>
      </c>
      <c r="AJ29" s="11">
        <f>IF(AND(ISNUMBER(Table1[[#This Row],[Lift  ]]),ISNUMBER(Table1[[#This Row],[Plan lift, %]]),Table1[[#This Row],[Plan lift, %]]&lt;&gt;0),Table1[[#This Row],[Lift  ]]-Table1[[#This Row],[Plan lift, %]],"")</f>
        <v>-0.69071978270710721</v>
      </c>
      <c r="AK29" s="11"/>
      <c r="AL29" s="71" t="s">
        <v>1400</v>
      </c>
      <c r="AM29" s="4" t="s">
        <v>1283</v>
      </c>
    </row>
    <row r="30" spans="1:39" x14ac:dyDescent="0.35">
      <c r="A30" t="s">
        <v>701</v>
      </c>
      <c r="B30" s="93" t="s">
        <v>1367</v>
      </c>
      <c r="C30" s="21" t="s">
        <v>244</v>
      </c>
      <c r="D30" s="13" t="s">
        <v>1232</v>
      </c>
      <c r="F30" s="21" t="s">
        <v>702</v>
      </c>
      <c r="G30" t="s">
        <v>23</v>
      </c>
      <c r="H30" s="14">
        <v>46085</v>
      </c>
      <c r="I30" s="14">
        <v>46112</v>
      </c>
      <c r="J30" s="13" t="s">
        <v>29</v>
      </c>
      <c r="L30" s="2">
        <v>10795.68</v>
      </c>
      <c r="M30" s="2">
        <v>5140.8</v>
      </c>
      <c r="N30" s="2">
        <v>5140.8</v>
      </c>
      <c r="O30" s="2">
        <v>10281.6</v>
      </c>
      <c r="P30" s="3">
        <v>1</v>
      </c>
      <c r="Q30" s="3"/>
      <c r="R30" s="2">
        <v>6201.45</v>
      </c>
      <c r="S30" s="3">
        <v>1.4</v>
      </c>
      <c r="T30" s="2">
        <v>10616.86</v>
      </c>
      <c r="U30" s="13" t="s">
        <v>108</v>
      </c>
      <c r="V30" s="13" t="str">
        <f t="shared" si="2"/>
        <v>No</v>
      </c>
      <c r="W30" s="13" t="str">
        <f t="shared" si="2"/>
        <v>Yes</v>
      </c>
      <c r="X30" s="13" t="str">
        <f t="shared" si="2"/>
        <v>No</v>
      </c>
      <c r="Y30" s="13" t="str">
        <f t="shared" si="2"/>
        <v>Yes</v>
      </c>
      <c r="Z30" s="13" t="str">
        <f t="shared" si="2"/>
        <v>No</v>
      </c>
      <c r="AA30" s="71">
        <f>+(Table1[[#This Row],[Everyday price]]-Table1[[#This Row],[Promo Price]])/Table1[[#This Row],[Everyday price]]</f>
        <v>0.44188481675392671</v>
      </c>
      <c r="AB30" s="69">
        <v>5.33</v>
      </c>
      <c r="AC30" s="69">
        <v>9.5500000000000007</v>
      </c>
      <c r="AD30" s="92" t="s">
        <v>1251</v>
      </c>
      <c r="AE30" s="5">
        <v>46097</v>
      </c>
      <c r="AF30" s="5">
        <v>46103</v>
      </c>
      <c r="AG30" s="20">
        <v>1765</v>
      </c>
      <c r="AH30" s="6">
        <v>5503</v>
      </c>
      <c r="AI30" s="11">
        <f>Table1[[#This Row],[Incremental Units]]/Table1[[#This Row],[Base Units]]</f>
        <v>3.1178470254957507</v>
      </c>
      <c r="AJ30" s="11">
        <f>IF(AND(ISNUMBER(Table1[[#This Row],[Lift  ]]),ISNUMBER(Table1[[#This Row],[Plan lift, %]]),Table1[[#This Row],[Plan lift, %]]&lt;&gt;0),Table1[[#This Row],[Lift  ]]-Table1[[#This Row],[Plan lift, %]],"")</f>
        <v>2.1178470254957507</v>
      </c>
      <c r="AK30" s="11"/>
      <c r="AL30" s="71" t="s">
        <v>1400</v>
      </c>
      <c r="AM30" s="4" t="s">
        <v>1284</v>
      </c>
    </row>
    <row r="31" spans="1:39" x14ac:dyDescent="0.35">
      <c r="A31" t="s">
        <v>701</v>
      </c>
      <c r="B31" s="93" t="s">
        <v>1366</v>
      </c>
      <c r="C31" s="21" t="s">
        <v>244</v>
      </c>
      <c r="D31" s="13" t="s">
        <v>1232</v>
      </c>
      <c r="F31" s="21" t="s">
        <v>702</v>
      </c>
      <c r="G31" t="s">
        <v>23</v>
      </c>
      <c r="H31" s="14">
        <v>46085</v>
      </c>
      <c r="I31" s="14">
        <v>46112</v>
      </c>
      <c r="J31" s="13" t="s">
        <v>24</v>
      </c>
      <c r="L31" s="2">
        <v>2304</v>
      </c>
      <c r="M31" s="2">
        <v>0</v>
      </c>
      <c r="N31" s="2">
        <v>0</v>
      </c>
      <c r="O31" s="2">
        <v>0</v>
      </c>
      <c r="P31" s="3">
        <v>1</v>
      </c>
      <c r="Q31" s="3"/>
      <c r="R31" s="2">
        <v>144.35</v>
      </c>
      <c r="S31" s="3">
        <v>0.31</v>
      </c>
      <c r="T31" s="2">
        <v>612.14</v>
      </c>
      <c r="U31" s="13" t="s">
        <v>108</v>
      </c>
      <c r="V31" s="13" t="str">
        <f t="shared" si="2"/>
        <v>No</v>
      </c>
      <c r="W31" s="13" t="str">
        <f t="shared" si="2"/>
        <v>Yes</v>
      </c>
      <c r="X31" s="13" t="str">
        <f t="shared" si="2"/>
        <v>No</v>
      </c>
      <c r="Y31" s="13" t="str">
        <f t="shared" si="2"/>
        <v>Yes</v>
      </c>
      <c r="Z31" s="13" t="str">
        <f t="shared" si="2"/>
        <v>No</v>
      </c>
      <c r="AA31" s="71">
        <f>+(Table1[[#This Row],[Everyday price]]-Table1[[#This Row],[Promo Price]])/Table1[[#This Row],[Everyday price]]</f>
        <v>0.19999999999999996</v>
      </c>
      <c r="AB31" s="69">
        <v>1.56</v>
      </c>
      <c r="AC31" s="69">
        <v>1.95</v>
      </c>
      <c r="AD31" s="40" t="s">
        <v>1229</v>
      </c>
      <c r="AE31" s="5">
        <v>46062</v>
      </c>
      <c r="AF31" s="5">
        <v>46089</v>
      </c>
      <c r="AG31" s="20">
        <v>582</v>
      </c>
      <c r="AH31" s="6">
        <v>439</v>
      </c>
      <c r="AI31" s="11">
        <f>Table1[[#This Row],[Incremental Units]]/Table1[[#This Row],[Base Units]]</f>
        <v>0.75429553264604809</v>
      </c>
      <c r="AJ31" s="11">
        <f>IF(AND(ISNUMBER(Table1[[#This Row],[Lift  ]]),ISNUMBER(Table1[[#This Row],[Plan lift, %]]),Table1[[#This Row],[Plan lift, %]]&lt;&gt;0),Table1[[#This Row],[Lift  ]]-Table1[[#This Row],[Plan lift, %]],"")</f>
        <v>-0.24570446735395191</v>
      </c>
      <c r="AK31" s="11"/>
      <c r="AL31" s="71" t="s">
        <v>1400</v>
      </c>
      <c r="AM31" s="4" t="s">
        <v>1280</v>
      </c>
    </row>
    <row r="32" spans="1:39" x14ac:dyDescent="0.35">
      <c r="A32" t="s">
        <v>243</v>
      </c>
      <c r="B32" s="12">
        <v>1398</v>
      </c>
      <c r="C32" s="21" t="s">
        <v>244</v>
      </c>
      <c r="D32" s="13" t="s">
        <v>1232</v>
      </c>
      <c r="F32" s="21" t="s">
        <v>245</v>
      </c>
      <c r="G32" t="s">
        <v>23</v>
      </c>
      <c r="H32" s="14">
        <v>46113</v>
      </c>
      <c r="I32" s="14">
        <v>46140</v>
      </c>
      <c r="J32" s="13" t="s">
        <v>29</v>
      </c>
      <c r="L32" s="2">
        <v>315.91000000000003</v>
      </c>
      <c r="M32" s="2">
        <v>6017.43</v>
      </c>
      <c r="N32" s="2">
        <v>300.87</v>
      </c>
      <c r="O32" s="2">
        <v>6318.3</v>
      </c>
      <c r="P32" s="3">
        <v>0.05</v>
      </c>
      <c r="Q32" s="3"/>
      <c r="R32" s="2">
        <v>433.42</v>
      </c>
      <c r="S32" s="3">
        <v>0.08</v>
      </c>
      <c r="T32" s="2">
        <v>5970.58</v>
      </c>
      <c r="U32" s="13" t="s">
        <v>53</v>
      </c>
      <c r="V32" s="13" t="str">
        <f t="shared" ref="V32:Z41" si="3">IF(ISNUMBER(SEARCH(V$1,$U32)),"Yes","No")</f>
        <v>No</v>
      </c>
      <c r="W32" s="13" t="str">
        <f t="shared" si="3"/>
        <v>No</v>
      </c>
      <c r="X32" s="13" t="str">
        <f t="shared" si="3"/>
        <v>No</v>
      </c>
      <c r="Y32" s="13" t="str">
        <f t="shared" si="3"/>
        <v>Yes</v>
      </c>
      <c r="Z32" s="13" t="str">
        <f t="shared" si="3"/>
        <v>No</v>
      </c>
      <c r="AA32" s="71" t="e">
        <f>+(Table1[[#This Row],[Everyday price]]-Table1[[#This Row],[Promo Price]])/Table1[[#This Row],[Everyday price]]</f>
        <v>#DIV/0!</v>
      </c>
      <c r="AC32" s="69"/>
      <c r="AH32" s="6"/>
      <c r="AI32" s="11"/>
      <c r="AJ32" s="11" t="str">
        <f>IF(AND(ISNUMBER(Table1[[#This Row],[Lift  ]]),ISNUMBER(Table1[[#This Row],[Plan lift, %]]),Table1[[#This Row],[Plan lift, %]]&lt;&gt;0),Table1[[#This Row],[Lift  ]]-Table1[[#This Row],[Plan lift, %]],"")</f>
        <v/>
      </c>
      <c r="AK32" s="11"/>
      <c r="AL32" s="71"/>
    </row>
    <row r="33" spans="1:39" x14ac:dyDescent="0.35">
      <c r="A33" t="s">
        <v>969</v>
      </c>
      <c r="B33" s="12">
        <v>1411</v>
      </c>
      <c r="C33" s="21" t="s">
        <v>244</v>
      </c>
      <c r="D33" s="13" t="s">
        <v>1232</v>
      </c>
      <c r="F33" s="21" t="s">
        <v>495</v>
      </c>
      <c r="G33" t="s">
        <v>23</v>
      </c>
      <c r="H33" s="14">
        <v>46113</v>
      </c>
      <c r="I33" s="14">
        <v>46142</v>
      </c>
      <c r="J33" s="13" t="s">
        <v>29</v>
      </c>
      <c r="L33" s="2">
        <v>6604.8</v>
      </c>
      <c r="M33" s="2">
        <v>0</v>
      </c>
      <c r="N33" s="2">
        <v>0</v>
      </c>
      <c r="O33" s="2">
        <v>0</v>
      </c>
      <c r="P33" s="3">
        <v>0</v>
      </c>
      <c r="Q33" s="3"/>
      <c r="R33" s="2">
        <v>0.01</v>
      </c>
      <c r="S33" s="3">
        <v>0.02</v>
      </c>
      <c r="T33" s="2">
        <v>0.56999999999999995</v>
      </c>
      <c r="U33" s="13" t="s">
        <v>261</v>
      </c>
      <c r="V33" s="13" t="str">
        <f t="shared" si="3"/>
        <v>Yes</v>
      </c>
      <c r="W33" s="13" t="str">
        <f t="shared" si="3"/>
        <v>No</v>
      </c>
      <c r="X33" s="13" t="str">
        <f t="shared" si="3"/>
        <v>No</v>
      </c>
      <c r="Y33" s="13" t="str">
        <f t="shared" si="3"/>
        <v>No</v>
      </c>
      <c r="Z33" s="13" t="str">
        <f t="shared" si="3"/>
        <v>No</v>
      </c>
      <c r="AA33" s="71" t="e">
        <f>+(Table1[[#This Row],[Everyday price]]-Table1[[#This Row],[Promo Price]])/Table1[[#This Row],[Everyday price]]</f>
        <v>#DIV/0!</v>
      </c>
      <c r="AC33" s="69"/>
      <c r="AH33" s="6"/>
      <c r="AJ33" s="116" t="str">
        <f>IF(AND(ISNUMBER(Table1[[#This Row],[Lift  ]]),ISNUMBER(Table1[[#This Row],[Plan lift, %]]),Table1[[#This Row],[Plan lift, %]]&lt;&gt;0),Table1[[#This Row],[Lift  ]]-Table1[[#This Row],[Plan lift, %]],"")</f>
        <v/>
      </c>
      <c r="AK33" s="116"/>
    </row>
    <row r="34" spans="1:39" x14ac:dyDescent="0.35">
      <c r="A34" t="s">
        <v>414</v>
      </c>
      <c r="B34" s="93" t="s">
        <v>1369</v>
      </c>
      <c r="C34" s="21" t="s">
        <v>244</v>
      </c>
      <c r="D34" s="13" t="s">
        <v>1232</v>
      </c>
      <c r="F34" s="21" t="s">
        <v>415</v>
      </c>
      <c r="G34" t="s">
        <v>23</v>
      </c>
      <c r="H34" s="14">
        <v>46141</v>
      </c>
      <c r="I34" s="14">
        <v>46168</v>
      </c>
      <c r="J34" s="13" t="s">
        <v>29</v>
      </c>
      <c r="L34" s="2">
        <v>14641.2</v>
      </c>
      <c r="M34" s="2">
        <v>4880.3999999999996</v>
      </c>
      <c r="N34" s="2">
        <v>2440.1999999999998</v>
      </c>
      <c r="O34" s="2">
        <v>7320.6</v>
      </c>
      <c r="P34" s="3">
        <v>0.5</v>
      </c>
      <c r="Q34" s="3"/>
      <c r="R34" s="2">
        <v>2092.63</v>
      </c>
      <c r="S34" s="3">
        <v>0.4</v>
      </c>
      <c r="T34" s="2">
        <v>7333.99</v>
      </c>
      <c r="U34" s="13" t="s">
        <v>25</v>
      </c>
      <c r="V34" s="13" t="str">
        <f t="shared" si="3"/>
        <v>No</v>
      </c>
      <c r="W34" s="13" t="str">
        <f t="shared" si="3"/>
        <v>Yes</v>
      </c>
      <c r="X34" s="13" t="str">
        <f t="shared" si="3"/>
        <v>No</v>
      </c>
      <c r="Y34" s="13" t="str">
        <f t="shared" si="3"/>
        <v>No</v>
      </c>
      <c r="Z34" s="13" t="str">
        <f t="shared" si="3"/>
        <v>No</v>
      </c>
      <c r="AA34" s="71">
        <f>+(Table1[[#This Row],[Everyday price]]-Table1[[#This Row],[Promo Price]])/Table1[[#This Row],[Everyday price]]</f>
        <v>0.12345679012345689</v>
      </c>
      <c r="AB34" s="69">
        <v>8.52</v>
      </c>
      <c r="AC34" s="70">
        <v>9.7200000000000006</v>
      </c>
      <c r="AD34" s="40" t="s">
        <v>1251</v>
      </c>
      <c r="AE34" s="5">
        <v>46139</v>
      </c>
      <c r="AF34" s="5">
        <v>46166</v>
      </c>
      <c r="AG34" s="20">
        <v>5563</v>
      </c>
      <c r="AH34" s="6">
        <v>2324</v>
      </c>
      <c r="AI34" s="11">
        <f>Table1[[#This Row],[Incremental Units]]/Table1[[#This Row],[Base Units]]</f>
        <v>0.41776020133021752</v>
      </c>
      <c r="AJ34" s="11">
        <f>IF(AND(ISNUMBER(Table1[[#This Row],[Lift  ]]),ISNUMBER(Table1[[#This Row],[Plan lift, %]]),Table1[[#This Row],[Plan lift, %]]&lt;&gt;0),Table1[[#This Row],[Lift  ]]-Table1[[#This Row],[Plan lift, %]],"")</f>
        <v>-8.2239798669782482E-2</v>
      </c>
      <c r="AK34" s="11"/>
      <c r="AL34" s="71" t="s">
        <v>1400</v>
      </c>
    </row>
    <row r="35" spans="1:39" x14ac:dyDescent="0.35">
      <c r="A35" t="s">
        <v>414</v>
      </c>
      <c r="B35" s="93" t="s">
        <v>1368</v>
      </c>
      <c r="C35" s="21" t="s">
        <v>244</v>
      </c>
      <c r="D35" s="13" t="s">
        <v>1232</v>
      </c>
      <c r="F35" s="21" t="s">
        <v>415</v>
      </c>
      <c r="G35" t="s">
        <v>23</v>
      </c>
      <c r="H35" s="14">
        <v>46141</v>
      </c>
      <c r="I35" s="14">
        <v>46168</v>
      </c>
      <c r="J35" s="13" t="s">
        <v>24</v>
      </c>
      <c r="L35" s="2">
        <v>2764.8</v>
      </c>
      <c r="M35" s="2">
        <v>416</v>
      </c>
      <c r="N35" s="2">
        <v>0</v>
      </c>
      <c r="O35" s="2">
        <v>416</v>
      </c>
      <c r="P35" s="3">
        <v>0</v>
      </c>
      <c r="Q35" s="3"/>
      <c r="R35" s="2">
        <v>108.48</v>
      </c>
      <c r="S35" s="3">
        <v>0.15</v>
      </c>
      <c r="T35" s="2">
        <v>850.42</v>
      </c>
      <c r="U35" s="13" t="s">
        <v>25</v>
      </c>
      <c r="V35" s="13" t="str">
        <f t="shared" si="3"/>
        <v>No</v>
      </c>
      <c r="W35" s="13" t="str">
        <f t="shared" si="3"/>
        <v>Yes</v>
      </c>
      <c r="X35" s="13" t="str">
        <f t="shared" si="3"/>
        <v>No</v>
      </c>
      <c r="Y35" s="13" t="str">
        <f t="shared" si="3"/>
        <v>No</v>
      </c>
      <c r="Z35" s="13" t="str">
        <f t="shared" si="3"/>
        <v>No</v>
      </c>
      <c r="AA35" s="71">
        <f>+(Table1[[#This Row],[Everyday price]]-Table1[[#This Row],[Promo Price]])/Table1[[#This Row],[Everyday price]]</f>
        <v>0.39175257731958762</v>
      </c>
      <c r="AB35" s="69">
        <v>1.77</v>
      </c>
      <c r="AC35" s="69">
        <v>2.91</v>
      </c>
      <c r="AD35" s="40" t="s">
        <v>1251</v>
      </c>
      <c r="AE35" s="5">
        <v>46166</v>
      </c>
      <c r="AF35" s="5">
        <v>46180</v>
      </c>
      <c r="AG35" s="20">
        <v>588</v>
      </c>
      <c r="AH35" s="6">
        <v>111</v>
      </c>
      <c r="AI35" s="11">
        <f>Table1[[#This Row],[Incremental Units]]/Table1[[#This Row],[Base Units]]</f>
        <v>0.18877551020408162</v>
      </c>
      <c r="AJ35" s="11" t="str">
        <f>IF(AND(ISNUMBER(Table1[[#This Row],[Lift  ]]),ISNUMBER(Table1[[#This Row],[Plan lift, %]]),Table1[[#This Row],[Plan lift, %]]&lt;&gt;0),Table1[[#This Row],[Lift  ]]-Table1[[#This Row],[Plan lift, %]],"")</f>
        <v/>
      </c>
      <c r="AK35" s="11"/>
      <c r="AL35" s="71" t="s">
        <v>1400</v>
      </c>
      <c r="AM35" s="4" t="s">
        <v>1281</v>
      </c>
    </row>
    <row r="36" spans="1:39" x14ac:dyDescent="0.35">
      <c r="A36" t="s">
        <v>1166</v>
      </c>
      <c r="B36" s="12" t="s">
        <v>1686</v>
      </c>
      <c r="C36" s="21" t="s">
        <v>244</v>
      </c>
      <c r="D36" s="13" t="s">
        <v>1232</v>
      </c>
      <c r="F36" s="21" t="s">
        <v>1167</v>
      </c>
      <c r="G36" t="s">
        <v>60</v>
      </c>
      <c r="H36" s="14">
        <v>46197</v>
      </c>
      <c r="I36" s="14">
        <v>46245</v>
      </c>
      <c r="J36" s="13" t="s">
        <v>24</v>
      </c>
      <c r="L36" s="2">
        <v>5942</v>
      </c>
      <c r="M36" s="2">
        <v>728</v>
      </c>
      <c r="N36" s="2">
        <v>364</v>
      </c>
      <c r="O36" s="2">
        <v>1092</v>
      </c>
      <c r="P36" s="3">
        <v>0.5</v>
      </c>
      <c r="Q36" s="3"/>
      <c r="R36" s="2">
        <v>0</v>
      </c>
      <c r="S36" s="3">
        <v>0</v>
      </c>
      <c r="T36" s="2">
        <v>8.14</v>
      </c>
      <c r="U36" s="13" t="s">
        <v>25</v>
      </c>
      <c r="V36" s="13" t="str">
        <f t="shared" si="3"/>
        <v>No</v>
      </c>
      <c r="W36" s="13" t="str">
        <f t="shared" si="3"/>
        <v>Yes</v>
      </c>
      <c r="X36" s="13" t="str">
        <f t="shared" si="3"/>
        <v>No</v>
      </c>
      <c r="Y36" s="13" t="str">
        <f t="shared" si="3"/>
        <v>No</v>
      </c>
      <c r="Z36" s="13" t="str">
        <f t="shared" si="3"/>
        <v>No</v>
      </c>
      <c r="AA36" s="71" t="e">
        <f>+(Table1[[#This Row],[Everyday price]]-Table1[[#This Row],[Promo Price]])/Table1[[#This Row],[Everyday price]]</f>
        <v>#DIV/0!</v>
      </c>
      <c r="AC36" s="69"/>
      <c r="AE36" s="5"/>
      <c r="AF36" s="5"/>
      <c r="AH36" s="6"/>
      <c r="AI36" s="11"/>
      <c r="AJ36" s="11" t="str">
        <f>IF(AND(ISNUMBER(Table1[[#This Row],[Lift  ]]),ISNUMBER(Table1[[#This Row],[Plan lift, %]]),Table1[[#This Row],[Plan lift, %]]&lt;&gt;0),Table1[[#This Row],[Lift  ]]-Table1[[#This Row],[Plan lift, %]],"")</f>
        <v/>
      </c>
      <c r="AK36" s="116"/>
    </row>
    <row r="37" spans="1:39" x14ac:dyDescent="0.35">
      <c r="A37" t="s">
        <v>1166</v>
      </c>
      <c r="B37" s="12" t="s">
        <v>1687</v>
      </c>
      <c r="C37" s="21" t="s">
        <v>244</v>
      </c>
      <c r="D37" s="13" t="s">
        <v>1232</v>
      </c>
      <c r="F37" s="21" t="s">
        <v>1167</v>
      </c>
      <c r="G37" t="s">
        <v>60</v>
      </c>
      <c r="H37" s="14">
        <v>46197</v>
      </c>
      <c r="I37" s="14">
        <v>46245</v>
      </c>
      <c r="J37" s="13" t="s">
        <v>29</v>
      </c>
      <c r="L37" s="2">
        <v>44160.800000000003</v>
      </c>
      <c r="M37" s="2">
        <v>8540.7000000000007</v>
      </c>
      <c r="N37" s="2">
        <v>8540.7000000000007</v>
      </c>
      <c r="O37" s="2">
        <v>17081.400000000001</v>
      </c>
      <c r="P37" s="3">
        <v>1</v>
      </c>
      <c r="Q37" s="3"/>
      <c r="R37" s="2">
        <v>556.37</v>
      </c>
      <c r="S37" s="3">
        <v>0.24</v>
      </c>
      <c r="T37" s="2">
        <v>2829.86</v>
      </c>
      <c r="U37" s="13" t="s">
        <v>25</v>
      </c>
      <c r="V37" s="13" t="str">
        <f t="shared" si="3"/>
        <v>No</v>
      </c>
      <c r="W37" s="13" t="str">
        <f t="shared" si="3"/>
        <v>Yes</v>
      </c>
      <c r="X37" s="13" t="str">
        <f t="shared" si="3"/>
        <v>No</v>
      </c>
      <c r="Y37" s="13" t="str">
        <f t="shared" si="3"/>
        <v>No</v>
      </c>
      <c r="Z37" s="13" t="str">
        <f t="shared" si="3"/>
        <v>No</v>
      </c>
      <c r="AA37" s="71" t="e">
        <f>+(Table1[[#This Row],[Everyday price]]-Table1[[#This Row],[Promo Price]])/Table1[[#This Row],[Everyday price]]</f>
        <v>#DIV/0!</v>
      </c>
      <c r="AC37" s="69"/>
      <c r="AH37" s="6"/>
      <c r="AI37" s="11"/>
      <c r="AJ37" s="11" t="str">
        <f>IF(AND(ISNUMBER(Table1[[#This Row],[Lift  ]]),ISNUMBER(Table1[[#This Row],[Plan lift, %]]),Table1[[#This Row],[Plan lift, %]]&lt;&gt;0),Table1[[#This Row],[Lift  ]]-Table1[[#This Row],[Plan lift, %]],"")</f>
        <v/>
      </c>
      <c r="AK37" s="116"/>
    </row>
    <row r="38" spans="1:39" x14ac:dyDescent="0.35">
      <c r="A38" t="s">
        <v>1212</v>
      </c>
      <c r="B38" s="12">
        <v>1399</v>
      </c>
      <c r="C38" s="21" t="s">
        <v>244</v>
      </c>
      <c r="D38" s="13" t="s">
        <v>1232</v>
      </c>
      <c r="F38" s="21" t="s">
        <v>317</v>
      </c>
      <c r="G38" t="s">
        <v>60</v>
      </c>
      <c r="H38" s="14">
        <v>46235</v>
      </c>
      <c r="I38" s="14">
        <v>46262</v>
      </c>
      <c r="J38" s="13" t="s">
        <v>29</v>
      </c>
      <c r="L38" s="2">
        <v>27315.200000000001</v>
      </c>
      <c r="M38" s="2">
        <v>6208</v>
      </c>
      <c r="N38" s="2">
        <v>7449.6</v>
      </c>
      <c r="O38" s="2">
        <v>13657.6</v>
      </c>
      <c r="P38" s="3">
        <v>1.2</v>
      </c>
      <c r="Q38" s="3"/>
      <c r="R38" s="2">
        <v>0</v>
      </c>
      <c r="S38" s="3">
        <v>0</v>
      </c>
      <c r="T38" s="2">
        <v>0</v>
      </c>
      <c r="U38" s="13" t="s">
        <v>25</v>
      </c>
      <c r="V38" s="13" t="str">
        <f t="shared" si="3"/>
        <v>No</v>
      </c>
      <c r="W38" s="13" t="str">
        <f t="shared" si="3"/>
        <v>Yes</v>
      </c>
      <c r="X38" s="13" t="str">
        <f t="shared" si="3"/>
        <v>No</v>
      </c>
      <c r="Y38" s="13" t="str">
        <f t="shared" si="3"/>
        <v>No</v>
      </c>
      <c r="Z38" s="13" t="str">
        <f t="shared" si="3"/>
        <v>No</v>
      </c>
      <c r="AA38" s="71" t="e">
        <f>+(Table1[[#This Row],[Everyday price]]-Table1[[#This Row],[Promo Price]])/Table1[[#This Row],[Everyday price]]</f>
        <v>#DIV/0!</v>
      </c>
      <c r="AC38" s="69"/>
      <c r="AH38" s="6"/>
      <c r="AI38" s="11"/>
      <c r="AJ38" s="11" t="str">
        <f>IF(AND(ISNUMBER(Table1[[#This Row],[Lift  ]]),ISNUMBER(Table1[[#This Row],[Plan lift, %]]),Table1[[#This Row],[Plan lift, %]]&lt;&gt;0),Table1[[#This Row],[Lift  ]]-Table1[[#This Row],[Plan lift, %]],"")</f>
        <v/>
      </c>
      <c r="AK38" s="116"/>
    </row>
    <row r="39" spans="1:39" x14ac:dyDescent="0.35">
      <c r="A39" t="s">
        <v>902</v>
      </c>
      <c r="B39" s="12">
        <v>1397</v>
      </c>
      <c r="C39" s="21" t="s">
        <v>244</v>
      </c>
      <c r="D39" s="13" t="s">
        <v>1232</v>
      </c>
      <c r="F39" s="21" t="s">
        <v>903</v>
      </c>
      <c r="G39" t="s">
        <v>44</v>
      </c>
      <c r="H39" s="14">
        <v>46266</v>
      </c>
      <c r="I39" s="14">
        <v>46293</v>
      </c>
      <c r="J39" s="13" t="s">
        <v>29</v>
      </c>
      <c r="L39" s="2">
        <v>256.22000000000003</v>
      </c>
      <c r="M39" s="2">
        <v>6208</v>
      </c>
      <c r="N39" s="2">
        <v>310.39999999999998</v>
      </c>
      <c r="O39" s="2">
        <v>6518.4</v>
      </c>
      <c r="P39" s="3">
        <v>0.05</v>
      </c>
      <c r="Q39" s="3"/>
      <c r="R39" s="2">
        <v>0</v>
      </c>
      <c r="S39" s="3">
        <v>0</v>
      </c>
      <c r="T39" s="2">
        <v>0</v>
      </c>
      <c r="U39" s="13" t="s">
        <v>53</v>
      </c>
      <c r="V39" s="13" t="str">
        <f t="shared" si="3"/>
        <v>No</v>
      </c>
      <c r="W39" s="13" t="str">
        <f t="shared" si="3"/>
        <v>No</v>
      </c>
      <c r="X39" s="13" t="str">
        <f t="shared" si="3"/>
        <v>No</v>
      </c>
      <c r="Y39" s="13" t="str">
        <f t="shared" si="3"/>
        <v>Yes</v>
      </c>
      <c r="Z39" s="13" t="str">
        <f t="shared" si="3"/>
        <v>No</v>
      </c>
      <c r="AA39" s="71" t="e">
        <f>+(Table1[[#This Row],[Everyday price]]-Table1[[#This Row],[Promo Price]])/Table1[[#This Row],[Everyday price]]</f>
        <v>#DIV/0!</v>
      </c>
      <c r="AC39" s="69"/>
      <c r="AH39" s="6"/>
      <c r="AI39" s="11"/>
      <c r="AJ39" s="11" t="str">
        <f>IF(AND(ISNUMBER(Table1[[#This Row],[Lift  ]]),ISNUMBER(Table1[[#This Row],[Plan lift, %]]),Table1[[#This Row],[Plan lift, %]]&lt;&gt;0),Table1[[#This Row],[Lift  ]]-Table1[[#This Row],[Plan lift, %]],"")</f>
        <v/>
      </c>
      <c r="AK39" s="116"/>
    </row>
    <row r="40" spans="1:39" x14ac:dyDescent="0.35">
      <c r="A40" t="s">
        <v>287</v>
      </c>
      <c r="B40" s="12">
        <v>1400</v>
      </c>
      <c r="C40" s="21" t="s">
        <v>244</v>
      </c>
      <c r="D40" s="13" t="s">
        <v>1232</v>
      </c>
      <c r="F40" s="21" t="s">
        <v>143</v>
      </c>
      <c r="G40" t="s">
        <v>44</v>
      </c>
      <c r="H40" s="14">
        <v>46296</v>
      </c>
      <c r="I40" s="14">
        <v>46323</v>
      </c>
      <c r="J40" s="13" t="s">
        <v>29</v>
      </c>
      <c r="L40" s="2">
        <v>10864</v>
      </c>
      <c r="M40" s="2">
        <v>6208</v>
      </c>
      <c r="N40" s="2">
        <v>4656</v>
      </c>
      <c r="O40" s="2">
        <v>10864</v>
      </c>
      <c r="P40" s="3">
        <v>0.75</v>
      </c>
      <c r="Q40" s="3"/>
      <c r="R40" s="2">
        <v>0</v>
      </c>
      <c r="S40" s="3">
        <v>0</v>
      </c>
      <c r="T40" s="2">
        <v>0</v>
      </c>
      <c r="U40" s="13" t="s">
        <v>25</v>
      </c>
      <c r="V40" s="13" t="str">
        <f t="shared" si="3"/>
        <v>No</v>
      </c>
      <c r="W40" s="13" t="str">
        <f t="shared" si="3"/>
        <v>Yes</v>
      </c>
      <c r="X40" s="13" t="str">
        <f t="shared" si="3"/>
        <v>No</v>
      </c>
      <c r="Y40" s="13" t="str">
        <f t="shared" si="3"/>
        <v>No</v>
      </c>
      <c r="Z40" s="13" t="str">
        <f t="shared" si="3"/>
        <v>No</v>
      </c>
      <c r="AA40" s="71" t="e">
        <f>+(Table1[[#This Row],[Everyday price]]-Table1[[#This Row],[Promo Price]])/Table1[[#This Row],[Everyday price]]</f>
        <v>#DIV/0!</v>
      </c>
      <c r="AC40" s="69"/>
      <c r="AH40" s="6"/>
      <c r="AI40" s="11"/>
      <c r="AJ40" s="11" t="str">
        <f>IF(AND(ISNUMBER(Table1[[#This Row],[Lift  ]]),ISNUMBER(Table1[[#This Row],[Plan lift, %]]),Table1[[#This Row],[Plan lift, %]]&lt;&gt;0),Table1[[#This Row],[Lift  ]]-Table1[[#This Row],[Plan lift, %]],"")</f>
        <v/>
      </c>
      <c r="AK40" s="116"/>
    </row>
    <row r="41" spans="1:39" x14ac:dyDescent="0.35">
      <c r="A41" t="s">
        <v>123</v>
      </c>
      <c r="B41" s="12">
        <v>1538</v>
      </c>
      <c r="C41" s="21" t="s">
        <v>124</v>
      </c>
      <c r="D41" s="13" t="s">
        <v>1232</v>
      </c>
      <c r="F41" s="21" t="s">
        <v>125</v>
      </c>
      <c r="G41" t="s">
        <v>23</v>
      </c>
      <c r="H41" s="14">
        <v>46050</v>
      </c>
      <c r="I41" s="14">
        <v>46084</v>
      </c>
      <c r="J41" s="13" t="s">
        <v>29</v>
      </c>
      <c r="L41" s="2">
        <v>209.55</v>
      </c>
      <c r="M41" s="2">
        <v>190.5</v>
      </c>
      <c r="N41" s="2">
        <v>19.05</v>
      </c>
      <c r="O41" s="2">
        <v>209.55</v>
      </c>
      <c r="P41" s="3">
        <v>0.1</v>
      </c>
      <c r="Q41" s="3"/>
      <c r="R41" s="2">
        <v>0</v>
      </c>
      <c r="S41" s="3">
        <v>0</v>
      </c>
      <c r="T41" s="2">
        <v>0</v>
      </c>
      <c r="U41" s="13" t="s">
        <v>25</v>
      </c>
      <c r="V41" s="13" t="str">
        <f t="shared" si="3"/>
        <v>No</v>
      </c>
      <c r="W41" s="13" t="str">
        <f t="shared" si="3"/>
        <v>Yes</v>
      </c>
      <c r="X41" s="13" t="str">
        <f t="shared" si="3"/>
        <v>No</v>
      </c>
      <c r="Y41" s="13" t="str">
        <f t="shared" si="3"/>
        <v>No</v>
      </c>
      <c r="Z41" s="13" t="str">
        <f t="shared" si="3"/>
        <v>No</v>
      </c>
      <c r="AA41" s="71" t="e">
        <f>+(Table1[[#This Row],[Everyday price]]-Table1[[#This Row],[Promo Price]])/Table1[[#This Row],[Everyday price]]</f>
        <v>#DIV/0!</v>
      </c>
      <c r="AC41" s="69"/>
      <c r="AH41" s="6"/>
      <c r="AI41" s="11"/>
      <c r="AJ41" s="11" t="str">
        <f>IF(AND(ISNUMBER(Table1[[#This Row],[Lift  ]]),ISNUMBER(Table1[[#This Row],[Plan lift, %]]),Table1[[#This Row],[Plan lift, %]]&lt;&gt;0),Table1[[#This Row],[Lift  ]]-Table1[[#This Row],[Plan lift, %]],"")</f>
        <v/>
      </c>
      <c r="AK41" s="116"/>
    </row>
    <row r="42" spans="1:39" x14ac:dyDescent="0.35">
      <c r="A42" t="s">
        <v>751</v>
      </c>
      <c r="B42" s="12">
        <v>1452</v>
      </c>
      <c r="C42" s="21" t="s">
        <v>51</v>
      </c>
      <c r="D42" s="13" t="s">
        <v>1232</v>
      </c>
      <c r="F42" s="21" t="s">
        <v>125</v>
      </c>
      <c r="G42" t="s">
        <v>23</v>
      </c>
      <c r="H42" s="14">
        <v>46050</v>
      </c>
      <c r="I42" s="14">
        <v>46084</v>
      </c>
      <c r="J42" s="13" t="s">
        <v>29</v>
      </c>
      <c r="L42" s="2">
        <v>13793.85</v>
      </c>
      <c r="M42" s="2">
        <v>9513</v>
      </c>
      <c r="N42" s="2">
        <v>4280.8500000000004</v>
      </c>
      <c r="O42" s="2">
        <v>13793.85</v>
      </c>
      <c r="P42" s="3">
        <v>0.45</v>
      </c>
      <c r="Q42" s="3"/>
      <c r="R42" s="2">
        <v>8949.6200000000008</v>
      </c>
      <c r="S42" s="3">
        <v>4.18</v>
      </c>
      <c r="T42" s="2">
        <v>11090.85</v>
      </c>
      <c r="U42" s="13" t="s">
        <v>25</v>
      </c>
      <c r="V42" s="13" t="str">
        <f t="shared" ref="V42:Z51" si="4">IF(ISNUMBER(SEARCH(V$1,$U42)),"Yes","No")</f>
        <v>No</v>
      </c>
      <c r="W42" s="13" t="str">
        <f t="shared" si="4"/>
        <v>Yes</v>
      </c>
      <c r="X42" s="13" t="str">
        <f t="shared" si="4"/>
        <v>No</v>
      </c>
      <c r="Y42" s="13" t="str">
        <f t="shared" si="4"/>
        <v>No</v>
      </c>
      <c r="Z42" s="13" t="str">
        <f t="shared" si="4"/>
        <v>No</v>
      </c>
      <c r="AA42" s="71" t="e">
        <f>+(Table1[[#This Row],[Everyday price]]-Table1[[#This Row],[Promo Price]])/Table1[[#This Row],[Everyday price]]</f>
        <v>#DIV/0!</v>
      </c>
      <c r="AC42" s="69"/>
      <c r="AH42" s="6"/>
      <c r="AI42" s="11"/>
      <c r="AJ42" s="11" t="str">
        <f>IF(AND(ISNUMBER(Table1[[#This Row],[Lift  ]]),ISNUMBER(Table1[[#This Row],[Plan lift, %]]),Table1[[#This Row],[Plan lift, %]]&lt;&gt;0),Table1[[#This Row],[Lift  ]]-Table1[[#This Row],[Plan lift, %]],"")</f>
        <v/>
      </c>
      <c r="AK42" s="116"/>
    </row>
    <row r="43" spans="1:39" x14ac:dyDescent="0.35">
      <c r="A43" t="s">
        <v>679</v>
      </c>
      <c r="B43" s="12">
        <v>1453</v>
      </c>
      <c r="C43" s="21" t="s">
        <v>51</v>
      </c>
      <c r="D43" s="13" t="s">
        <v>1232</v>
      </c>
      <c r="F43" s="21" t="s">
        <v>187</v>
      </c>
      <c r="G43" t="s">
        <v>23</v>
      </c>
      <c r="H43" s="14">
        <v>46085</v>
      </c>
      <c r="I43" s="14">
        <v>46112</v>
      </c>
      <c r="J43" s="13" t="s">
        <v>29</v>
      </c>
      <c r="L43" s="2">
        <v>10654.56</v>
      </c>
      <c r="M43" s="2">
        <v>7610.4</v>
      </c>
      <c r="N43" s="2">
        <v>3044.16</v>
      </c>
      <c r="O43" s="2">
        <v>10654.56</v>
      </c>
      <c r="P43" s="3">
        <v>0.4</v>
      </c>
      <c r="Q43" s="3"/>
      <c r="R43" s="2">
        <v>3051.28</v>
      </c>
      <c r="S43" s="3">
        <v>0.44</v>
      </c>
      <c r="T43" s="2">
        <v>10040.879999999999</v>
      </c>
      <c r="U43" s="13" t="s">
        <v>25</v>
      </c>
      <c r="V43" s="13" t="str">
        <f t="shared" si="4"/>
        <v>No</v>
      </c>
      <c r="W43" s="13" t="str">
        <f t="shared" si="4"/>
        <v>Yes</v>
      </c>
      <c r="X43" s="13" t="str">
        <f t="shared" si="4"/>
        <v>No</v>
      </c>
      <c r="Y43" s="13" t="str">
        <f t="shared" si="4"/>
        <v>No</v>
      </c>
      <c r="Z43" s="13" t="str">
        <f t="shared" si="4"/>
        <v>No</v>
      </c>
      <c r="AA43" s="71" t="e">
        <f>+(Table1[[#This Row],[Everyday price]]-Table1[[#This Row],[Promo Price]])/Table1[[#This Row],[Everyday price]]</f>
        <v>#DIV/0!</v>
      </c>
      <c r="AC43" s="69"/>
      <c r="AH43" s="6"/>
      <c r="AI43" s="11"/>
      <c r="AJ43" s="11" t="str">
        <f>IF(AND(ISNUMBER(Table1[[#This Row],[Lift  ]]),ISNUMBER(Table1[[#This Row],[Plan lift, %]]),Table1[[#This Row],[Plan lift, %]]&lt;&gt;0),Table1[[#This Row],[Lift  ]]-Table1[[#This Row],[Plan lift, %]],"")</f>
        <v/>
      </c>
      <c r="AK43" s="116"/>
    </row>
    <row r="44" spans="1:39" x14ac:dyDescent="0.35">
      <c r="A44" t="s">
        <v>1093</v>
      </c>
      <c r="B44" s="12">
        <v>1457</v>
      </c>
      <c r="C44" s="21" t="s">
        <v>51</v>
      </c>
      <c r="D44" s="13" t="s">
        <v>1232</v>
      </c>
      <c r="F44" s="21" t="s">
        <v>563</v>
      </c>
      <c r="G44" t="s">
        <v>23</v>
      </c>
      <c r="H44" s="14">
        <v>46113</v>
      </c>
      <c r="I44" s="14">
        <v>46140</v>
      </c>
      <c r="J44" s="13" t="s">
        <v>29</v>
      </c>
      <c r="L44" s="2">
        <v>375.38</v>
      </c>
      <c r="M44" s="2">
        <v>7150.41</v>
      </c>
      <c r="N44" s="2">
        <v>357.52</v>
      </c>
      <c r="O44" s="2">
        <v>7507.93</v>
      </c>
      <c r="P44" s="3">
        <v>0.05</v>
      </c>
      <c r="Q44" s="3"/>
      <c r="R44" s="2">
        <v>754.29</v>
      </c>
      <c r="S44" s="3">
        <v>0.1</v>
      </c>
      <c r="T44" s="2">
        <v>8056.99</v>
      </c>
      <c r="U44" s="13" t="s">
        <v>53</v>
      </c>
      <c r="V44" s="13" t="str">
        <f t="shared" si="4"/>
        <v>No</v>
      </c>
      <c r="W44" s="13" t="str">
        <f t="shared" si="4"/>
        <v>No</v>
      </c>
      <c r="X44" s="13" t="str">
        <f t="shared" si="4"/>
        <v>No</v>
      </c>
      <c r="Y44" s="13" t="str">
        <f t="shared" si="4"/>
        <v>Yes</v>
      </c>
      <c r="Z44" s="13" t="str">
        <f t="shared" si="4"/>
        <v>No</v>
      </c>
      <c r="AA44" s="71" t="e">
        <f>+(Table1[[#This Row],[Everyday price]]-Table1[[#This Row],[Promo Price]])/Table1[[#This Row],[Everyday price]]</f>
        <v>#DIV/0!</v>
      </c>
      <c r="AC44" s="69"/>
      <c r="AH44" s="6"/>
      <c r="AI44" s="11"/>
      <c r="AJ44" s="11" t="str">
        <f>IF(AND(ISNUMBER(Table1[[#This Row],[Lift  ]]),ISNUMBER(Table1[[#This Row],[Plan lift, %]]),Table1[[#This Row],[Plan lift, %]]&lt;&gt;0),Table1[[#This Row],[Lift  ]]-Table1[[#This Row],[Plan lift, %]],"")</f>
        <v/>
      </c>
      <c r="AK44" s="116"/>
    </row>
    <row r="45" spans="1:39" x14ac:dyDescent="0.35">
      <c r="A45" t="s">
        <v>484</v>
      </c>
      <c r="B45" s="12">
        <v>1454</v>
      </c>
      <c r="C45" s="21" t="s">
        <v>51</v>
      </c>
      <c r="D45" s="13" t="s">
        <v>1232</v>
      </c>
      <c r="F45" s="21" t="s">
        <v>107</v>
      </c>
      <c r="G45" t="s">
        <v>23</v>
      </c>
      <c r="H45" s="14">
        <v>46141</v>
      </c>
      <c r="I45" s="14">
        <v>46168</v>
      </c>
      <c r="J45" s="13" t="s">
        <v>29</v>
      </c>
      <c r="L45" s="2">
        <v>11104.38</v>
      </c>
      <c r="M45" s="2">
        <v>7050.4</v>
      </c>
      <c r="N45" s="2">
        <v>3525.2</v>
      </c>
      <c r="O45" s="2">
        <v>10575.6</v>
      </c>
      <c r="P45" s="3">
        <v>0.5</v>
      </c>
      <c r="Q45" s="3"/>
      <c r="R45" s="2">
        <v>1390.32</v>
      </c>
      <c r="S45" s="3">
        <v>0.19</v>
      </c>
      <c r="T45" s="2">
        <v>8719.7199999999993</v>
      </c>
      <c r="U45" s="13" t="s">
        <v>108</v>
      </c>
      <c r="V45" s="13" t="str">
        <f t="shared" si="4"/>
        <v>No</v>
      </c>
      <c r="W45" s="13" t="str">
        <f t="shared" si="4"/>
        <v>Yes</v>
      </c>
      <c r="X45" s="13" t="str">
        <f t="shared" si="4"/>
        <v>No</v>
      </c>
      <c r="Y45" s="13" t="str">
        <f t="shared" si="4"/>
        <v>Yes</v>
      </c>
      <c r="Z45" s="13" t="str">
        <f t="shared" si="4"/>
        <v>No</v>
      </c>
      <c r="AA45" s="71" t="e">
        <f>+(Table1[[#This Row],[Everyday price]]-Table1[[#This Row],[Promo Price]])/Table1[[#This Row],[Everyday price]]</f>
        <v>#DIV/0!</v>
      </c>
      <c r="AC45" s="69"/>
      <c r="AH45" s="6"/>
      <c r="AI45" s="11"/>
      <c r="AJ45" s="11" t="str">
        <f>IF(AND(ISNUMBER(Table1[[#This Row],[Lift  ]]),ISNUMBER(Table1[[#This Row],[Plan lift, %]]),Table1[[#This Row],[Plan lift, %]]&lt;&gt;0),Table1[[#This Row],[Lift  ]]-Table1[[#This Row],[Plan lift, %]],"")</f>
        <v/>
      </c>
      <c r="AK45" s="116"/>
    </row>
    <row r="46" spans="1:39" x14ac:dyDescent="0.35">
      <c r="A46" t="s">
        <v>1163</v>
      </c>
      <c r="B46" s="12" t="s">
        <v>1688</v>
      </c>
      <c r="C46" s="21" t="s">
        <v>51</v>
      </c>
      <c r="D46" s="13" t="s">
        <v>1232</v>
      </c>
      <c r="F46" s="21" t="s">
        <v>154</v>
      </c>
      <c r="G46" t="s">
        <v>23</v>
      </c>
      <c r="H46" s="14">
        <v>46204</v>
      </c>
      <c r="I46" s="14">
        <v>46231</v>
      </c>
      <c r="J46" s="13" t="s">
        <v>24</v>
      </c>
      <c r="L46" s="2">
        <v>3840</v>
      </c>
      <c r="M46" s="2">
        <v>288</v>
      </c>
      <c r="N46" s="2">
        <v>172.8</v>
      </c>
      <c r="O46" s="2">
        <v>460.8</v>
      </c>
      <c r="P46" s="3">
        <v>0.6</v>
      </c>
      <c r="Q46" s="3"/>
      <c r="R46" s="2">
        <v>0.35</v>
      </c>
      <c r="S46" s="3">
        <v>0.08</v>
      </c>
      <c r="T46" s="2">
        <v>4.8499999999999996</v>
      </c>
      <c r="U46" s="13" t="s">
        <v>25</v>
      </c>
      <c r="V46" s="13" t="str">
        <f t="shared" si="4"/>
        <v>No</v>
      </c>
      <c r="W46" s="13" t="str">
        <f t="shared" si="4"/>
        <v>Yes</v>
      </c>
      <c r="X46" s="13" t="str">
        <f t="shared" si="4"/>
        <v>No</v>
      </c>
      <c r="Y46" s="13" t="str">
        <f t="shared" si="4"/>
        <v>No</v>
      </c>
      <c r="Z46" s="13" t="str">
        <f t="shared" si="4"/>
        <v>No</v>
      </c>
      <c r="AA46" s="71" t="e">
        <f>+(Table1[[#This Row],[Everyday price]]-Table1[[#This Row],[Promo Price]])/Table1[[#This Row],[Everyday price]]</f>
        <v>#DIV/0!</v>
      </c>
      <c r="AC46" s="69"/>
      <c r="AH46" s="6"/>
      <c r="AI46" s="11"/>
      <c r="AJ46" s="11" t="str">
        <f>IF(AND(ISNUMBER(Table1[[#This Row],[Lift  ]]),ISNUMBER(Table1[[#This Row],[Plan lift, %]]),Table1[[#This Row],[Plan lift, %]]&lt;&gt;0),Table1[[#This Row],[Lift  ]]-Table1[[#This Row],[Plan lift, %]],"")</f>
        <v/>
      </c>
      <c r="AK46" s="116"/>
    </row>
    <row r="47" spans="1:39" x14ac:dyDescent="0.35">
      <c r="A47" t="s">
        <v>1163</v>
      </c>
      <c r="B47" s="12" t="s">
        <v>1689</v>
      </c>
      <c r="C47" s="21" t="s">
        <v>51</v>
      </c>
      <c r="D47" s="13" t="s">
        <v>1232</v>
      </c>
      <c r="F47" s="21" t="s">
        <v>154</v>
      </c>
      <c r="G47" t="s">
        <v>23</v>
      </c>
      <c r="H47" s="14">
        <v>46204</v>
      </c>
      <c r="I47" s="14">
        <v>46231</v>
      </c>
      <c r="J47" s="13" t="s">
        <v>29</v>
      </c>
      <c r="L47" s="2">
        <v>11280.64</v>
      </c>
      <c r="M47" s="2">
        <v>7050.4</v>
      </c>
      <c r="N47" s="2">
        <v>4230.24</v>
      </c>
      <c r="O47" s="2">
        <v>11280.64</v>
      </c>
      <c r="P47" s="3">
        <v>0.6</v>
      </c>
      <c r="Q47" s="3"/>
      <c r="R47" s="2">
        <v>1161.93</v>
      </c>
      <c r="S47" s="3">
        <v>0.51</v>
      </c>
      <c r="T47" s="2">
        <v>3428.42</v>
      </c>
      <c r="U47" s="13" t="s">
        <v>25</v>
      </c>
      <c r="V47" s="13" t="str">
        <f t="shared" si="4"/>
        <v>No</v>
      </c>
      <c r="W47" s="13" t="str">
        <f t="shared" si="4"/>
        <v>Yes</v>
      </c>
      <c r="X47" s="13" t="str">
        <f t="shared" si="4"/>
        <v>No</v>
      </c>
      <c r="Y47" s="13" t="str">
        <f t="shared" si="4"/>
        <v>No</v>
      </c>
      <c r="Z47" s="13" t="str">
        <f t="shared" si="4"/>
        <v>No</v>
      </c>
      <c r="AA47" s="71" t="e">
        <f>+(Table1[[#This Row],[Everyday price]]-Table1[[#This Row],[Promo Price]])/Table1[[#This Row],[Everyday price]]</f>
        <v>#DIV/0!</v>
      </c>
      <c r="AC47" s="69"/>
      <c r="AH47" s="6"/>
      <c r="AI47" s="11"/>
      <c r="AJ47" s="11" t="str">
        <f>IF(AND(ISNUMBER(Table1[[#This Row],[Lift  ]]),ISNUMBER(Table1[[#This Row],[Plan lift, %]]),Table1[[#This Row],[Plan lift, %]]&lt;&gt;0),Table1[[#This Row],[Lift  ]]-Table1[[#This Row],[Plan lift, %]],"")</f>
        <v/>
      </c>
      <c r="AK47" s="116"/>
    </row>
    <row r="48" spans="1:39" x14ac:dyDescent="0.35">
      <c r="A48" t="s">
        <v>794</v>
      </c>
      <c r="B48" s="12">
        <v>1458</v>
      </c>
      <c r="C48" s="21" t="s">
        <v>51</v>
      </c>
      <c r="D48" s="13" t="s">
        <v>1232</v>
      </c>
      <c r="F48" s="21" t="s">
        <v>317</v>
      </c>
      <c r="G48" t="s">
        <v>60</v>
      </c>
      <c r="H48" s="14">
        <v>46235</v>
      </c>
      <c r="I48" s="14">
        <v>46262</v>
      </c>
      <c r="J48" s="13" t="s">
        <v>29</v>
      </c>
      <c r="L48" s="2">
        <v>24676.400000000001</v>
      </c>
      <c r="M48" s="2">
        <v>7050.4</v>
      </c>
      <c r="N48" s="2">
        <v>5287.8</v>
      </c>
      <c r="O48" s="2">
        <v>12338.2</v>
      </c>
      <c r="P48" s="3">
        <v>0.75</v>
      </c>
      <c r="Q48" s="3"/>
      <c r="R48" s="2">
        <v>0</v>
      </c>
      <c r="S48" s="3">
        <v>0</v>
      </c>
      <c r="T48" s="2">
        <v>0</v>
      </c>
      <c r="U48" s="13" t="s">
        <v>25</v>
      </c>
      <c r="V48" s="13" t="str">
        <f t="shared" si="4"/>
        <v>No</v>
      </c>
      <c r="W48" s="13" t="str">
        <f t="shared" si="4"/>
        <v>Yes</v>
      </c>
      <c r="X48" s="13" t="str">
        <f t="shared" si="4"/>
        <v>No</v>
      </c>
      <c r="Y48" s="13" t="str">
        <f t="shared" si="4"/>
        <v>No</v>
      </c>
      <c r="Z48" s="13" t="str">
        <f t="shared" si="4"/>
        <v>No</v>
      </c>
      <c r="AA48" s="71" t="e">
        <f>+(Table1[[#This Row],[Everyday price]]-Table1[[#This Row],[Promo Price]])/Table1[[#This Row],[Everyday price]]</f>
        <v>#DIV/0!</v>
      </c>
      <c r="AC48" s="69"/>
      <c r="AH48" s="6"/>
      <c r="AI48" s="11"/>
      <c r="AJ48" s="11" t="str">
        <f>IF(AND(ISNUMBER(Table1[[#This Row],[Lift  ]]),ISNUMBER(Table1[[#This Row],[Plan lift, %]]),Table1[[#This Row],[Plan lift, %]]&lt;&gt;0),Table1[[#This Row],[Lift  ]]-Table1[[#This Row],[Plan lift, %]],"")</f>
        <v/>
      </c>
      <c r="AK48" s="116"/>
    </row>
    <row r="49" spans="1:39" x14ac:dyDescent="0.35">
      <c r="A49" t="s">
        <v>50</v>
      </c>
      <c r="B49" s="12">
        <v>1456</v>
      </c>
      <c r="C49" s="21" t="s">
        <v>51</v>
      </c>
      <c r="D49" s="13" t="s">
        <v>1232</v>
      </c>
      <c r="F49" s="21" t="s">
        <v>52</v>
      </c>
      <c r="G49" t="s">
        <v>44</v>
      </c>
      <c r="H49" s="14">
        <v>46266</v>
      </c>
      <c r="I49" s="14">
        <v>46293</v>
      </c>
      <c r="J49" s="13" t="s">
        <v>29</v>
      </c>
      <c r="L49" s="2">
        <v>370.15</v>
      </c>
      <c r="M49" s="2">
        <v>7050.4</v>
      </c>
      <c r="N49" s="2">
        <v>352.52</v>
      </c>
      <c r="O49" s="2">
        <v>7402.92</v>
      </c>
      <c r="P49" s="3">
        <v>0.05</v>
      </c>
      <c r="Q49" s="3"/>
      <c r="R49" s="2">
        <v>0</v>
      </c>
      <c r="S49" s="3">
        <v>0</v>
      </c>
      <c r="T49" s="2">
        <v>0</v>
      </c>
      <c r="U49" s="13" t="s">
        <v>53</v>
      </c>
      <c r="V49" s="13" t="str">
        <f t="shared" si="4"/>
        <v>No</v>
      </c>
      <c r="W49" s="13" t="str">
        <f t="shared" si="4"/>
        <v>No</v>
      </c>
      <c r="X49" s="13" t="str">
        <f t="shared" si="4"/>
        <v>No</v>
      </c>
      <c r="Y49" s="13" t="str">
        <f t="shared" si="4"/>
        <v>Yes</v>
      </c>
      <c r="Z49" s="13" t="str">
        <f t="shared" si="4"/>
        <v>No</v>
      </c>
      <c r="AA49" s="71" t="e">
        <f>+(Table1[[#This Row],[Everyday price]]-Table1[[#This Row],[Promo Price]])/Table1[[#This Row],[Everyday price]]</f>
        <v>#DIV/0!</v>
      </c>
      <c r="AC49" s="69"/>
      <c r="AH49" s="6"/>
      <c r="AI49" s="11"/>
      <c r="AJ49" s="11" t="str">
        <f>IF(AND(ISNUMBER(Table1[[#This Row],[Lift  ]]),ISNUMBER(Table1[[#This Row],[Plan lift, %]]),Table1[[#This Row],[Plan lift, %]]&lt;&gt;0),Table1[[#This Row],[Lift  ]]-Table1[[#This Row],[Plan lift, %]],"")</f>
        <v/>
      </c>
      <c r="AK49" s="116"/>
    </row>
    <row r="50" spans="1:39" x14ac:dyDescent="0.35">
      <c r="A50" t="s">
        <v>984</v>
      </c>
      <c r="B50" s="12">
        <v>1459</v>
      </c>
      <c r="C50" s="21" t="s">
        <v>51</v>
      </c>
      <c r="D50" s="13" t="s">
        <v>1232</v>
      </c>
      <c r="F50" s="21" t="s">
        <v>143</v>
      </c>
      <c r="G50" t="s">
        <v>44</v>
      </c>
      <c r="H50" s="14">
        <v>46296</v>
      </c>
      <c r="I50" s="14">
        <v>46323</v>
      </c>
      <c r="J50" s="13" t="s">
        <v>29</v>
      </c>
      <c r="L50" s="2">
        <v>10575.6</v>
      </c>
      <c r="M50" s="2">
        <v>7050.4</v>
      </c>
      <c r="N50" s="2">
        <v>3525.2</v>
      </c>
      <c r="O50" s="2">
        <v>10575.6</v>
      </c>
      <c r="P50" s="3">
        <v>0.5</v>
      </c>
      <c r="Q50" s="3"/>
      <c r="R50" s="2">
        <v>0</v>
      </c>
      <c r="S50" s="3">
        <v>0</v>
      </c>
      <c r="T50" s="2">
        <v>0</v>
      </c>
      <c r="U50" s="13" t="s">
        <v>25</v>
      </c>
      <c r="V50" s="13" t="str">
        <f t="shared" si="4"/>
        <v>No</v>
      </c>
      <c r="W50" s="13" t="str">
        <f t="shared" si="4"/>
        <v>Yes</v>
      </c>
      <c r="X50" s="13" t="str">
        <f t="shared" si="4"/>
        <v>No</v>
      </c>
      <c r="Y50" s="13" t="str">
        <f t="shared" si="4"/>
        <v>No</v>
      </c>
      <c r="Z50" s="13" t="str">
        <f t="shared" si="4"/>
        <v>No</v>
      </c>
      <c r="AA50" s="71" t="e">
        <f>+(Table1[[#This Row],[Everyday price]]-Table1[[#This Row],[Promo Price]])/Table1[[#This Row],[Everyday price]]</f>
        <v>#DIV/0!</v>
      </c>
      <c r="AC50" s="69"/>
      <c r="AH50" s="6"/>
      <c r="AI50" s="11"/>
      <c r="AJ50" s="11" t="str">
        <f>IF(AND(ISNUMBER(Table1[[#This Row],[Lift  ]]),ISNUMBER(Table1[[#This Row],[Plan lift, %]]),Table1[[#This Row],[Plan lift, %]]&lt;&gt;0),Table1[[#This Row],[Lift  ]]-Table1[[#This Row],[Plan lift, %]],"")</f>
        <v/>
      </c>
      <c r="AK50" s="116"/>
    </row>
    <row r="51" spans="1:39" x14ac:dyDescent="0.35">
      <c r="A51" t="s">
        <v>186</v>
      </c>
      <c r="B51" s="93">
        <v>1463</v>
      </c>
      <c r="C51" s="21" t="s">
        <v>27</v>
      </c>
      <c r="D51" s="13" t="s">
        <v>1232</v>
      </c>
      <c r="F51" s="21" t="s">
        <v>187</v>
      </c>
      <c r="G51" t="s">
        <v>23</v>
      </c>
      <c r="H51" s="14">
        <v>46085</v>
      </c>
      <c r="I51" s="14">
        <v>46112</v>
      </c>
      <c r="J51" s="13" t="s">
        <v>29</v>
      </c>
      <c r="L51" s="2">
        <v>11155.86</v>
      </c>
      <c r="M51" s="2">
        <v>8263.6</v>
      </c>
      <c r="N51" s="2">
        <v>2892.26</v>
      </c>
      <c r="O51" s="2">
        <v>11155.86</v>
      </c>
      <c r="P51" s="3">
        <v>0.35</v>
      </c>
      <c r="Q51" s="3"/>
      <c r="R51" s="2">
        <v>0</v>
      </c>
      <c r="S51" s="3">
        <v>0</v>
      </c>
      <c r="T51" s="2">
        <v>8560.119999999999</v>
      </c>
      <c r="U51" s="13" t="s">
        <v>25</v>
      </c>
      <c r="V51" s="13" t="str">
        <f t="shared" si="4"/>
        <v>No</v>
      </c>
      <c r="W51" s="13" t="str">
        <f t="shared" si="4"/>
        <v>Yes</v>
      </c>
      <c r="X51" s="13" t="str">
        <f t="shared" si="4"/>
        <v>No</v>
      </c>
      <c r="Y51" s="13" t="str">
        <f t="shared" si="4"/>
        <v>No</v>
      </c>
      <c r="Z51" s="13" t="str">
        <f t="shared" si="4"/>
        <v>No</v>
      </c>
      <c r="AA51" s="71">
        <f>+(Table1[[#This Row],[Everyday price]]-Table1[[#This Row],[Promo Price]])/Table1[[#This Row],[Everyday price]]</f>
        <v>7.5975359342915827E-2</v>
      </c>
      <c r="AB51" s="69">
        <v>9</v>
      </c>
      <c r="AC51" s="69">
        <v>9.74</v>
      </c>
      <c r="AD51" s="40" t="s">
        <v>1257</v>
      </c>
      <c r="AE51" s="5">
        <v>46083</v>
      </c>
      <c r="AF51" s="5">
        <v>46110</v>
      </c>
      <c r="AG51" s="20">
        <v>6228</v>
      </c>
      <c r="AH51" s="6">
        <v>2172</v>
      </c>
      <c r="AI51" s="11">
        <f>Table1[[#This Row],[Incremental Units]]/Table1[[#This Row],[Base Units]]</f>
        <v>0.34874759152215801</v>
      </c>
      <c r="AJ51" s="11">
        <f>IF(AND(ISNUMBER(Table1[[#This Row],[Lift  ]]),ISNUMBER(Table1[[#This Row],[Plan lift, %]]),Table1[[#This Row],[Plan lift, %]]&lt;&gt;0),Table1[[#This Row],[Lift  ]]-Table1[[#This Row],[Plan lift, %]],"")</f>
        <v>-1.2524084778419708E-3</v>
      </c>
      <c r="AK51" s="71"/>
      <c r="AL51" s="15" t="s">
        <v>1434</v>
      </c>
    </row>
    <row r="52" spans="1:39" x14ac:dyDescent="0.35">
      <c r="A52" t="s">
        <v>562</v>
      </c>
      <c r="B52" s="12">
        <v>1460</v>
      </c>
      <c r="C52" s="21" t="s">
        <v>27</v>
      </c>
      <c r="D52" s="13" t="s">
        <v>1232</v>
      </c>
      <c r="F52" s="21" t="s">
        <v>563</v>
      </c>
      <c r="G52" t="s">
        <v>23</v>
      </c>
      <c r="H52" s="14">
        <v>46113</v>
      </c>
      <c r="I52" s="14">
        <v>46140</v>
      </c>
      <c r="J52" s="13" t="s">
        <v>29</v>
      </c>
      <c r="L52" s="2">
        <v>373.91</v>
      </c>
      <c r="M52" s="2">
        <v>7122.14</v>
      </c>
      <c r="N52" s="2">
        <v>356.11</v>
      </c>
      <c r="O52" s="2">
        <v>7478.25</v>
      </c>
      <c r="P52" s="3">
        <v>0.05</v>
      </c>
      <c r="Q52" s="3"/>
      <c r="R52" s="2">
        <v>0</v>
      </c>
      <c r="S52" s="3">
        <v>0</v>
      </c>
      <c r="T52" s="2">
        <v>9739.43</v>
      </c>
      <c r="U52" s="13" t="s">
        <v>53</v>
      </c>
      <c r="V52" s="13" t="str">
        <f t="shared" ref="V52:Z61" si="5">IF(ISNUMBER(SEARCH(V$1,$U52)),"Yes","No")</f>
        <v>No</v>
      </c>
      <c r="W52" s="13" t="str">
        <f t="shared" si="5"/>
        <v>No</v>
      </c>
      <c r="X52" s="13" t="str">
        <f t="shared" si="5"/>
        <v>No</v>
      </c>
      <c r="Y52" s="13" t="str">
        <f t="shared" si="5"/>
        <v>Yes</v>
      </c>
      <c r="Z52" s="13" t="str">
        <f t="shared" si="5"/>
        <v>No</v>
      </c>
      <c r="AA52" s="71" t="e">
        <f>+(Table1[[#This Row],[Everyday price]]-Table1[[#This Row],[Promo Price]])/Table1[[#This Row],[Everyday price]]</f>
        <v>#DIV/0!</v>
      </c>
      <c r="AC52" s="69"/>
      <c r="AH52" s="6"/>
      <c r="AI52" s="11"/>
      <c r="AJ52" s="11" t="str">
        <f>IF(AND(ISNUMBER(Table1[[#This Row],[Lift  ]]),ISNUMBER(Table1[[#This Row],[Plan lift, %]]),Table1[[#This Row],[Plan lift, %]]&lt;&gt;0),Table1[[#This Row],[Lift  ]]-Table1[[#This Row],[Plan lift, %]],"")</f>
        <v/>
      </c>
      <c r="AK52" s="116"/>
      <c r="AM52" s="4" t="s">
        <v>1456</v>
      </c>
    </row>
    <row r="53" spans="1:39" x14ac:dyDescent="0.35">
      <c r="A53" t="s">
        <v>743</v>
      </c>
      <c r="B53" s="93">
        <v>1464</v>
      </c>
      <c r="C53" s="21" t="s">
        <v>27</v>
      </c>
      <c r="D53" s="13" t="s">
        <v>1232</v>
      </c>
      <c r="F53" s="21" t="s">
        <v>107</v>
      </c>
      <c r="G53" t="s">
        <v>23</v>
      </c>
      <c r="H53" s="14">
        <v>46141</v>
      </c>
      <c r="I53" s="14">
        <v>46148</v>
      </c>
      <c r="J53" s="13" t="s">
        <v>29</v>
      </c>
      <c r="L53" s="2">
        <v>2887.08</v>
      </c>
      <c r="M53" s="2">
        <v>1964</v>
      </c>
      <c r="N53" s="2">
        <v>785.6</v>
      </c>
      <c r="O53" s="2">
        <v>2749.6</v>
      </c>
      <c r="P53" s="3">
        <v>0.4</v>
      </c>
      <c r="Q53" s="3"/>
      <c r="R53" s="2">
        <v>0</v>
      </c>
      <c r="S53" s="3">
        <v>0</v>
      </c>
      <c r="T53" s="2">
        <v>3407.44</v>
      </c>
      <c r="U53" s="13" t="s">
        <v>108</v>
      </c>
      <c r="V53" s="13" t="str">
        <f t="shared" si="5"/>
        <v>No</v>
      </c>
      <c r="W53" s="13" t="str">
        <f t="shared" si="5"/>
        <v>Yes</v>
      </c>
      <c r="X53" s="13" t="str">
        <f t="shared" si="5"/>
        <v>No</v>
      </c>
      <c r="Y53" s="13" t="str">
        <f t="shared" si="5"/>
        <v>Yes</v>
      </c>
      <c r="Z53" s="13" t="str">
        <f t="shared" si="5"/>
        <v>No</v>
      </c>
      <c r="AA53" s="71">
        <f>+(Table1[[#This Row],[Everyday price]]-Table1[[#This Row],[Promo Price]])/Table1[[#This Row],[Everyday price]]</f>
        <v>9.631147540983602E-2</v>
      </c>
      <c r="AB53" s="69">
        <v>8.82</v>
      </c>
      <c r="AC53" s="69">
        <v>9.76</v>
      </c>
      <c r="AD53" s="40" t="s">
        <v>1257</v>
      </c>
      <c r="AE53" s="5">
        <v>46139</v>
      </c>
      <c r="AF53" s="5">
        <v>46166</v>
      </c>
      <c r="AG53" s="20">
        <v>8536</v>
      </c>
      <c r="AH53" s="6">
        <v>2277</v>
      </c>
      <c r="AI53" s="11">
        <f>Table1[[#This Row],[Incremental Units]]/Table1[[#This Row],[Base Units]]</f>
        <v>0.26675257731958762</v>
      </c>
      <c r="AJ53" s="11">
        <f>IF(AND(ISNUMBER(Table1[[#This Row],[Lift  ]]),ISNUMBER(Table1[[#This Row],[Plan lift, %]]),Table1[[#This Row],[Plan lift, %]]&lt;&gt;0),Table1[[#This Row],[Lift  ]]-Table1[[#This Row],[Plan lift, %]],"")</f>
        <v>-0.1332474226804124</v>
      </c>
      <c r="AK53" s="116"/>
      <c r="AL53" s="15" t="s">
        <v>1434</v>
      </c>
    </row>
    <row r="54" spans="1:39" x14ac:dyDescent="0.35">
      <c r="A54" t="s">
        <v>26</v>
      </c>
      <c r="B54" s="93">
        <v>1465</v>
      </c>
      <c r="C54" s="21" t="s">
        <v>27</v>
      </c>
      <c r="D54" s="13" t="s">
        <v>1232</v>
      </c>
      <c r="F54" s="21" t="s">
        <v>28</v>
      </c>
      <c r="G54" t="s">
        <v>23</v>
      </c>
      <c r="H54" s="14">
        <v>46204</v>
      </c>
      <c r="I54" s="14">
        <v>46231</v>
      </c>
      <c r="J54" s="13" t="s">
        <v>29</v>
      </c>
      <c r="L54" s="2">
        <v>9623.6</v>
      </c>
      <c r="M54" s="2">
        <v>6874</v>
      </c>
      <c r="N54" s="2">
        <v>2749.6</v>
      </c>
      <c r="O54" s="2">
        <v>9623.6</v>
      </c>
      <c r="P54" s="3">
        <v>0.4</v>
      </c>
      <c r="Q54" s="3"/>
      <c r="R54" s="2">
        <v>0</v>
      </c>
      <c r="S54" s="3">
        <v>0</v>
      </c>
      <c r="T54" s="2">
        <v>3789.85</v>
      </c>
      <c r="U54" s="13" t="s">
        <v>25</v>
      </c>
      <c r="V54" s="13" t="str">
        <f t="shared" si="5"/>
        <v>No</v>
      </c>
      <c r="W54" s="13" t="str">
        <f t="shared" si="5"/>
        <v>Yes</v>
      </c>
      <c r="X54" s="13" t="str">
        <f t="shared" si="5"/>
        <v>No</v>
      </c>
      <c r="Y54" s="13" t="str">
        <f t="shared" si="5"/>
        <v>No</v>
      </c>
      <c r="Z54" s="13" t="str">
        <f t="shared" si="5"/>
        <v>No</v>
      </c>
      <c r="AA54" s="71">
        <f>+(Table1[[#This Row],[Everyday price]]-Table1[[#This Row],[Promo Price]])/Table1[[#This Row],[Everyday price]]</f>
        <v>9.4377510040160761E-2</v>
      </c>
      <c r="AB54" s="69">
        <v>9.02</v>
      </c>
      <c r="AC54" s="69">
        <v>9.9600000000000009</v>
      </c>
      <c r="AD54" s="40" t="s">
        <v>1251</v>
      </c>
      <c r="AE54" s="76">
        <v>46195</v>
      </c>
      <c r="AF54" s="5">
        <v>46229</v>
      </c>
      <c r="AG54" s="20">
        <v>6848</v>
      </c>
      <c r="AH54" s="6">
        <v>4193</v>
      </c>
      <c r="AI54" s="11">
        <f>Table1[[#This Row],[Incremental Units]]/Table1[[#This Row],[Base Units]]</f>
        <v>0.61229556074766356</v>
      </c>
      <c r="AJ54" s="11">
        <f>IF(AND(ISNUMBER(Table1[[#This Row],[Lift  ]]),ISNUMBER(Table1[[#This Row],[Plan lift, %]]),Table1[[#This Row],[Plan lift, %]]&lt;&gt;0),Table1[[#This Row],[Lift  ]]-Table1[[#This Row],[Plan lift, %]],"")</f>
        <v>0.21229556074766354</v>
      </c>
      <c r="AK54" s="116"/>
      <c r="AL54" s="15" t="s">
        <v>1434</v>
      </c>
      <c r="AM54" s="4" t="s">
        <v>1457</v>
      </c>
    </row>
    <row r="55" spans="1:39" x14ac:dyDescent="0.35">
      <c r="A55" t="s">
        <v>1123</v>
      </c>
      <c r="B55" s="12">
        <v>1461</v>
      </c>
      <c r="C55" s="21" t="s">
        <v>27</v>
      </c>
      <c r="D55" s="13" t="s">
        <v>1232</v>
      </c>
      <c r="F55" s="21" t="s">
        <v>1124</v>
      </c>
      <c r="G55" t="s">
        <v>60</v>
      </c>
      <c r="H55" s="14">
        <v>46235</v>
      </c>
      <c r="I55" s="14">
        <v>46262</v>
      </c>
      <c r="J55" s="13" t="s">
        <v>29</v>
      </c>
      <c r="L55" s="2">
        <v>23371.599999999999</v>
      </c>
      <c r="M55" s="2">
        <v>6874</v>
      </c>
      <c r="N55" s="2">
        <v>4811.8</v>
      </c>
      <c r="O55" s="2">
        <v>11685.8</v>
      </c>
      <c r="P55" s="3">
        <v>0.7</v>
      </c>
      <c r="Q55" s="3"/>
      <c r="R55" s="2">
        <v>0</v>
      </c>
      <c r="S55" s="3">
        <v>0</v>
      </c>
      <c r="T55" s="2">
        <v>0</v>
      </c>
      <c r="U55" s="13" t="s">
        <v>25</v>
      </c>
      <c r="V55" s="13" t="str">
        <f t="shared" si="5"/>
        <v>No</v>
      </c>
      <c r="W55" s="13" t="str">
        <f t="shared" si="5"/>
        <v>Yes</v>
      </c>
      <c r="X55" s="13" t="str">
        <f t="shared" si="5"/>
        <v>No</v>
      </c>
      <c r="Y55" s="13" t="str">
        <f t="shared" si="5"/>
        <v>No</v>
      </c>
      <c r="Z55" s="13" t="str">
        <f t="shared" si="5"/>
        <v>No</v>
      </c>
      <c r="AA55" s="71" t="e">
        <f>+(Table1[[#This Row],[Everyday price]]-Table1[[#This Row],[Promo Price]])/Table1[[#This Row],[Everyday price]]</f>
        <v>#DIV/0!</v>
      </c>
      <c r="AC55" s="69"/>
      <c r="AH55" s="6"/>
      <c r="AI55" s="11"/>
      <c r="AJ55" s="116" t="str">
        <f>IF(AND(ISNUMBER(Table1[[#This Row],[Lift  ]]),ISNUMBER(Table1[[#This Row],[Plan lift, %]]),Table1[[#This Row],[Plan lift, %]]&lt;&gt;0),Table1[[#This Row],[Lift  ]]-Table1[[#This Row],[Plan lift, %]],"")</f>
        <v/>
      </c>
      <c r="AK55" s="116"/>
    </row>
    <row r="56" spans="1:39" x14ac:dyDescent="0.35">
      <c r="A56" t="s">
        <v>737</v>
      </c>
      <c r="B56" s="12">
        <v>1466</v>
      </c>
      <c r="C56" s="21" t="s">
        <v>27</v>
      </c>
      <c r="D56" s="13" t="s">
        <v>1232</v>
      </c>
      <c r="F56" s="21" t="s">
        <v>52</v>
      </c>
      <c r="G56" t="s">
        <v>44</v>
      </c>
      <c r="H56" s="14">
        <v>46266</v>
      </c>
      <c r="I56" s="14">
        <v>46293</v>
      </c>
      <c r="J56" s="13" t="s">
        <v>29</v>
      </c>
      <c r="L56" s="2">
        <v>360.89</v>
      </c>
      <c r="M56" s="2">
        <v>6874</v>
      </c>
      <c r="N56" s="2">
        <v>343.7</v>
      </c>
      <c r="O56" s="2">
        <v>7217.7</v>
      </c>
      <c r="P56" s="3">
        <v>0.05</v>
      </c>
      <c r="Q56" s="3"/>
      <c r="R56" s="2">
        <v>0</v>
      </c>
      <c r="S56" s="3">
        <v>0</v>
      </c>
      <c r="T56" s="2">
        <v>0</v>
      </c>
      <c r="U56" s="13" t="s">
        <v>53</v>
      </c>
      <c r="V56" s="13" t="str">
        <f t="shared" si="5"/>
        <v>No</v>
      </c>
      <c r="W56" s="13" t="str">
        <f t="shared" si="5"/>
        <v>No</v>
      </c>
      <c r="X56" s="13" t="str">
        <f t="shared" si="5"/>
        <v>No</v>
      </c>
      <c r="Y56" s="13" t="str">
        <f t="shared" si="5"/>
        <v>Yes</v>
      </c>
      <c r="Z56" s="13" t="str">
        <f t="shared" si="5"/>
        <v>No</v>
      </c>
      <c r="AA56" s="71" t="e">
        <f>+(Table1[[#This Row],[Everyday price]]-Table1[[#This Row],[Promo Price]])/Table1[[#This Row],[Everyday price]]</f>
        <v>#DIV/0!</v>
      </c>
      <c r="AC56" s="69"/>
      <c r="AH56" s="6"/>
      <c r="AI56" s="11"/>
      <c r="AJ56" s="116" t="str">
        <f>IF(AND(ISNUMBER(Table1[[#This Row],[Lift  ]]),ISNUMBER(Table1[[#This Row],[Plan lift, %]]),Table1[[#This Row],[Plan lift, %]]&lt;&gt;0),Table1[[#This Row],[Lift  ]]-Table1[[#This Row],[Plan lift, %]],"")</f>
        <v/>
      </c>
      <c r="AK56" s="116"/>
    </row>
    <row r="57" spans="1:39" x14ac:dyDescent="0.35">
      <c r="A57" t="s">
        <v>882</v>
      </c>
      <c r="B57" s="12">
        <v>1462</v>
      </c>
      <c r="C57" s="21" t="s">
        <v>27</v>
      </c>
      <c r="D57" s="13" t="s">
        <v>1232</v>
      </c>
      <c r="F57" s="21" t="s">
        <v>143</v>
      </c>
      <c r="G57" t="s">
        <v>44</v>
      </c>
      <c r="H57" s="14">
        <v>46296</v>
      </c>
      <c r="I57" s="14">
        <v>46323</v>
      </c>
      <c r="J57" s="13" t="s">
        <v>29</v>
      </c>
      <c r="L57" s="2">
        <v>9623.6</v>
      </c>
      <c r="M57" s="2">
        <v>6874</v>
      </c>
      <c r="N57" s="2">
        <v>2749.6</v>
      </c>
      <c r="O57" s="2">
        <v>9623.6</v>
      </c>
      <c r="P57" s="3">
        <v>0.4</v>
      </c>
      <c r="Q57" s="3"/>
      <c r="R57" s="2">
        <v>0</v>
      </c>
      <c r="S57" s="3">
        <v>0</v>
      </c>
      <c r="T57" s="2">
        <v>0</v>
      </c>
      <c r="U57" s="13" t="s">
        <v>25</v>
      </c>
      <c r="V57" s="13" t="str">
        <f t="shared" si="5"/>
        <v>No</v>
      </c>
      <c r="W57" s="13" t="str">
        <f t="shared" si="5"/>
        <v>Yes</v>
      </c>
      <c r="X57" s="13" t="str">
        <f t="shared" si="5"/>
        <v>No</v>
      </c>
      <c r="Y57" s="13" t="str">
        <f t="shared" si="5"/>
        <v>No</v>
      </c>
      <c r="Z57" s="13" t="str">
        <f t="shared" si="5"/>
        <v>No</v>
      </c>
      <c r="AA57" s="71" t="e">
        <f>+(Table1[[#This Row],[Everyday price]]-Table1[[#This Row],[Promo Price]])/Table1[[#This Row],[Everyday price]]</f>
        <v>#DIV/0!</v>
      </c>
      <c r="AC57" s="69"/>
      <c r="AH57" s="6"/>
      <c r="AI57" s="11"/>
      <c r="AJ57" s="116" t="str">
        <f>IF(AND(ISNUMBER(Table1[[#This Row],[Lift  ]]),ISNUMBER(Table1[[#This Row],[Plan lift, %]]),Table1[[#This Row],[Plan lift, %]]&lt;&gt;0),Table1[[#This Row],[Lift  ]]-Table1[[#This Row],[Plan lift, %]],"")</f>
        <v/>
      </c>
      <c r="AK57" s="116"/>
    </row>
    <row r="58" spans="1:39" x14ac:dyDescent="0.35">
      <c r="A58" t="s">
        <v>499</v>
      </c>
      <c r="B58" s="93">
        <v>1467</v>
      </c>
      <c r="C58" s="21" t="s">
        <v>141</v>
      </c>
      <c r="D58" s="13" t="s">
        <v>1232</v>
      </c>
      <c r="E58" t="s">
        <v>142</v>
      </c>
      <c r="F58" s="21" t="s">
        <v>125</v>
      </c>
      <c r="G58" t="s">
        <v>23</v>
      </c>
      <c r="H58" s="14">
        <v>46050</v>
      </c>
      <c r="I58" s="14">
        <v>46084</v>
      </c>
      <c r="J58" s="13" t="s">
        <v>29</v>
      </c>
      <c r="L58" s="2">
        <v>7160.38</v>
      </c>
      <c r="M58" s="2">
        <v>5507.99</v>
      </c>
      <c r="N58" s="2">
        <v>1652.39</v>
      </c>
      <c r="O58" s="2">
        <v>7160.38</v>
      </c>
      <c r="P58" s="3">
        <v>0.3</v>
      </c>
      <c r="Q58" s="3"/>
      <c r="R58" s="2">
        <v>2545.15</v>
      </c>
      <c r="S58" s="3">
        <v>0.49</v>
      </c>
      <c r="T58" s="2">
        <v>7687.86</v>
      </c>
      <c r="U58" s="13" t="s">
        <v>25</v>
      </c>
      <c r="V58" s="13" t="str">
        <f t="shared" si="5"/>
        <v>No</v>
      </c>
      <c r="W58" s="13" t="str">
        <f t="shared" si="5"/>
        <v>Yes</v>
      </c>
      <c r="X58" s="13" t="str">
        <f t="shared" si="5"/>
        <v>No</v>
      </c>
      <c r="Y58" s="13" t="str">
        <f t="shared" si="5"/>
        <v>No</v>
      </c>
      <c r="Z58" s="13" t="str">
        <f t="shared" si="5"/>
        <v>No</v>
      </c>
      <c r="AA58" s="71">
        <f>+(Table1[[#This Row],[Everyday price]]-Table1[[#This Row],[Promo Price]])/Table1[[#This Row],[Everyday price]]</f>
        <v>0.21957913998170178</v>
      </c>
      <c r="AB58" s="69">
        <v>8.5299999999999994</v>
      </c>
      <c r="AC58" s="69">
        <v>10.93</v>
      </c>
      <c r="AD58" s="40" t="s">
        <v>1257</v>
      </c>
      <c r="AE58" s="5">
        <v>46048</v>
      </c>
      <c r="AF58" s="5">
        <v>46089</v>
      </c>
      <c r="AG58" s="20">
        <v>6180</v>
      </c>
      <c r="AH58" s="6">
        <v>2940</v>
      </c>
      <c r="AI58" s="11">
        <f>Table1[[#This Row],[Incremental Units]]/Table1[[#This Row],[Base Units]]</f>
        <v>0.47572815533980584</v>
      </c>
      <c r="AJ58" s="116">
        <f>IF(AND(ISNUMBER(Table1[[#This Row],[Lift  ]]),ISNUMBER(Table1[[#This Row],[Plan lift, %]]),Table1[[#This Row],[Plan lift, %]]&lt;&gt;0),Table1[[#This Row],[Lift  ]]-Table1[[#This Row],[Plan lift, %]],"")</f>
        <v>0.17572815533980585</v>
      </c>
      <c r="AK58" s="116"/>
      <c r="AL58" s="15" t="s">
        <v>1434</v>
      </c>
      <c r="AM58" s="4" t="s">
        <v>1468</v>
      </c>
    </row>
    <row r="59" spans="1:39" x14ac:dyDescent="0.35">
      <c r="A59" t="s">
        <v>1083</v>
      </c>
      <c r="B59" s="93">
        <v>1468</v>
      </c>
      <c r="C59" s="21" t="s">
        <v>141</v>
      </c>
      <c r="D59" s="13" t="s">
        <v>1232</v>
      </c>
      <c r="E59" t="s">
        <v>142</v>
      </c>
      <c r="F59" s="21" t="s">
        <v>187</v>
      </c>
      <c r="G59" t="s">
        <v>23</v>
      </c>
      <c r="H59" s="14">
        <v>46085</v>
      </c>
      <c r="I59" s="14">
        <v>46112</v>
      </c>
      <c r="J59" s="13" t="s">
        <v>29</v>
      </c>
      <c r="L59" s="2">
        <v>6026.8</v>
      </c>
      <c r="M59" s="2">
        <v>4636</v>
      </c>
      <c r="N59" s="2">
        <v>1390.8</v>
      </c>
      <c r="O59" s="2">
        <v>6026.8</v>
      </c>
      <c r="P59" s="3">
        <v>0.3</v>
      </c>
      <c r="Q59" s="3"/>
      <c r="R59" s="2">
        <v>1000.93</v>
      </c>
      <c r="S59" s="3">
        <v>0.22</v>
      </c>
      <c r="T59" s="2">
        <v>5578.9999999999991</v>
      </c>
      <c r="U59" s="13" t="s">
        <v>25</v>
      </c>
      <c r="V59" s="13" t="str">
        <f t="shared" si="5"/>
        <v>No</v>
      </c>
      <c r="W59" s="13" t="str">
        <f t="shared" si="5"/>
        <v>Yes</v>
      </c>
      <c r="X59" s="13" t="str">
        <f t="shared" si="5"/>
        <v>No</v>
      </c>
      <c r="Y59" s="13" t="str">
        <f t="shared" si="5"/>
        <v>No</v>
      </c>
      <c r="Z59" s="13" t="str">
        <f t="shared" si="5"/>
        <v>No</v>
      </c>
      <c r="AA59" s="71">
        <f>+(Table1[[#This Row],[Everyday price]]-Table1[[#This Row],[Promo Price]])/Table1[[#This Row],[Everyday price]]</f>
        <v>0.10521140609636188</v>
      </c>
      <c r="AB59" s="69">
        <v>9.1</v>
      </c>
      <c r="AC59" s="69">
        <v>10.17</v>
      </c>
      <c r="AD59" s="40" t="s">
        <v>1257</v>
      </c>
      <c r="AE59" s="5">
        <v>46097</v>
      </c>
      <c r="AF59" s="5">
        <v>46110</v>
      </c>
      <c r="AG59" s="20">
        <v>2412</v>
      </c>
      <c r="AH59" s="6">
        <v>659</v>
      </c>
      <c r="AI59" s="11">
        <f>Table1[[#This Row],[Incremental Units]]/Table1[[#This Row],[Base Units]]</f>
        <v>0.27321724709784412</v>
      </c>
      <c r="AJ59" s="116">
        <f>IF(AND(ISNUMBER(Table1[[#This Row],[Lift  ]]),ISNUMBER(Table1[[#This Row],[Plan lift, %]]),Table1[[#This Row],[Plan lift, %]]&lt;&gt;0),Table1[[#This Row],[Lift  ]]-Table1[[#This Row],[Plan lift, %]],"")</f>
        <v>-2.6782752902155871E-2</v>
      </c>
      <c r="AK59" s="116"/>
      <c r="AL59" s="15" t="s">
        <v>1434</v>
      </c>
      <c r="AM59" s="4" t="s">
        <v>1313</v>
      </c>
    </row>
    <row r="60" spans="1:39" x14ac:dyDescent="0.35">
      <c r="A60" t="s">
        <v>773</v>
      </c>
      <c r="B60" s="12">
        <v>1472</v>
      </c>
      <c r="C60" s="21" t="s">
        <v>141</v>
      </c>
      <c r="D60" s="13" t="s">
        <v>1232</v>
      </c>
      <c r="E60" t="s">
        <v>142</v>
      </c>
      <c r="F60" s="21" t="s">
        <v>563</v>
      </c>
      <c r="G60" t="s">
        <v>23</v>
      </c>
      <c r="H60" s="14">
        <v>46113</v>
      </c>
      <c r="I60" s="14">
        <v>46140</v>
      </c>
      <c r="J60" s="13" t="s">
        <v>29</v>
      </c>
      <c r="L60" s="2">
        <v>229.87</v>
      </c>
      <c r="M60" s="2">
        <v>4378.3999999999996</v>
      </c>
      <c r="N60" s="2">
        <v>218.92</v>
      </c>
      <c r="O60" s="2">
        <v>4597.32</v>
      </c>
      <c r="P60" s="3">
        <v>0.05</v>
      </c>
      <c r="Q60" s="3"/>
      <c r="R60" s="2">
        <v>482.23</v>
      </c>
      <c r="S60" s="3">
        <v>7.0000000000000007E-2</v>
      </c>
      <c r="T60" s="2">
        <v>7101.42</v>
      </c>
      <c r="U60" s="13" t="s">
        <v>53</v>
      </c>
      <c r="V60" s="13" t="str">
        <f t="shared" si="5"/>
        <v>No</v>
      </c>
      <c r="W60" s="13" t="str">
        <f t="shared" si="5"/>
        <v>No</v>
      </c>
      <c r="X60" s="13" t="str">
        <f t="shared" si="5"/>
        <v>No</v>
      </c>
      <c r="Y60" s="13" t="str">
        <f t="shared" si="5"/>
        <v>Yes</v>
      </c>
      <c r="Z60" s="13" t="str">
        <f t="shared" si="5"/>
        <v>No</v>
      </c>
      <c r="AA60" s="71" t="e">
        <f>+(Table1[[#This Row],[Everyday price]]-Table1[[#This Row],[Promo Price]])/Table1[[#This Row],[Everyday price]]</f>
        <v>#DIV/0!</v>
      </c>
      <c r="AC60" s="69"/>
      <c r="AH60" s="6"/>
      <c r="AI60" s="11"/>
      <c r="AJ60" s="116" t="str">
        <f>IF(AND(ISNUMBER(Table1[[#This Row],[Lift  ]]),ISNUMBER(Table1[[#This Row],[Plan lift, %]]),Table1[[#This Row],[Plan lift, %]]&lt;&gt;0),Table1[[#This Row],[Lift  ]]-Table1[[#This Row],[Plan lift, %]],"")</f>
        <v/>
      </c>
      <c r="AK60" s="116"/>
      <c r="AM60" s="4" t="s">
        <v>1469</v>
      </c>
    </row>
    <row r="61" spans="1:39" x14ac:dyDescent="0.35">
      <c r="A61" t="s">
        <v>1115</v>
      </c>
      <c r="B61" s="12">
        <v>1469</v>
      </c>
      <c r="C61" s="21" t="s">
        <v>141</v>
      </c>
      <c r="D61" s="13" t="s">
        <v>1232</v>
      </c>
      <c r="E61" t="s">
        <v>142</v>
      </c>
      <c r="F61" s="21" t="s">
        <v>1116</v>
      </c>
      <c r="G61" t="s">
        <v>23</v>
      </c>
      <c r="H61" s="14">
        <v>46141</v>
      </c>
      <c r="I61" s="14">
        <v>46168</v>
      </c>
      <c r="J61" s="13" t="s">
        <v>29</v>
      </c>
      <c r="L61" s="2">
        <v>10784.4</v>
      </c>
      <c r="M61" s="2">
        <v>4322.3999999999996</v>
      </c>
      <c r="N61" s="2">
        <v>2161.1999999999998</v>
      </c>
      <c r="O61" s="2">
        <v>6483.6</v>
      </c>
      <c r="P61" s="3">
        <v>0.5</v>
      </c>
      <c r="Q61" s="3"/>
      <c r="R61" s="2">
        <v>1755.04</v>
      </c>
      <c r="S61" s="3">
        <v>0.25</v>
      </c>
      <c r="T61" s="2">
        <v>8671.8700000000008</v>
      </c>
      <c r="U61" s="13" t="s">
        <v>25</v>
      </c>
      <c r="V61" s="13" t="str">
        <f t="shared" si="5"/>
        <v>No</v>
      </c>
      <c r="W61" s="13" t="str">
        <f t="shared" si="5"/>
        <v>Yes</v>
      </c>
      <c r="X61" s="13" t="str">
        <f t="shared" si="5"/>
        <v>No</v>
      </c>
      <c r="Y61" s="13" t="str">
        <f t="shared" si="5"/>
        <v>No</v>
      </c>
      <c r="Z61" s="13" t="str">
        <f t="shared" si="5"/>
        <v>No</v>
      </c>
      <c r="AA61" s="71" t="e">
        <f>+(Table1[[#This Row],[Everyday price]]-Table1[[#This Row],[Promo Price]])/Table1[[#This Row],[Everyday price]]</f>
        <v>#DIV/0!</v>
      </c>
      <c r="AC61" s="69"/>
      <c r="AH61" s="6"/>
      <c r="AI61" s="11"/>
      <c r="AJ61" s="116" t="str">
        <f>IF(AND(ISNUMBER(Table1[[#This Row],[Lift  ]]),ISNUMBER(Table1[[#This Row],[Plan lift, %]]),Table1[[#This Row],[Plan lift, %]]&lt;&gt;0),Table1[[#This Row],[Lift  ]]-Table1[[#This Row],[Plan lift, %]],"")</f>
        <v/>
      </c>
      <c r="AK61" s="116"/>
    </row>
    <row r="62" spans="1:39" x14ac:dyDescent="0.35">
      <c r="A62" t="s">
        <v>259</v>
      </c>
      <c r="B62" s="12">
        <v>1476</v>
      </c>
      <c r="C62" s="21" t="s">
        <v>141</v>
      </c>
      <c r="D62" s="13" t="s">
        <v>1232</v>
      </c>
      <c r="E62" t="s">
        <v>142</v>
      </c>
      <c r="F62" s="21" t="s">
        <v>260</v>
      </c>
      <c r="G62" t="s">
        <v>128</v>
      </c>
      <c r="H62" s="14">
        <v>46143</v>
      </c>
      <c r="I62" s="14">
        <v>46173</v>
      </c>
      <c r="J62" s="13" t="s">
        <v>24</v>
      </c>
      <c r="L62" s="2">
        <v>4300.8</v>
      </c>
      <c r="M62" s="2">
        <v>212.57</v>
      </c>
      <c r="N62" s="2">
        <v>0</v>
      </c>
      <c r="O62" s="2">
        <v>212.57</v>
      </c>
      <c r="P62" s="3">
        <v>0</v>
      </c>
      <c r="Q62" s="3"/>
      <c r="R62" s="2">
        <v>0</v>
      </c>
      <c r="S62" s="3">
        <v>0</v>
      </c>
      <c r="T62" s="2">
        <v>217.71999999999997</v>
      </c>
      <c r="U62" s="13" t="s">
        <v>261</v>
      </c>
      <c r="V62" s="13" t="str">
        <f t="shared" ref="V62:Z71" si="6">IF(ISNUMBER(SEARCH(V$1,$U62)),"Yes","No")</f>
        <v>Yes</v>
      </c>
      <c r="W62" s="13" t="str">
        <f t="shared" si="6"/>
        <v>No</v>
      </c>
      <c r="X62" s="13" t="str">
        <f t="shared" si="6"/>
        <v>No</v>
      </c>
      <c r="Y62" s="13" t="str">
        <f t="shared" si="6"/>
        <v>No</v>
      </c>
      <c r="Z62" s="13" t="str">
        <f t="shared" si="6"/>
        <v>No</v>
      </c>
      <c r="AA62" s="71" t="e">
        <f>+(Table1[[#This Row],[Everyday price]]-Table1[[#This Row],[Promo Price]])/Table1[[#This Row],[Everyday price]]</f>
        <v>#DIV/0!</v>
      </c>
      <c r="AC62" s="69"/>
      <c r="AH62" s="6"/>
      <c r="AI62" s="11"/>
      <c r="AJ62" s="116" t="str">
        <f>IF(AND(ISNUMBER(Table1[[#This Row],[Lift  ]]),ISNUMBER(Table1[[#This Row],[Plan lift, %]]),Table1[[#This Row],[Plan lift, %]]&lt;&gt;0),Table1[[#This Row],[Lift  ]]-Table1[[#This Row],[Plan lift, %]],"")</f>
        <v/>
      </c>
      <c r="AK62" s="116"/>
    </row>
    <row r="63" spans="1:39" x14ac:dyDescent="0.35">
      <c r="A63" t="s">
        <v>1153</v>
      </c>
      <c r="B63" s="93" t="s">
        <v>1470</v>
      </c>
      <c r="C63" s="21" t="s">
        <v>141</v>
      </c>
      <c r="D63" s="13" t="s">
        <v>1232</v>
      </c>
      <c r="E63" t="s">
        <v>142</v>
      </c>
      <c r="F63" s="21" t="s">
        <v>154</v>
      </c>
      <c r="G63" t="s">
        <v>23</v>
      </c>
      <c r="H63" s="14">
        <v>46204</v>
      </c>
      <c r="I63" s="14">
        <v>46231</v>
      </c>
      <c r="J63" s="13" t="s">
        <v>24</v>
      </c>
      <c r="L63" s="2">
        <v>4300.8</v>
      </c>
      <c r="M63" s="2">
        <v>192</v>
      </c>
      <c r="N63" s="2">
        <v>96</v>
      </c>
      <c r="O63" s="2">
        <v>288</v>
      </c>
      <c r="P63" s="3">
        <v>0.5</v>
      </c>
      <c r="Q63" s="3"/>
      <c r="R63" s="2">
        <v>-0.01</v>
      </c>
      <c r="S63" s="3">
        <v>0</v>
      </c>
      <c r="T63" s="2">
        <v>64.709999999999994</v>
      </c>
      <c r="U63" s="13" t="s">
        <v>25</v>
      </c>
      <c r="V63" s="13" t="str">
        <f t="shared" si="6"/>
        <v>No</v>
      </c>
      <c r="W63" s="13" t="str">
        <f t="shared" si="6"/>
        <v>Yes</v>
      </c>
      <c r="X63" s="13" t="str">
        <f t="shared" si="6"/>
        <v>No</v>
      </c>
      <c r="Y63" s="13" t="str">
        <f t="shared" si="6"/>
        <v>No</v>
      </c>
      <c r="Z63" s="13" t="str">
        <f t="shared" si="6"/>
        <v>No</v>
      </c>
      <c r="AA63" s="71">
        <f>+(Table1[[#This Row],[Everyday price]]-Table1[[#This Row],[Promo Price]])/Table1[[#This Row],[Everyday price]]</f>
        <v>0.50671140939597314</v>
      </c>
      <c r="AB63" s="69">
        <v>1.47</v>
      </c>
      <c r="AC63" s="69">
        <v>2.98</v>
      </c>
      <c r="AD63" s="40" t="s">
        <v>1251</v>
      </c>
      <c r="AE63" s="5">
        <v>46216</v>
      </c>
      <c r="AF63" s="5">
        <v>46229</v>
      </c>
      <c r="AG63" s="20">
        <v>270</v>
      </c>
      <c r="AH63" s="6">
        <v>267</v>
      </c>
      <c r="AI63" s="11">
        <f>Table1[[#This Row],[Incremental Units]]/Table1[[#This Row],[Base Units]]</f>
        <v>0.98888888888888893</v>
      </c>
      <c r="AJ63" s="116">
        <f>IF(AND(ISNUMBER(Table1[[#This Row],[Lift  ]]),ISNUMBER(Table1[[#This Row],[Plan lift, %]]),Table1[[#This Row],[Plan lift, %]]&lt;&gt;0),Table1[[#This Row],[Lift  ]]-Table1[[#This Row],[Plan lift, %]],"")</f>
        <v>0.48888888888888893</v>
      </c>
      <c r="AK63" s="116"/>
      <c r="AL63" s="15" t="s">
        <v>1400</v>
      </c>
      <c r="AM63" s="4" t="s">
        <v>1472</v>
      </c>
    </row>
    <row r="64" spans="1:39" x14ac:dyDescent="0.35">
      <c r="A64" t="s">
        <v>1153</v>
      </c>
      <c r="B64" s="93" t="s">
        <v>1471</v>
      </c>
      <c r="C64" s="21" t="s">
        <v>141</v>
      </c>
      <c r="D64" s="13" t="s">
        <v>1232</v>
      </c>
      <c r="E64" t="s">
        <v>142</v>
      </c>
      <c r="F64" s="21" t="s">
        <v>154</v>
      </c>
      <c r="G64" t="s">
        <v>23</v>
      </c>
      <c r="H64" s="14">
        <v>46204</v>
      </c>
      <c r="I64" s="14">
        <v>46231</v>
      </c>
      <c r="J64" s="13" t="s">
        <v>29</v>
      </c>
      <c r="L64" s="2">
        <v>6483.6</v>
      </c>
      <c r="M64" s="2">
        <v>4322.3999999999996</v>
      </c>
      <c r="N64" s="2">
        <v>2161.1999999999998</v>
      </c>
      <c r="O64" s="2">
        <v>6483.6</v>
      </c>
      <c r="P64" s="3">
        <v>0.5</v>
      </c>
      <c r="Q64" s="3"/>
      <c r="R64" s="2">
        <v>415.97</v>
      </c>
      <c r="S64" s="3">
        <v>0.24</v>
      </c>
      <c r="T64" s="2">
        <v>2174.5700000000002</v>
      </c>
      <c r="U64" s="13" t="s">
        <v>25</v>
      </c>
      <c r="V64" s="13" t="str">
        <f t="shared" si="6"/>
        <v>No</v>
      </c>
      <c r="W64" s="13" t="str">
        <f t="shared" si="6"/>
        <v>Yes</v>
      </c>
      <c r="X64" s="13" t="str">
        <f t="shared" si="6"/>
        <v>No</v>
      </c>
      <c r="Y64" s="13" t="str">
        <f t="shared" si="6"/>
        <v>No</v>
      </c>
      <c r="Z64" s="13" t="str">
        <f t="shared" si="6"/>
        <v>No</v>
      </c>
      <c r="AA64" s="71">
        <f>+(Table1[[#This Row],[Everyday price]]-Table1[[#This Row],[Promo Price]])/Table1[[#This Row],[Everyday price]]</f>
        <v>0.11221449851042709</v>
      </c>
      <c r="AB64" s="69">
        <v>8.94</v>
      </c>
      <c r="AC64" s="69">
        <v>10.07</v>
      </c>
      <c r="AD64" s="40" t="s">
        <v>1251</v>
      </c>
      <c r="AE64" s="5">
        <v>46174</v>
      </c>
      <c r="AF64" s="5">
        <v>46229</v>
      </c>
      <c r="AG64" s="20">
        <v>8678</v>
      </c>
      <c r="AH64" s="6">
        <v>2134</v>
      </c>
      <c r="AI64" s="11">
        <f>Table1[[#This Row],[Incremental Units]]/Table1[[#This Row],[Base Units]]</f>
        <v>0.24590919566720443</v>
      </c>
      <c r="AJ64" s="116">
        <f>IF(AND(ISNUMBER(Table1[[#This Row],[Lift  ]]),ISNUMBER(Table1[[#This Row],[Plan lift, %]]),Table1[[#This Row],[Plan lift, %]]&lt;&gt;0),Table1[[#This Row],[Lift  ]]-Table1[[#This Row],[Plan lift, %]],"")</f>
        <v>-0.25409080433279557</v>
      </c>
      <c r="AK64" s="116"/>
      <c r="AL64" s="15" t="s">
        <v>1434</v>
      </c>
    </row>
    <row r="65" spans="1:39" x14ac:dyDescent="0.35">
      <c r="A65" t="s">
        <v>337</v>
      </c>
      <c r="B65" s="12">
        <v>1473</v>
      </c>
      <c r="C65" s="21" t="s">
        <v>141</v>
      </c>
      <c r="D65" s="13" t="s">
        <v>1232</v>
      </c>
      <c r="E65" t="s">
        <v>142</v>
      </c>
      <c r="F65" s="21" t="s">
        <v>317</v>
      </c>
      <c r="G65" t="s">
        <v>60</v>
      </c>
      <c r="H65" s="14">
        <v>46235</v>
      </c>
      <c r="I65" s="14">
        <v>46262</v>
      </c>
      <c r="J65" s="13" t="s">
        <v>29</v>
      </c>
      <c r="L65" s="2">
        <v>14324.8</v>
      </c>
      <c r="M65" s="2">
        <v>4322.3999999999996</v>
      </c>
      <c r="N65" s="2">
        <v>3241.8</v>
      </c>
      <c r="O65" s="2">
        <v>7564.2</v>
      </c>
      <c r="P65" s="3">
        <v>0.75</v>
      </c>
      <c r="Q65" s="3"/>
      <c r="R65" s="2">
        <v>0</v>
      </c>
      <c r="S65" s="3">
        <v>0</v>
      </c>
      <c r="T65" s="2">
        <v>0</v>
      </c>
      <c r="U65" s="13" t="s">
        <v>25</v>
      </c>
      <c r="V65" s="13" t="str">
        <f t="shared" si="6"/>
        <v>No</v>
      </c>
      <c r="W65" s="13" t="str">
        <f t="shared" si="6"/>
        <v>Yes</v>
      </c>
      <c r="X65" s="13" t="str">
        <f t="shared" si="6"/>
        <v>No</v>
      </c>
      <c r="Y65" s="13" t="str">
        <f t="shared" si="6"/>
        <v>No</v>
      </c>
      <c r="Z65" s="13" t="str">
        <f t="shared" si="6"/>
        <v>No</v>
      </c>
      <c r="AA65" s="71" t="e">
        <f>+(Table1[[#This Row],[Everyday price]]-Table1[[#This Row],[Promo Price]])/Table1[[#This Row],[Everyday price]]</f>
        <v>#DIV/0!</v>
      </c>
      <c r="AC65" s="69"/>
      <c r="AH65" s="6"/>
      <c r="AI65" s="11"/>
      <c r="AJ65" s="116" t="str">
        <f>IF(AND(ISNUMBER(Table1[[#This Row],[Lift  ]]),ISNUMBER(Table1[[#This Row],[Plan lift, %]]),Table1[[#This Row],[Plan lift, %]]&lt;&gt;0),Table1[[#This Row],[Lift  ]]-Table1[[#This Row],[Plan lift, %]],"")</f>
        <v/>
      </c>
      <c r="AK65" s="116"/>
    </row>
    <row r="66" spans="1:39" x14ac:dyDescent="0.35">
      <c r="A66" t="s">
        <v>675</v>
      </c>
      <c r="B66" s="12">
        <v>1471</v>
      </c>
      <c r="C66" s="21" t="s">
        <v>141</v>
      </c>
      <c r="D66" s="13" t="s">
        <v>1232</v>
      </c>
      <c r="E66" t="s">
        <v>142</v>
      </c>
      <c r="F66" s="21" t="s">
        <v>52</v>
      </c>
      <c r="G66" t="s">
        <v>44</v>
      </c>
      <c r="H66" s="14">
        <v>46266</v>
      </c>
      <c r="I66" s="14">
        <v>46293</v>
      </c>
      <c r="J66" s="13" t="s">
        <v>29</v>
      </c>
      <c r="L66" s="2">
        <v>214.87</v>
      </c>
      <c r="M66" s="2">
        <v>4322.3999999999996</v>
      </c>
      <c r="N66" s="2">
        <v>216.12</v>
      </c>
      <c r="O66" s="2">
        <v>4538.5200000000004</v>
      </c>
      <c r="P66" s="3">
        <v>0.05</v>
      </c>
      <c r="Q66" s="3"/>
      <c r="R66" s="2">
        <v>0</v>
      </c>
      <c r="S66" s="3">
        <v>0</v>
      </c>
      <c r="T66" s="2">
        <v>0</v>
      </c>
      <c r="U66" s="13" t="s">
        <v>53</v>
      </c>
      <c r="V66" s="13" t="str">
        <f t="shared" si="6"/>
        <v>No</v>
      </c>
      <c r="W66" s="13" t="str">
        <f t="shared" si="6"/>
        <v>No</v>
      </c>
      <c r="X66" s="13" t="str">
        <f t="shared" si="6"/>
        <v>No</v>
      </c>
      <c r="Y66" s="13" t="str">
        <f t="shared" si="6"/>
        <v>Yes</v>
      </c>
      <c r="Z66" s="13" t="str">
        <f t="shared" si="6"/>
        <v>No</v>
      </c>
      <c r="AA66" s="71" t="e">
        <f>+(Table1[[#This Row],[Everyday price]]-Table1[[#This Row],[Promo Price]])/Table1[[#This Row],[Everyday price]]</f>
        <v>#DIV/0!</v>
      </c>
      <c r="AC66" s="69"/>
      <c r="AH66" s="6"/>
      <c r="AI66" s="153"/>
      <c r="AJ66" s="116" t="str">
        <f>IF(AND(ISNUMBER(Table1[[#This Row],[Lift  ]]),ISNUMBER(Table1[[#This Row],[Plan lift, %]]),Table1[[#This Row],[Plan lift, %]]&lt;&gt;0),Table1[[#This Row],[Lift  ]]-Table1[[#This Row],[Plan lift, %]],"")</f>
        <v/>
      </c>
      <c r="AK66" s="116"/>
    </row>
    <row r="67" spans="1:39" x14ac:dyDescent="0.35">
      <c r="A67" t="s">
        <v>140</v>
      </c>
      <c r="B67" s="12">
        <v>1474</v>
      </c>
      <c r="C67" s="21" t="s">
        <v>141</v>
      </c>
      <c r="D67" s="13" t="s">
        <v>1232</v>
      </c>
      <c r="E67" t="s">
        <v>142</v>
      </c>
      <c r="F67" s="21" t="s">
        <v>143</v>
      </c>
      <c r="G67" t="s">
        <v>44</v>
      </c>
      <c r="H67" s="14">
        <v>46296</v>
      </c>
      <c r="I67" s="14">
        <v>46323</v>
      </c>
      <c r="J67" s="13" t="s">
        <v>29</v>
      </c>
      <c r="L67" s="2">
        <v>6483.6</v>
      </c>
      <c r="M67" s="2">
        <v>4322.3999999999996</v>
      </c>
      <c r="N67" s="2">
        <v>2161.1999999999998</v>
      </c>
      <c r="O67" s="2">
        <v>6483.6</v>
      </c>
      <c r="P67" s="3">
        <v>0.5</v>
      </c>
      <c r="Q67" s="3"/>
      <c r="R67" s="2">
        <v>0</v>
      </c>
      <c r="S67" s="3">
        <v>0</v>
      </c>
      <c r="T67" s="2">
        <v>0</v>
      </c>
      <c r="U67" s="13" t="s">
        <v>25</v>
      </c>
      <c r="V67" s="13" t="str">
        <f t="shared" si="6"/>
        <v>No</v>
      </c>
      <c r="W67" s="13" t="str">
        <f t="shared" si="6"/>
        <v>Yes</v>
      </c>
      <c r="X67" s="13" t="str">
        <f t="shared" si="6"/>
        <v>No</v>
      </c>
      <c r="Y67" s="13" t="str">
        <f t="shared" si="6"/>
        <v>No</v>
      </c>
      <c r="Z67" s="13" t="str">
        <f t="shared" si="6"/>
        <v>No</v>
      </c>
      <c r="AA67" s="71" t="e">
        <f>+(Table1[[#This Row],[Everyday price]]-Table1[[#This Row],[Promo Price]])/Table1[[#This Row],[Everyday price]]</f>
        <v>#DIV/0!</v>
      </c>
      <c r="AC67" s="69"/>
      <c r="AH67" s="6"/>
      <c r="AI67" s="11"/>
      <c r="AJ67" s="116" t="str">
        <f>IF(AND(ISNUMBER(Table1[[#This Row],[Lift  ]]),ISNUMBER(Table1[[#This Row],[Plan lift, %]]),Table1[[#This Row],[Plan lift, %]]&lt;&gt;0),Table1[[#This Row],[Lift  ]]-Table1[[#This Row],[Plan lift, %]],"")</f>
        <v/>
      </c>
      <c r="AK67" s="116"/>
    </row>
    <row r="68" spans="1:39" x14ac:dyDescent="0.35">
      <c r="A68" t="s">
        <v>966</v>
      </c>
      <c r="B68" s="143">
        <v>1478</v>
      </c>
      <c r="C68" s="21" t="s">
        <v>291</v>
      </c>
      <c r="D68" s="13" t="s">
        <v>1232</v>
      </c>
      <c r="F68" s="21" t="s">
        <v>125</v>
      </c>
      <c r="G68" t="s">
        <v>23</v>
      </c>
      <c r="H68" s="14">
        <v>46050</v>
      </c>
      <c r="I68" s="14">
        <v>46084</v>
      </c>
      <c r="J68" s="13" t="s">
        <v>29</v>
      </c>
      <c r="L68" s="2">
        <v>23110.5</v>
      </c>
      <c r="M68" s="2">
        <v>15407</v>
      </c>
      <c r="N68" s="2">
        <v>7703.5</v>
      </c>
      <c r="O68" s="2">
        <v>23110.5</v>
      </c>
      <c r="P68" s="3">
        <v>0.5</v>
      </c>
      <c r="Q68" s="3"/>
      <c r="R68" s="2">
        <v>0</v>
      </c>
      <c r="S68" s="3">
        <v>0</v>
      </c>
      <c r="T68" s="2">
        <v>13640.14</v>
      </c>
      <c r="U68" s="13" t="s">
        <v>25</v>
      </c>
      <c r="V68" s="13" t="str">
        <f t="shared" si="6"/>
        <v>No</v>
      </c>
      <c r="W68" s="13" t="str">
        <f t="shared" si="6"/>
        <v>Yes</v>
      </c>
      <c r="X68" s="13" t="str">
        <f t="shared" si="6"/>
        <v>No</v>
      </c>
      <c r="Y68" s="13" t="str">
        <f t="shared" si="6"/>
        <v>No</v>
      </c>
      <c r="Z68" s="13" t="str">
        <f t="shared" si="6"/>
        <v>No</v>
      </c>
      <c r="AA68" s="71">
        <f>+(Table1[[#This Row],[Everyday price]]-Table1[[#This Row],[Promo Price]])/Table1[[#This Row],[Everyday price]]</f>
        <v>0.10655737704918024</v>
      </c>
      <c r="AB68" s="69">
        <v>8.7200000000000006</v>
      </c>
      <c r="AC68" s="69">
        <v>9.76</v>
      </c>
      <c r="AD68" s="40" t="s">
        <v>1257</v>
      </c>
      <c r="AE68" s="5">
        <v>46041</v>
      </c>
      <c r="AF68" s="5">
        <v>46082</v>
      </c>
      <c r="AG68" s="20">
        <v>9862</v>
      </c>
      <c r="AH68" s="6">
        <v>5434</v>
      </c>
      <c r="AI68" s="11">
        <f>Table1[[#This Row],[Incremental Units]]/Table1[[#This Row],[Base Units]]</f>
        <v>0.55100385317379841</v>
      </c>
      <c r="AJ68" s="116">
        <f>IF(AND(ISNUMBER(Table1[[#This Row],[Lift  ]]),ISNUMBER(Table1[[#This Row],[Plan lift, %]]),Table1[[#This Row],[Plan lift, %]]&lt;&gt;0),Table1[[#This Row],[Lift  ]]-Table1[[#This Row],[Plan lift, %]],"")</f>
        <v>5.1003853173798408E-2</v>
      </c>
      <c r="AK68" s="116"/>
      <c r="AL68" s="15" t="s">
        <v>1434</v>
      </c>
      <c r="AM68" s="4" t="s">
        <v>1550</v>
      </c>
    </row>
    <row r="69" spans="1:39" x14ac:dyDescent="0.35">
      <c r="A69" t="s">
        <v>444</v>
      </c>
      <c r="B69" s="143">
        <v>1479</v>
      </c>
      <c r="C69" s="21" t="s">
        <v>291</v>
      </c>
      <c r="D69" s="13" t="s">
        <v>1232</v>
      </c>
      <c r="F69" s="21" t="s">
        <v>187</v>
      </c>
      <c r="G69" t="s">
        <v>23</v>
      </c>
      <c r="H69" s="14">
        <v>46085</v>
      </c>
      <c r="I69" s="14">
        <v>46112</v>
      </c>
      <c r="J69" s="13" t="s">
        <v>29</v>
      </c>
      <c r="L69" s="2">
        <v>21569.8</v>
      </c>
      <c r="M69" s="2">
        <v>12325.6</v>
      </c>
      <c r="N69" s="2">
        <v>9244.2000000000007</v>
      </c>
      <c r="O69" s="2">
        <v>21569.8</v>
      </c>
      <c r="P69" s="3">
        <v>0.75</v>
      </c>
      <c r="Q69" s="3"/>
      <c r="R69" s="2">
        <v>0</v>
      </c>
      <c r="S69" s="3">
        <v>0</v>
      </c>
      <c r="T69" s="2">
        <v>8523.43</v>
      </c>
      <c r="U69" s="13" t="s">
        <v>25</v>
      </c>
      <c r="V69" s="13" t="str">
        <f t="shared" si="6"/>
        <v>No</v>
      </c>
      <c r="W69" s="13" t="str">
        <f t="shared" si="6"/>
        <v>Yes</v>
      </c>
      <c r="X69" s="13" t="str">
        <f t="shared" si="6"/>
        <v>No</v>
      </c>
      <c r="Y69" s="13" t="str">
        <f t="shared" si="6"/>
        <v>No</v>
      </c>
      <c r="Z69" s="13" t="str">
        <f t="shared" si="6"/>
        <v>No</v>
      </c>
      <c r="AA69" s="71">
        <f>+(Table1[[#This Row],[Everyday price]]-Table1[[#This Row],[Promo Price]])/Table1[[#This Row],[Everyday price]]</f>
        <v>9.6707818930041281E-2</v>
      </c>
      <c r="AB69" s="69">
        <v>8.7799999999999994</v>
      </c>
      <c r="AC69" s="69">
        <v>9.7200000000000006</v>
      </c>
      <c r="AD69" s="40" t="s">
        <v>1257</v>
      </c>
      <c r="AE69" s="5">
        <v>46083</v>
      </c>
      <c r="AF69" s="5">
        <v>46110</v>
      </c>
      <c r="AG69" s="20">
        <v>6102</v>
      </c>
      <c r="AH69" s="6">
        <v>1809</v>
      </c>
      <c r="AI69" s="11">
        <f>Table1[[#This Row],[Incremental Units]]/Table1[[#This Row],[Base Units]]</f>
        <v>0.29646017699115046</v>
      </c>
      <c r="AJ69" s="116">
        <f>IF(AND(ISNUMBER(Table1[[#This Row],[Lift  ]]),ISNUMBER(Table1[[#This Row],[Plan lift, %]]),Table1[[#This Row],[Plan lift, %]]&lt;&gt;0),Table1[[#This Row],[Lift  ]]-Table1[[#This Row],[Plan lift, %]],"")</f>
        <v>-0.45353982300884954</v>
      </c>
      <c r="AK69" s="116"/>
      <c r="AL69" s="15" t="s">
        <v>1434</v>
      </c>
      <c r="AM69" s="4" t="s">
        <v>1551</v>
      </c>
    </row>
    <row r="70" spans="1:39" x14ac:dyDescent="0.35">
      <c r="A70" t="s">
        <v>806</v>
      </c>
      <c r="B70" s="143">
        <v>1480</v>
      </c>
      <c r="C70" s="21" t="s">
        <v>291</v>
      </c>
      <c r="D70" s="13" t="s">
        <v>1232</v>
      </c>
      <c r="F70" s="21" t="s">
        <v>563</v>
      </c>
      <c r="G70" t="s">
        <v>23</v>
      </c>
      <c r="H70" s="14">
        <v>46113</v>
      </c>
      <c r="I70" s="14">
        <v>46140</v>
      </c>
      <c r="J70" s="13" t="s">
        <v>29</v>
      </c>
      <c r="L70" s="2">
        <v>381.55</v>
      </c>
      <c r="M70" s="2">
        <v>7267.57</v>
      </c>
      <c r="N70" s="2">
        <v>363.38</v>
      </c>
      <c r="O70" s="2">
        <v>7630.95</v>
      </c>
      <c r="P70" s="3">
        <v>0.05</v>
      </c>
      <c r="Q70" s="3"/>
      <c r="R70" s="2">
        <v>0</v>
      </c>
      <c r="S70" s="3">
        <v>0</v>
      </c>
      <c r="T70" s="2">
        <v>7739.44</v>
      </c>
      <c r="U70" s="13" t="s">
        <v>53</v>
      </c>
      <c r="V70" s="13" t="str">
        <f t="shared" si="6"/>
        <v>No</v>
      </c>
      <c r="W70" s="13" t="str">
        <f t="shared" si="6"/>
        <v>No</v>
      </c>
      <c r="X70" s="13" t="str">
        <f t="shared" si="6"/>
        <v>No</v>
      </c>
      <c r="Y70" s="13" t="str">
        <f t="shared" si="6"/>
        <v>Yes</v>
      </c>
      <c r="Z70" s="13" t="str">
        <f t="shared" si="6"/>
        <v>No</v>
      </c>
      <c r="AA70" s="71">
        <f>+(Table1[[#This Row],[Everyday price]]-Table1[[#This Row],[Promo Price]])/Table1[[#This Row],[Everyday price]]</f>
        <v>3.2921810699588501E-2</v>
      </c>
      <c r="AB70" s="69">
        <v>9.4</v>
      </c>
      <c r="AC70" s="69">
        <v>9.7200000000000006</v>
      </c>
      <c r="AD70" s="40" t="s">
        <v>1257</v>
      </c>
      <c r="AE70" s="5">
        <v>46111</v>
      </c>
      <c r="AF70" s="5">
        <v>46138</v>
      </c>
      <c r="AG70" s="20">
        <v>6149</v>
      </c>
      <c r="AH70" s="6">
        <v>920</v>
      </c>
      <c r="AI70" s="11">
        <f>Table1[[#This Row],[Incremental Units]]/Table1[[#This Row],[Base Units]]</f>
        <v>0.14961782403642868</v>
      </c>
      <c r="AJ70" s="116">
        <f>IF(AND(ISNUMBER(Table1[[#This Row],[Lift  ]]),ISNUMBER(Table1[[#This Row],[Plan lift, %]]),Table1[[#This Row],[Plan lift, %]]&lt;&gt;0),Table1[[#This Row],[Lift  ]]-Table1[[#This Row],[Plan lift, %]],"")</f>
        <v>9.9617824036428673E-2</v>
      </c>
      <c r="AK70" s="116"/>
      <c r="AL70" s="15" t="s">
        <v>1434</v>
      </c>
      <c r="AM70" s="4" t="s">
        <v>1552</v>
      </c>
    </row>
    <row r="71" spans="1:39" x14ac:dyDescent="0.35">
      <c r="A71" t="s">
        <v>915</v>
      </c>
      <c r="B71" s="131">
        <v>1481</v>
      </c>
      <c r="C71" s="21" t="s">
        <v>291</v>
      </c>
      <c r="D71" s="13" t="s">
        <v>1232</v>
      </c>
      <c r="F71" s="21" t="s">
        <v>916</v>
      </c>
      <c r="G71" t="s">
        <v>23</v>
      </c>
      <c r="H71" s="14">
        <v>46141</v>
      </c>
      <c r="I71" s="14">
        <v>46168</v>
      </c>
      <c r="J71" s="13" t="s">
        <v>24</v>
      </c>
      <c r="L71" s="2">
        <v>2995.2</v>
      </c>
      <c r="M71" s="2">
        <v>496</v>
      </c>
      <c r="N71" s="2">
        <v>297.60000000000002</v>
      </c>
      <c r="O71" s="2">
        <v>793.6</v>
      </c>
      <c r="P71" s="3">
        <v>0.6</v>
      </c>
      <c r="Q71" s="3"/>
      <c r="R71" s="2">
        <v>0</v>
      </c>
      <c r="S71" s="3">
        <v>0</v>
      </c>
      <c r="T71" s="2">
        <v>9.86</v>
      </c>
      <c r="U71" s="13" t="s">
        <v>25</v>
      </c>
      <c r="V71" s="13" t="str">
        <f t="shared" si="6"/>
        <v>No</v>
      </c>
      <c r="W71" s="13" t="str">
        <f t="shared" si="6"/>
        <v>Yes</v>
      </c>
      <c r="X71" s="13" t="str">
        <f t="shared" si="6"/>
        <v>No</v>
      </c>
      <c r="Y71" s="13" t="str">
        <f t="shared" si="6"/>
        <v>No</v>
      </c>
      <c r="Z71" s="13" t="str">
        <f t="shared" si="6"/>
        <v>No</v>
      </c>
      <c r="AA71" s="71" t="e">
        <f>+(Table1[[#This Row],[Everyday price]]-Table1[[#This Row],[Promo Price]])/Table1[[#This Row],[Everyday price]]</f>
        <v>#DIV/0!</v>
      </c>
      <c r="AC71" s="69"/>
      <c r="AH71" s="6"/>
      <c r="AI71" s="11"/>
      <c r="AJ71" s="116" t="str">
        <f>IF(AND(ISNUMBER(Table1[[#This Row],[Lift  ]]),ISNUMBER(Table1[[#This Row],[Plan lift, %]]),Table1[[#This Row],[Plan lift, %]]&lt;&gt;0),Table1[[#This Row],[Lift  ]]-Table1[[#This Row],[Plan lift, %]],"")</f>
        <v/>
      </c>
      <c r="AK71" s="116"/>
    </row>
    <row r="72" spans="1:39" x14ac:dyDescent="0.35">
      <c r="A72" t="s">
        <v>915</v>
      </c>
      <c r="B72" s="143" t="s">
        <v>1548</v>
      </c>
      <c r="C72" s="21" t="s">
        <v>291</v>
      </c>
      <c r="D72" s="13" t="s">
        <v>1232</v>
      </c>
      <c r="F72" s="21" t="s">
        <v>916</v>
      </c>
      <c r="G72" t="s">
        <v>23</v>
      </c>
      <c r="H72" s="14">
        <v>46141</v>
      </c>
      <c r="I72" s="14">
        <v>46168</v>
      </c>
      <c r="J72" s="13" t="s">
        <v>29</v>
      </c>
      <c r="L72" s="2">
        <v>9868.7999999999993</v>
      </c>
      <c r="M72" s="2">
        <v>6168</v>
      </c>
      <c r="N72" s="2">
        <v>3700.8</v>
      </c>
      <c r="O72" s="2">
        <v>9868.7999999999993</v>
      </c>
      <c r="P72" s="3">
        <v>0.6</v>
      </c>
      <c r="Q72" s="3"/>
      <c r="R72" s="2">
        <v>0</v>
      </c>
      <c r="S72" s="3">
        <v>0</v>
      </c>
      <c r="T72" s="2">
        <v>8443.2800000000007</v>
      </c>
      <c r="U72" s="13" t="s">
        <v>25</v>
      </c>
      <c r="V72" s="13" t="str">
        <f t="shared" ref="V72:Z81" si="7">IF(ISNUMBER(SEARCH(V$1,$U72)),"Yes","No")</f>
        <v>No</v>
      </c>
      <c r="W72" s="13" t="str">
        <f t="shared" si="7"/>
        <v>Yes</v>
      </c>
      <c r="X72" s="13" t="str">
        <f t="shared" si="7"/>
        <v>No</v>
      </c>
      <c r="Y72" s="13" t="str">
        <f t="shared" si="7"/>
        <v>No</v>
      </c>
      <c r="Z72" s="13" t="str">
        <f t="shared" si="7"/>
        <v>No</v>
      </c>
      <c r="AA72" s="71">
        <f>+(Table1[[#This Row],[Everyday price]]-Table1[[#This Row],[Promo Price]])/Table1[[#This Row],[Everyday price]]</f>
        <v>0.10455486542443061</v>
      </c>
      <c r="AB72" s="69">
        <v>8.65</v>
      </c>
      <c r="AC72" s="69">
        <v>9.66</v>
      </c>
      <c r="AD72" s="40" t="s">
        <v>1256</v>
      </c>
      <c r="AE72" s="5">
        <v>46139</v>
      </c>
      <c r="AF72" s="5">
        <v>46173</v>
      </c>
      <c r="AG72" s="20">
        <v>7444</v>
      </c>
      <c r="AH72" s="6">
        <v>2029</v>
      </c>
      <c r="AI72" s="11">
        <f>Table1[[#This Row],[Incremental Units]]/Table1[[#This Row],[Base Units]]</f>
        <v>0.27256851155292855</v>
      </c>
      <c r="AJ72" s="116">
        <f>IF(AND(ISNUMBER(Table1[[#This Row],[Lift  ]]),ISNUMBER(Table1[[#This Row],[Plan lift, %]]),Table1[[#This Row],[Plan lift, %]]&lt;&gt;0),Table1[[#This Row],[Lift  ]]-Table1[[#This Row],[Plan lift, %]],"")</f>
        <v>-0.32743148844707143</v>
      </c>
      <c r="AK72" s="116"/>
      <c r="AL72" s="15" t="s">
        <v>1434</v>
      </c>
      <c r="AM72" s="4" t="s">
        <v>1554</v>
      </c>
    </row>
    <row r="73" spans="1:39" x14ac:dyDescent="0.35">
      <c r="A73" t="s">
        <v>290</v>
      </c>
      <c r="B73" s="12">
        <v>1482</v>
      </c>
      <c r="C73" s="21" t="s">
        <v>291</v>
      </c>
      <c r="D73" s="13" t="s">
        <v>1232</v>
      </c>
      <c r="F73" s="21" t="s">
        <v>154</v>
      </c>
      <c r="G73" t="s">
        <v>23</v>
      </c>
      <c r="H73" s="14">
        <v>46204</v>
      </c>
      <c r="I73" s="14">
        <v>46231</v>
      </c>
      <c r="J73" s="13" t="s">
        <v>24</v>
      </c>
      <c r="L73" s="2">
        <v>2995.2</v>
      </c>
      <c r="M73" s="2">
        <v>496</v>
      </c>
      <c r="N73" s="2">
        <v>248</v>
      </c>
      <c r="O73" s="2">
        <v>744</v>
      </c>
      <c r="P73" s="3">
        <v>0.5</v>
      </c>
      <c r="Q73" s="3"/>
      <c r="R73" s="2">
        <v>0</v>
      </c>
      <c r="S73" s="3">
        <v>0</v>
      </c>
      <c r="T73" s="2">
        <v>9.43</v>
      </c>
      <c r="U73" s="13" t="s">
        <v>25</v>
      </c>
      <c r="V73" s="13" t="str">
        <f t="shared" si="7"/>
        <v>No</v>
      </c>
      <c r="W73" s="13" t="str">
        <f t="shared" si="7"/>
        <v>Yes</v>
      </c>
      <c r="X73" s="13" t="str">
        <f t="shared" si="7"/>
        <v>No</v>
      </c>
      <c r="Y73" s="13" t="str">
        <f t="shared" si="7"/>
        <v>No</v>
      </c>
      <c r="Z73" s="13" t="str">
        <f t="shared" si="7"/>
        <v>No</v>
      </c>
      <c r="AA73" s="71" t="e">
        <f>+(Table1[[#This Row],[Everyday price]]-Table1[[#This Row],[Promo Price]])/Table1[[#This Row],[Everyday price]]</f>
        <v>#DIV/0!</v>
      </c>
      <c r="AC73" s="69"/>
      <c r="AH73" s="6"/>
      <c r="AI73" s="11"/>
      <c r="AJ73" s="116" t="str">
        <f>IF(AND(ISNUMBER(Table1[[#This Row],[Lift  ]]),ISNUMBER(Table1[[#This Row],[Plan lift, %]]),Table1[[#This Row],[Plan lift, %]]&lt;&gt;0),Table1[[#This Row],[Lift  ]]-Table1[[#This Row],[Plan lift, %]],"")</f>
        <v/>
      </c>
      <c r="AK73" s="116"/>
    </row>
    <row r="74" spans="1:39" x14ac:dyDescent="0.35">
      <c r="A74" t="s">
        <v>290</v>
      </c>
      <c r="B74" s="143" t="s">
        <v>1555</v>
      </c>
      <c r="C74" s="21" t="s">
        <v>291</v>
      </c>
      <c r="D74" s="13" t="s">
        <v>1232</v>
      </c>
      <c r="F74" s="21" t="s">
        <v>154</v>
      </c>
      <c r="G74" t="s">
        <v>23</v>
      </c>
      <c r="H74" s="14">
        <v>46204</v>
      </c>
      <c r="I74" s="14">
        <v>46231</v>
      </c>
      <c r="J74" s="13" t="s">
        <v>29</v>
      </c>
      <c r="L74" s="2">
        <v>9252</v>
      </c>
      <c r="M74" s="2">
        <v>6168</v>
      </c>
      <c r="N74" s="2">
        <v>3084</v>
      </c>
      <c r="O74" s="2">
        <v>9252</v>
      </c>
      <c r="P74" s="3">
        <v>0.5</v>
      </c>
      <c r="Q74" s="3"/>
      <c r="R74" s="2">
        <v>0</v>
      </c>
      <c r="S74" s="3">
        <v>0</v>
      </c>
      <c r="T74" s="2">
        <v>3041.14</v>
      </c>
      <c r="U74" s="13" t="s">
        <v>25</v>
      </c>
      <c r="V74" s="13" t="str">
        <f t="shared" si="7"/>
        <v>No</v>
      </c>
      <c r="W74" s="13" t="str">
        <f t="shared" si="7"/>
        <v>Yes</v>
      </c>
      <c r="X74" s="13" t="str">
        <f t="shared" si="7"/>
        <v>No</v>
      </c>
      <c r="Y74" s="13" t="str">
        <f t="shared" si="7"/>
        <v>No</v>
      </c>
      <c r="Z74" s="13" t="str">
        <f t="shared" si="7"/>
        <v>No</v>
      </c>
      <c r="AA74" s="71">
        <f>+(Table1[[#This Row],[Everyday price]]-Table1[[#This Row],[Promo Price]])/Table1[[#This Row],[Everyday price]]</f>
        <v>0.10080645161290323</v>
      </c>
      <c r="AB74" s="69">
        <v>8.92</v>
      </c>
      <c r="AC74" s="69">
        <v>9.92</v>
      </c>
      <c r="AD74" s="40" t="s">
        <v>1256</v>
      </c>
      <c r="AE74" s="5">
        <v>46195</v>
      </c>
      <c r="AF74" s="5">
        <v>46229</v>
      </c>
      <c r="AG74" s="20">
        <v>6721</v>
      </c>
      <c r="AH74" s="6">
        <v>2407</v>
      </c>
      <c r="AI74" s="11">
        <f>Table1[[#This Row],[Incremental Units]]/Table1[[#This Row],[Base Units]]</f>
        <v>0.35813123047165601</v>
      </c>
      <c r="AJ74" s="116">
        <f>IF(AND(ISNUMBER(Table1[[#This Row],[Lift  ]]),ISNUMBER(Table1[[#This Row],[Plan lift, %]]),Table1[[#This Row],[Plan lift, %]]&lt;&gt;0),Table1[[#This Row],[Lift  ]]-Table1[[#This Row],[Plan lift, %]],"")</f>
        <v>-0.14186876952834399</v>
      </c>
      <c r="AK74" s="116"/>
      <c r="AL74" s="15" t="s">
        <v>1434</v>
      </c>
    </row>
    <row r="75" spans="1:39" x14ac:dyDescent="0.35">
      <c r="A75" t="s">
        <v>782</v>
      </c>
      <c r="B75" s="12">
        <v>1483</v>
      </c>
      <c r="C75" s="21" t="s">
        <v>291</v>
      </c>
      <c r="D75" s="13" t="s">
        <v>1232</v>
      </c>
      <c r="F75" s="21" t="s">
        <v>317</v>
      </c>
      <c r="G75" t="s">
        <v>60</v>
      </c>
      <c r="H75" s="14">
        <v>46235</v>
      </c>
      <c r="I75" s="14">
        <v>46262</v>
      </c>
      <c r="J75" s="13" t="s">
        <v>29</v>
      </c>
      <c r="L75" s="2">
        <v>24672</v>
      </c>
      <c r="M75" s="2">
        <v>6168</v>
      </c>
      <c r="N75" s="2">
        <v>6168</v>
      </c>
      <c r="O75" s="2">
        <v>12336</v>
      </c>
      <c r="P75" s="3">
        <v>1</v>
      </c>
      <c r="Q75" s="3"/>
      <c r="R75" s="2">
        <v>0</v>
      </c>
      <c r="S75" s="3">
        <v>0</v>
      </c>
      <c r="T75" s="2">
        <v>0</v>
      </c>
      <c r="U75" s="13" t="s">
        <v>25</v>
      </c>
      <c r="V75" s="13" t="str">
        <f t="shared" si="7"/>
        <v>No</v>
      </c>
      <c r="W75" s="13" t="str">
        <f t="shared" si="7"/>
        <v>Yes</v>
      </c>
      <c r="X75" s="13" t="str">
        <f t="shared" si="7"/>
        <v>No</v>
      </c>
      <c r="Y75" s="13" t="str">
        <f t="shared" si="7"/>
        <v>No</v>
      </c>
      <c r="Z75" s="13" t="str">
        <f t="shared" si="7"/>
        <v>No</v>
      </c>
      <c r="AA75" s="71" t="e">
        <f>+(Table1[[#This Row],[Everyday price]]-Table1[[#This Row],[Promo Price]])/Table1[[#This Row],[Everyday price]]</f>
        <v>#DIV/0!</v>
      </c>
      <c r="AC75" s="69"/>
      <c r="AH75" s="6"/>
      <c r="AI75" s="11"/>
      <c r="AJ75" s="116" t="str">
        <f>IF(AND(ISNUMBER(Table1[[#This Row],[Lift  ]]),ISNUMBER(Table1[[#This Row],[Plan lift, %]]),Table1[[#This Row],[Plan lift, %]]&lt;&gt;0),Table1[[#This Row],[Lift  ]]-Table1[[#This Row],[Plan lift, %]],"")</f>
        <v/>
      </c>
      <c r="AK75" s="116"/>
    </row>
    <row r="76" spans="1:39" x14ac:dyDescent="0.35">
      <c r="A76" t="s">
        <v>1109</v>
      </c>
      <c r="B76" s="12">
        <v>1484</v>
      </c>
      <c r="C76" s="21" t="s">
        <v>291</v>
      </c>
      <c r="D76" s="13" t="s">
        <v>1232</v>
      </c>
      <c r="F76" s="21" t="s">
        <v>1110</v>
      </c>
      <c r="G76" t="s">
        <v>44</v>
      </c>
      <c r="H76" s="14">
        <v>46266</v>
      </c>
      <c r="I76" s="14">
        <v>46293</v>
      </c>
      <c r="J76" s="13" t="s">
        <v>29</v>
      </c>
      <c r="L76" s="2">
        <v>323.82</v>
      </c>
      <c r="M76" s="2">
        <v>6168</v>
      </c>
      <c r="N76" s="2">
        <v>308.39999999999998</v>
      </c>
      <c r="O76" s="2">
        <v>6476.4</v>
      </c>
      <c r="P76" s="3">
        <v>0.05</v>
      </c>
      <c r="Q76" s="3"/>
      <c r="R76" s="2">
        <v>0</v>
      </c>
      <c r="S76" s="3">
        <v>0</v>
      </c>
      <c r="T76" s="2">
        <v>0</v>
      </c>
      <c r="U76" s="13" t="s">
        <v>53</v>
      </c>
      <c r="V76" s="13" t="str">
        <f t="shared" si="7"/>
        <v>No</v>
      </c>
      <c r="W76" s="13" t="str">
        <f t="shared" si="7"/>
        <v>No</v>
      </c>
      <c r="X76" s="13" t="str">
        <f t="shared" si="7"/>
        <v>No</v>
      </c>
      <c r="Y76" s="13" t="str">
        <f t="shared" si="7"/>
        <v>Yes</v>
      </c>
      <c r="Z76" s="13" t="str">
        <f t="shared" si="7"/>
        <v>No</v>
      </c>
      <c r="AA76" s="71" t="e">
        <f>+(Table1[[#This Row],[Everyday price]]-Table1[[#This Row],[Promo Price]])/Table1[[#This Row],[Everyday price]]</f>
        <v>#DIV/0!</v>
      </c>
      <c r="AC76" s="69"/>
      <c r="AH76" s="6"/>
      <c r="AI76" s="11"/>
      <c r="AJ76" s="116" t="str">
        <f>IF(AND(ISNUMBER(Table1[[#This Row],[Lift  ]]),ISNUMBER(Table1[[#This Row],[Plan lift, %]]),Table1[[#This Row],[Plan lift, %]]&lt;&gt;0),Table1[[#This Row],[Lift  ]]-Table1[[#This Row],[Plan lift, %]],"")</f>
        <v/>
      </c>
      <c r="AK76" s="116"/>
    </row>
    <row r="77" spans="1:39" x14ac:dyDescent="0.35">
      <c r="A77" t="s">
        <v>668</v>
      </c>
      <c r="B77" s="12">
        <v>1485</v>
      </c>
      <c r="C77" s="21" t="s">
        <v>291</v>
      </c>
      <c r="D77" s="13" t="s">
        <v>1232</v>
      </c>
      <c r="F77" s="21" t="s">
        <v>143</v>
      </c>
      <c r="G77" t="s">
        <v>44</v>
      </c>
      <c r="H77" s="14">
        <v>46296</v>
      </c>
      <c r="I77" s="14">
        <v>46323</v>
      </c>
      <c r="J77" s="13" t="s">
        <v>29</v>
      </c>
      <c r="L77" s="2">
        <v>9252</v>
      </c>
      <c r="M77" s="2">
        <v>6168</v>
      </c>
      <c r="N77" s="2">
        <v>3084</v>
      </c>
      <c r="O77" s="2">
        <v>9252</v>
      </c>
      <c r="P77" s="3">
        <v>0.5</v>
      </c>
      <c r="Q77" s="3"/>
      <c r="R77" s="2">
        <v>0</v>
      </c>
      <c r="S77" s="3">
        <v>0</v>
      </c>
      <c r="T77" s="2">
        <v>0</v>
      </c>
      <c r="U77" s="13" t="s">
        <v>25</v>
      </c>
      <c r="V77" s="13" t="str">
        <f t="shared" si="7"/>
        <v>No</v>
      </c>
      <c r="W77" s="13" t="str">
        <f t="shared" si="7"/>
        <v>Yes</v>
      </c>
      <c r="X77" s="13" t="str">
        <f t="shared" si="7"/>
        <v>No</v>
      </c>
      <c r="Y77" s="13" t="str">
        <f t="shared" si="7"/>
        <v>No</v>
      </c>
      <c r="Z77" s="13" t="str">
        <f t="shared" si="7"/>
        <v>No</v>
      </c>
      <c r="AA77" s="71" t="e">
        <f>+(Table1[[#This Row],[Everyday price]]-Table1[[#This Row],[Promo Price]])/Table1[[#This Row],[Everyday price]]</f>
        <v>#DIV/0!</v>
      </c>
      <c r="AC77" s="69"/>
      <c r="AH77" s="6"/>
      <c r="AI77" s="11"/>
      <c r="AJ77" s="116" t="str">
        <f>IF(AND(ISNUMBER(Table1[[#This Row],[Lift  ]]),ISNUMBER(Table1[[#This Row],[Plan lift, %]]),Table1[[#This Row],[Plan lift, %]]&lt;&gt;0),Table1[[#This Row],[Lift  ]]-Table1[[#This Row],[Plan lift, %]],"")</f>
        <v/>
      </c>
      <c r="AK77" s="116"/>
    </row>
    <row r="78" spans="1:39" x14ac:dyDescent="0.35">
      <c r="A78" t="s">
        <v>1062</v>
      </c>
      <c r="B78" s="143">
        <v>1486</v>
      </c>
      <c r="C78" s="21" t="s">
        <v>800</v>
      </c>
      <c r="D78" s="13" t="s">
        <v>1232</v>
      </c>
      <c r="F78" s="21" t="s">
        <v>125</v>
      </c>
      <c r="G78" t="s">
        <v>23</v>
      </c>
      <c r="H78" s="14">
        <v>46050</v>
      </c>
      <c r="I78" s="14">
        <v>46084</v>
      </c>
      <c r="J78" s="13" t="s">
        <v>29</v>
      </c>
      <c r="L78" s="2">
        <v>10072.4</v>
      </c>
      <c r="M78" s="2">
        <v>7748</v>
      </c>
      <c r="N78" s="2">
        <v>2324.4</v>
      </c>
      <c r="O78" s="2">
        <v>10072.4</v>
      </c>
      <c r="P78" s="3">
        <v>0.3</v>
      </c>
      <c r="Q78" s="3"/>
      <c r="R78" s="2">
        <v>1832.06</v>
      </c>
      <c r="S78" s="3">
        <v>0.32</v>
      </c>
      <c r="T78" s="2">
        <v>7487.71</v>
      </c>
      <c r="U78" s="13" t="s">
        <v>25</v>
      </c>
      <c r="V78" s="13" t="str">
        <f t="shared" si="7"/>
        <v>No</v>
      </c>
      <c r="W78" s="13" t="str">
        <f t="shared" si="7"/>
        <v>Yes</v>
      </c>
      <c r="X78" s="13" t="str">
        <f t="shared" si="7"/>
        <v>No</v>
      </c>
      <c r="Y78" s="13" t="str">
        <f t="shared" si="7"/>
        <v>No</v>
      </c>
      <c r="Z78" s="13" t="str">
        <f t="shared" si="7"/>
        <v>No</v>
      </c>
      <c r="AA78" s="71">
        <f>+(Table1[[#This Row],[Everyday price]]-Table1[[#This Row],[Promo Price]])/Table1[[#This Row],[Everyday price]]</f>
        <v>0.12349397590361449</v>
      </c>
      <c r="AB78" s="69">
        <v>8.73</v>
      </c>
      <c r="AC78" s="69">
        <v>9.9600000000000009</v>
      </c>
      <c r="AD78" s="41" t="s">
        <v>1257</v>
      </c>
      <c r="AE78" s="5">
        <v>46055</v>
      </c>
      <c r="AF78" s="5">
        <v>46096</v>
      </c>
      <c r="AG78" s="20">
        <v>6928</v>
      </c>
      <c r="AH78" s="6">
        <v>2600</v>
      </c>
      <c r="AI78" s="11">
        <f>Table1[[#This Row],[Incremental Units]]/Table1[[#This Row],[Base Units]]</f>
        <v>0.37528868360277134</v>
      </c>
      <c r="AJ78" s="116">
        <f>IF(AND(ISNUMBER(Table1[[#This Row],[Lift  ]]),ISNUMBER(Table1[[#This Row],[Plan lift, %]]),Table1[[#This Row],[Plan lift, %]]&lt;&gt;0),Table1[[#This Row],[Lift  ]]-Table1[[#This Row],[Plan lift, %]],"")</f>
        <v>7.5288683602771356E-2</v>
      </c>
      <c r="AK78" s="116"/>
      <c r="AL78" s="15" t="s">
        <v>1400</v>
      </c>
    </row>
    <row r="79" spans="1:39" x14ac:dyDescent="0.35">
      <c r="A79" t="s">
        <v>823</v>
      </c>
      <c r="B79" s="143">
        <v>1487</v>
      </c>
      <c r="C79" s="21" t="s">
        <v>800</v>
      </c>
      <c r="D79" s="13" t="s">
        <v>1232</v>
      </c>
      <c r="F79" s="21" t="s">
        <v>187</v>
      </c>
      <c r="G79" t="s">
        <v>23</v>
      </c>
      <c r="H79" s="14">
        <v>46085</v>
      </c>
      <c r="I79" s="14">
        <v>46112</v>
      </c>
      <c r="J79" s="13" t="s">
        <v>29</v>
      </c>
      <c r="L79" s="2">
        <v>9297.6</v>
      </c>
      <c r="M79" s="2">
        <v>6198.4</v>
      </c>
      <c r="N79" s="2">
        <v>3099.2</v>
      </c>
      <c r="O79" s="2">
        <v>9297.6</v>
      </c>
      <c r="P79" s="3">
        <v>0.5</v>
      </c>
      <c r="Q79" s="3"/>
      <c r="R79" s="2">
        <v>1045.8499999999999</v>
      </c>
      <c r="S79" s="3">
        <v>0.22</v>
      </c>
      <c r="T79" s="2">
        <v>5849.43</v>
      </c>
      <c r="U79" s="13" t="s">
        <v>25</v>
      </c>
      <c r="V79" s="13" t="str">
        <f t="shared" si="7"/>
        <v>No</v>
      </c>
      <c r="W79" s="13" t="str">
        <f t="shared" si="7"/>
        <v>Yes</v>
      </c>
      <c r="X79" s="13" t="str">
        <f t="shared" si="7"/>
        <v>No</v>
      </c>
      <c r="Y79" s="13" t="str">
        <f t="shared" si="7"/>
        <v>No</v>
      </c>
      <c r="Z79" s="13" t="str">
        <f t="shared" si="7"/>
        <v>No</v>
      </c>
      <c r="AA79" s="71">
        <f>+(Table1[[#This Row],[Everyday price]]-Table1[[#This Row],[Promo Price]])/Table1[[#This Row],[Everyday price]]</f>
        <v>0.13755020080321295</v>
      </c>
      <c r="AB79" s="69">
        <v>8.59</v>
      </c>
      <c r="AC79" s="69">
        <v>9.9600000000000009</v>
      </c>
      <c r="AD79" s="40" t="s">
        <v>1257</v>
      </c>
      <c r="AE79" s="5">
        <v>46146</v>
      </c>
      <c r="AF79" s="5">
        <v>46173</v>
      </c>
      <c r="AG79" s="20">
        <v>4780</v>
      </c>
      <c r="AH79" s="6">
        <v>2181</v>
      </c>
      <c r="AI79" s="11">
        <f>Table1[[#This Row],[Incremental Units]]/Table1[[#This Row],[Base Units]]</f>
        <v>0.45627615062761506</v>
      </c>
      <c r="AJ79" s="116">
        <f>IF(AND(ISNUMBER(Table1[[#This Row],[Lift  ]]),ISNUMBER(Table1[[#This Row],[Plan lift, %]]),Table1[[#This Row],[Plan lift, %]]&lt;&gt;0),Table1[[#This Row],[Lift  ]]-Table1[[#This Row],[Plan lift, %]],"")</f>
        <v>-4.3723849372384938E-2</v>
      </c>
      <c r="AK79" s="116"/>
      <c r="AL79" s="15" t="s">
        <v>1400</v>
      </c>
    </row>
    <row r="80" spans="1:39" x14ac:dyDescent="0.35">
      <c r="A80" t="s">
        <v>932</v>
      </c>
      <c r="B80" s="12">
        <v>1477</v>
      </c>
      <c r="C80" s="21" t="s">
        <v>800</v>
      </c>
      <c r="D80" s="13" t="s">
        <v>1232</v>
      </c>
      <c r="F80" s="21" t="s">
        <v>933</v>
      </c>
      <c r="G80" t="s">
        <v>23</v>
      </c>
      <c r="H80" s="14">
        <v>46113</v>
      </c>
      <c r="I80" s="14">
        <v>46142</v>
      </c>
      <c r="J80" s="13" t="s">
        <v>29</v>
      </c>
      <c r="L80" s="2">
        <v>2899.2</v>
      </c>
      <c r="M80" s="2">
        <v>3813.5</v>
      </c>
      <c r="N80" s="2">
        <v>0</v>
      </c>
      <c r="O80" s="2">
        <v>3813.5</v>
      </c>
      <c r="P80" s="3">
        <v>0</v>
      </c>
      <c r="Q80" s="3"/>
      <c r="R80" s="2">
        <v>158.61000000000001</v>
      </c>
      <c r="S80" s="3">
        <v>0.05</v>
      </c>
      <c r="T80" s="2">
        <v>3292.43</v>
      </c>
      <c r="U80" s="13" t="s">
        <v>261</v>
      </c>
      <c r="V80" s="13" t="str">
        <f t="shared" si="7"/>
        <v>Yes</v>
      </c>
      <c r="W80" s="13" t="str">
        <f t="shared" si="7"/>
        <v>No</v>
      </c>
      <c r="X80" s="13" t="str">
        <f t="shared" si="7"/>
        <v>No</v>
      </c>
      <c r="Y80" s="13" t="str">
        <f t="shared" si="7"/>
        <v>No</v>
      </c>
      <c r="Z80" s="13" t="str">
        <f t="shared" si="7"/>
        <v>No</v>
      </c>
      <c r="AA80" s="71" t="e">
        <f>+(Table1[[#This Row],[Everyday price]]-Table1[[#This Row],[Promo Price]])/Table1[[#This Row],[Everyday price]]</f>
        <v>#DIV/0!</v>
      </c>
      <c r="AC80" s="69"/>
      <c r="AH80" s="6"/>
      <c r="AJ80" s="116" t="str">
        <f>IF(AND(ISNUMBER(Table1[[#This Row],[Lift  ]]),ISNUMBER(Table1[[#This Row],[Plan lift, %]]),Table1[[#This Row],[Plan lift, %]]&lt;&gt;0),Table1[[#This Row],[Lift  ]]-Table1[[#This Row],[Plan lift, %]],"")</f>
        <v/>
      </c>
      <c r="AK80" s="116"/>
    </row>
    <row r="81" spans="1:38" x14ac:dyDescent="0.35">
      <c r="A81" t="s">
        <v>1186</v>
      </c>
      <c r="B81" s="12">
        <v>1488</v>
      </c>
      <c r="C81" s="21" t="s">
        <v>800</v>
      </c>
      <c r="D81" s="13" t="s">
        <v>1232</v>
      </c>
      <c r="F81" s="21" t="s">
        <v>563</v>
      </c>
      <c r="G81" t="s">
        <v>23</v>
      </c>
      <c r="H81" s="14">
        <v>46113</v>
      </c>
      <c r="I81" s="14">
        <v>46140</v>
      </c>
      <c r="J81" s="13" t="s">
        <v>29</v>
      </c>
      <c r="L81" s="2">
        <v>323.49</v>
      </c>
      <c r="M81" s="2">
        <v>6161.6</v>
      </c>
      <c r="N81" s="2">
        <v>308.08</v>
      </c>
      <c r="O81" s="2">
        <v>6469.68</v>
      </c>
      <c r="P81" s="3">
        <v>0.05</v>
      </c>
      <c r="Q81" s="3"/>
      <c r="R81" s="2">
        <v>243.58</v>
      </c>
      <c r="S81" s="3">
        <v>0.05</v>
      </c>
      <c r="T81" s="2">
        <v>5128.87</v>
      </c>
      <c r="U81" s="13" t="s">
        <v>53</v>
      </c>
      <c r="V81" s="13" t="str">
        <f t="shared" si="7"/>
        <v>No</v>
      </c>
      <c r="W81" s="13" t="str">
        <f t="shared" si="7"/>
        <v>No</v>
      </c>
      <c r="X81" s="13" t="str">
        <f t="shared" si="7"/>
        <v>No</v>
      </c>
      <c r="Y81" s="13" t="str">
        <f t="shared" si="7"/>
        <v>Yes</v>
      </c>
      <c r="Z81" s="13" t="str">
        <f t="shared" si="7"/>
        <v>No</v>
      </c>
      <c r="AA81" s="71" t="e">
        <f>+(Table1[[#This Row],[Everyday price]]-Table1[[#This Row],[Promo Price]])/Table1[[#This Row],[Everyday price]]</f>
        <v>#DIV/0!</v>
      </c>
      <c r="AC81" s="69"/>
      <c r="AH81" s="6"/>
      <c r="AJ81" s="116" t="str">
        <f>IF(AND(ISNUMBER(Table1[[#This Row],[Lift  ]]),ISNUMBER(Table1[[#This Row],[Plan lift, %]]),Table1[[#This Row],[Plan lift, %]]&lt;&gt;0),Table1[[#This Row],[Lift  ]]-Table1[[#This Row],[Plan lift, %]],"")</f>
        <v/>
      </c>
      <c r="AK81" s="116"/>
    </row>
    <row r="82" spans="1:38" x14ac:dyDescent="0.35">
      <c r="A82" t="s">
        <v>803</v>
      </c>
      <c r="B82" s="143">
        <v>1489</v>
      </c>
      <c r="C82" s="21" t="s">
        <v>800</v>
      </c>
      <c r="D82" s="13" t="s">
        <v>1232</v>
      </c>
      <c r="F82" s="21" t="s">
        <v>107</v>
      </c>
      <c r="G82" t="s">
        <v>23</v>
      </c>
      <c r="H82" s="14">
        <v>46141</v>
      </c>
      <c r="I82" s="14">
        <v>46168</v>
      </c>
      <c r="J82" s="13" t="s">
        <v>29</v>
      </c>
      <c r="L82" s="2">
        <v>9045.7900000000009</v>
      </c>
      <c r="M82" s="2">
        <v>6153.6</v>
      </c>
      <c r="N82" s="2">
        <v>2461.44</v>
      </c>
      <c r="O82" s="2">
        <v>8615.0400000000009</v>
      </c>
      <c r="P82" s="3">
        <v>0.4</v>
      </c>
      <c r="Q82" s="3"/>
      <c r="R82" s="2">
        <v>1847.43</v>
      </c>
      <c r="S82" s="3">
        <v>0.39</v>
      </c>
      <c r="T82" s="2">
        <v>6628.85</v>
      </c>
      <c r="U82" s="13" t="s">
        <v>108</v>
      </c>
      <c r="V82" s="13" t="str">
        <f t="shared" ref="V82:Z91" si="8">IF(ISNUMBER(SEARCH(V$1,$U82)),"Yes","No")</f>
        <v>No</v>
      </c>
      <c r="W82" s="13" t="str">
        <f t="shared" si="8"/>
        <v>Yes</v>
      </c>
      <c r="X82" s="13" t="str">
        <f t="shared" si="8"/>
        <v>No</v>
      </c>
      <c r="Y82" s="13" t="str">
        <f t="shared" si="8"/>
        <v>Yes</v>
      </c>
      <c r="Z82" s="13" t="str">
        <f t="shared" si="8"/>
        <v>No</v>
      </c>
      <c r="AA82" s="71" t="e">
        <f>+(Table1[[#This Row],[Everyday price]]-Table1[[#This Row],[Promo Price]])/Table1[[#This Row],[Everyday price]]</f>
        <v>#DIV/0!</v>
      </c>
      <c r="AC82" s="69"/>
      <c r="AH82" s="6"/>
      <c r="AJ82" s="116" t="str">
        <f>IF(AND(ISNUMBER(Table1[[#This Row],[Lift  ]]),ISNUMBER(Table1[[#This Row],[Plan lift, %]]),Table1[[#This Row],[Plan lift, %]]&lt;&gt;0),Table1[[#This Row],[Lift  ]]-Table1[[#This Row],[Plan lift, %]],"")</f>
        <v/>
      </c>
      <c r="AK82" s="116"/>
    </row>
    <row r="83" spans="1:38" x14ac:dyDescent="0.35">
      <c r="A83" t="s">
        <v>1021</v>
      </c>
      <c r="B83" s="12" t="s">
        <v>1690</v>
      </c>
      <c r="C83" s="21" t="s">
        <v>800</v>
      </c>
      <c r="D83" s="13" t="s">
        <v>1232</v>
      </c>
      <c r="F83" s="21" t="s">
        <v>154</v>
      </c>
      <c r="G83" t="s">
        <v>23</v>
      </c>
      <c r="H83" s="14">
        <v>46204</v>
      </c>
      <c r="I83" s="14">
        <v>46231</v>
      </c>
      <c r="J83" s="13" t="s">
        <v>24</v>
      </c>
      <c r="L83" s="2">
        <v>2553.6</v>
      </c>
      <c r="M83" s="2">
        <v>368</v>
      </c>
      <c r="N83" s="2">
        <v>184</v>
      </c>
      <c r="O83" s="2">
        <v>552</v>
      </c>
      <c r="P83" s="3">
        <v>0.5</v>
      </c>
      <c r="Q83" s="3"/>
      <c r="R83" s="2">
        <v>0</v>
      </c>
      <c r="S83" s="3">
        <v>0</v>
      </c>
      <c r="T83" s="2">
        <v>0</v>
      </c>
      <c r="U83" s="13" t="s">
        <v>25</v>
      </c>
      <c r="V83" s="13" t="str">
        <f t="shared" si="8"/>
        <v>No</v>
      </c>
      <c r="W83" s="13" t="str">
        <f t="shared" si="8"/>
        <v>Yes</v>
      </c>
      <c r="X83" s="13" t="str">
        <f t="shared" si="8"/>
        <v>No</v>
      </c>
      <c r="Y83" s="13" t="str">
        <f t="shared" si="8"/>
        <v>No</v>
      </c>
      <c r="Z83" s="13" t="str">
        <f t="shared" si="8"/>
        <v>No</v>
      </c>
      <c r="AA83" s="71" t="e">
        <f>+(Table1[[#This Row],[Everyday price]]-Table1[[#This Row],[Promo Price]])/Table1[[#This Row],[Everyday price]]</f>
        <v>#DIV/0!</v>
      </c>
      <c r="AC83" s="69"/>
      <c r="AH83" s="6"/>
      <c r="AJ83" s="116" t="str">
        <f>IF(AND(ISNUMBER(Table1[[#This Row],[Lift  ]]),ISNUMBER(Table1[[#This Row],[Plan lift, %]]),Table1[[#This Row],[Plan lift, %]]&lt;&gt;0),Table1[[#This Row],[Lift  ]]-Table1[[#This Row],[Plan lift, %]],"")</f>
        <v/>
      </c>
      <c r="AK83" s="116"/>
    </row>
    <row r="84" spans="1:38" x14ac:dyDescent="0.35">
      <c r="A84" t="s">
        <v>1021</v>
      </c>
      <c r="B84" s="12" t="s">
        <v>1691</v>
      </c>
      <c r="C84" s="21" t="s">
        <v>800</v>
      </c>
      <c r="D84" s="13" t="s">
        <v>1232</v>
      </c>
      <c r="F84" s="21" t="s">
        <v>154</v>
      </c>
      <c r="G84" t="s">
        <v>23</v>
      </c>
      <c r="H84" s="14">
        <v>46204</v>
      </c>
      <c r="I84" s="14">
        <v>46231</v>
      </c>
      <c r="J84" s="13" t="s">
        <v>29</v>
      </c>
      <c r="L84" s="2">
        <v>9230.4</v>
      </c>
      <c r="M84" s="2">
        <v>6153.6</v>
      </c>
      <c r="N84" s="2">
        <v>3076.8</v>
      </c>
      <c r="O84" s="2">
        <v>9230.4</v>
      </c>
      <c r="P84" s="3">
        <v>0.5</v>
      </c>
      <c r="Q84" s="3"/>
      <c r="R84" s="2">
        <v>614.67999999999995</v>
      </c>
      <c r="S84" s="3">
        <v>0.4</v>
      </c>
      <c r="T84" s="2">
        <v>2162.7199999999998</v>
      </c>
      <c r="U84" s="13" t="s">
        <v>25</v>
      </c>
      <c r="V84" s="13" t="str">
        <f t="shared" si="8"/>
        <v>No</v>
      </c>
      <c r="W84" s="13" t="str">
        <f t="shared" si="8"/>
        <v>Yes</v>
      </c>
      <c r="X84" s="13" t="str">
        <f t="shared" si="8"/>
        <v>No</v>
      </c>
      <c r="Y84" s="13" t="str">
        <f t="shared" si="8"/>
        <v>No</v>
      </c>
      <c r="Z84" s="13" t="str">
        <f t="shared" si="8"/>
        <v>No</v>
      </c>
      <c r="AA84" s="71" t="e">
        <f>+(Table1[[#This Row],[Everyday price]]-Table1[[#This Row],[Promo Price]])/Table1[[#This Row],[Everyday price]]</f>
        <v>#DIV/0!</v>
      </c>
      <c r="AC84" s="69"/>
      <c r="AH84" s="6"/>
      <c r="AJ84" s="116" t="str">
        <f>IF(AND(ISNUMBER(Table1[[#This Row],[Lift  ]]),ISNUMBER(Table1[[#This Row],[Plan lift, %]]),Table1[[#This Row],[Plan lift, %]]&lt;&gt;0),Table1[[#This Row],[Lift  ]]-Table1[[#This Row],[Plan lift, %]],"")</f>
        <v/>
      </c>
      <c r="AK84" s="116"/>
    </row>
    <row r="85" spans="1:38" x14ac:dyDescent="0.35">
      <c r="A85" t="s">
        <v>809</v>
      </c>
      <c r="B85" s="12">
        <v>1491</v>
      </c>
      <c r="C85" s="21" t="s">
        <v>800</v>
      </c>
      <c r="D85" s="13" t="s">
        <v>1232</v>
      </c>
      <c r="F85" s="21" t="s">
        <v>317</v>
      </c>
      <c r="G85" t="s">
        <v>60</v>
      </c>
      <c r="H85" s="14">
        <v>46235</v>
      </c>
      <c r="I85" s="14">
        <v>46262</v>
      </c>
      <c r="J85" s="13" t="s">
        <v>29</v>
      </c>
      <c r="L85" s="2">
        <v>21537.599999999999</v>
      </c>
      <c r="M85" s="2">
        <v>6153.6</v>
      </c>
      <c r="N85" s="2">
        <v>4615.2</v>
      </c>
      <c r="O85" s="2">
        <v>10768.8</v>
      </c>
      <c r="P85" s="3">
        <v>0.75</v>
      </c>
      <c r="Q85" s="3"/>
      <c r="R85" s="2">
        <v>0</v>
      </c>
      <c r="S85" s="3">
        <v>0</v>
      </c>
      <c r="T85" s="2">
        <v>0</v>
      </c>
      <c r="U85" s="13" t="s">
        <v>25</v>
      </c>
      <c r="V85" s="13" t="str">
        <f t="shared" si="8"/>
        <v>No</v>
      </c>
      <c r="W85" s="13" t="str">
        <f t="shared" si="8"/>
        <v>Yes</v>
      </c>
      <c r="X85" s="13" t="str">
        <f t="shared" si="8"/>
        <v>No</v>
      </c>
      <c r="Y85" s="13" t="str">
        <f t="shared" si="8"/>
        <v>No</v>
      </c>
      <c r="Z85" s="13" t="str">
        <f t="shared" si="8"/>
        <v>No</v>
      </c>
      <c r="AA85" s="71" t="e">
        <f>+(Table1[[#This Row],[Everyday price]]-Table1[[#This Row],[Promo Price]])/Table1[[#This Row],[Everyday price]]</f>
        <v>#DIV/0!</v>
      </c>
      <c r="AC85" s="69"/>
      <c r="AH85" s="6"/>
      <c r="AJ85" s="116" t="str">
        <f>IF(AND(ISNUMBER(Table1[[#This Row],[Lift  ]]),ISNUMBER(Table1[[#This Row],[Plan lift, %]]),Table1[[#This Row],[Plan lift, %]]&lt;&gt;0),Table1[[#This Row],[Lift  ]]-Table1[[#This Row],[Plan lift, %]],"")</f>
        <v/>
      </c>
      <c r="AK85" s="116"/>
    </row>
    <row r="86" spans="1:38" x14ac:dyDescent="0.35">
      <c r="A86" t="s">
        <v>935</v>
      </c>
      <c r="B86" s="12">
        <v>1492</v>
      </c>
      <c r="C86" s="21" t="s">
        <v>800</v>
      </c>
      <c r="D86" s="13" t="s">
        <v>1232</v>
      </c>
      <c r="F86" s="21" t="s">
        <v>725</v>
      </c>
      <c r="G86" t="s">
        <v>44</v>
      </c>
      <c r="H86" s="14">
        <v>46266</v>
      </c>
      <c r="I86" s="14">
        <v>46293</v>
      </c>
      <c r="J86" s="13" t="s">
        <v>29</v>
      </c>
      <c r="L86" s="2">
        <v>323.06</v>
      </c>
      <c r="M86" s="2">
        <v>6153.6</v>
      </c>
      <c r="N86" s="2">
        <v>307.68</v>
      </c>
      <c r="O86" s="2">
        <v>6461.28</v>
      </c>
      <c r="P86" s="3">
        <v>0.05</v>
      </c>
      <c r="Q86" s="3"/>
      <c r="R86" s="2">
        <v>0</v>
      </c>
      <c r="S86" s="3">
        <v>0</v>
      </c>
      <c r="T86" s="2">
        <v>0</v>
      </c>
      <c r="U86" s="13" t="s">
        <v>53</v>
      </c>
      <c r="V86" s="13" t="str">
        <f t="shared" si="8"/>
        <v>No</v>
      </c>
      <c r="W86" s="13" t="str">
        <f t="shared" si="8"/>
        <v>No</v>
      </c>
      <c r="X86" s="13" t="str">
        <f t="shared" si="8"/>
        <v>No</v>
      </c>
      <c r="Y86" s="13" t="str">
        <f t="shared" si="8"/>
        <v>Yes</v>
      </c>
      <c r="Z86" s="13" t="str">
        <f t="shared" si="8"/>
        <v>No</v>
      </c>
      <c r="AA86" s="71" t="e">
        <f>+(Table1[[#This Row],[Everyday price]]-Table1[[#This Row],[Promo Price]])/Table1[[#This Row],[Everyday price]]</f>
        <v>#DIV/0!</v>
      </c>
      <c r="AC86" s="69"/>
      <c r="AH86" s="6"/>
      <c r="AJ86" s="116" t="str">
        <f>IF(AND(ISNUMBER(Table1[[#This Row],[Lift  ]]),ISNUMBER(Table1[[#This Row],[Plan lift, %]]),Table1[[#This Row],[Plan lift, %]]&lt;&gt;0),Table1[[#This Row],[Lift  ]]-Table1[[#This Row],[Plan lift, %]],"")</f>
        <v/>
      </c>
      <c r="AK86" s="116"/>
    </row>
    <row r="87" spans="1:38" x14ac:dyDescent="0.35">
      <c r="A87" t="s">
        <v>799</v>
      </c>
      <c r="B87" s="12">
        <v>1493</v>
      </c>
      <c r="C87" s="21" t="s">
        <v>800</v>
      </c>
      <c r="D87" s="13" t="s">
        <v>1232</v>
      </c>
      <c r="F87" s="21" t="s">
        <v>143</v>
      </c>
      <c r="G87" t="s">
        <v>44</v>
      </c>
      <c r="H87" s="14">
        <v>46296</v>
      </c>
      <c r="I87" s="14">
        <v>46323</v>
      </c>
      <c r="J87" s="13" t="s">
        <v>29</v>
      </c>
      <c r="L87" s="2">
        <v>8615.0400000000009</v>
      </c>
      <c r="M87" s="2">
        <v>6153.6</v>
      </c>
      <c r="N87" s="2">
        <v>2461.44</v>
      </c>
      <c r="O87" s="2">
        <v>8615.0400000000009</v>
      </c>
      <c r="P87" s="3">
        <v>0.4</v>
      </c>
      <c r="Q87" s="3"/>
      <c r="R87" s="2">
        <v>0</v>
      </c>
      <c r="S87" s="3">
        <v>0</v>
      </c>
      <c r="T87" s="2">
        <v>0</v>
      </c>
      <c r="U87" s="13" t="s">
        <v>25</v>
      </c>
      <c r="V87" s="13" t="str">
        <f t="shared" si="8"/>
        <v>No</v>
      </c>
      <c r="W87" s="13" t="str">
        <f t="shared" si="8"/>
        <v>Yes</v>
      </c>
      <c r="X87" s="13" t="str">
        <f t="shared" si="8"/>
        <v>No</v>
      </c>
      <c r="Y87" s="13" t="str">
        <f t="shared" si="8"/>
        <v>No</v>
      </c>
      <c r="Z87" s="13" t="str">
        <f t="shared" si="8"/>
        <v>No</v>
      </c>
      <c r="AA87" s="71" t="e">
        <f>+(Table1[[#This Row],[Everyday price]]-Table1[[#This Row],[Promo Price]])/Table1[[#This Row],[Everyday price]]</f>
        <v>#DIV/0!</v>
      </c>
      <c r="AC87" s="69"/>
      <c r="AH87" s="6"/>
      <c r="AJ87" s="116" t="str">
        <f>IF(AND(ISNUMBER(Table1[[#This Row],[Lift  ]]),ISNUMBER(Table1[[#This Row],[Plan lift, %]]),Table1[[#This Row],[Plan lift, %]]&lt;&gt;0),Table1[[#This Row],[Lift  ]]-Table1[[#This Row],[Plan lift, %]],"")</f>
        <v/>
      </c>
      <c r="AK87" s="116"/>
    </row>
    <row r="88" spans="1:38" x14ac:dyDescent="0.35">
      <c r="A88" t="s">
        <v>549</v>
      </c>
      <c r="B88" s="143">
        <v>1494</v>
      </c>
      <c r="C88" s="21" t="s">
        <v>175</v>
      </c>
      <c r="D88" s="13" t="s">
        <v>1232</v>
      </c>
      <c r="F88" s="21" t="s">
        <v>125</v>
      </c>
      <c r="G88" t="s">
        <v>23</v>
      </c>
      <c r="H88" s="14">
        <v>46050</v>
      </c>
      <c r="I88" s="14">
        <v>46084</v>
      </c>
      <c r="J88" s="13" t="s">
        <v>29</v>
      </c>
      <c r="L88" s="2">
        <v>15595.2</v>
      </c>
      <c r="M88" s="2">
        <v>12996</v>
      </c>
      <c r="N88" s="2">
        <v>2599.1999999999998</v>
      </c>
      <c r="O88" s="2">
        <v>15595.2</v>
      </c>
      <c r="P88" s="3">
        <v>0.2</v>
      </c>
      <c r="Q88" s="3"/>
      <c r="R88" s="2">
        <v>2921.24</v>
      </c>
      <c r="S88" s="3">
        <v>0.27</v>
      </c>
      <c r="T88" s="2">
        <v>13839.28</v>
      </c>
      <c r="U88" s="13" t="s">
        <v>25</v>
      </c>
      <c r="V88" s="13" t="str">
        <f t="shared" si="8"/>
        <v>No</v>
      </c>
      <c r="W88" s="13" t="str">
        <f t="shared" si="8"/>
        <v>Yes</v>
      </c>
      <c r="X88" s="13" t="str">
        <f t="shared" si="8"/>
        <v>No</v>
      </c>
      <c r="Y88" s="13" t="str">
        <f t="shared" si="8"/>
        <v>No</v>
      </c>
      <c r="Z88" s="13" t="str">
        <f t="shared" si="8"/>
        <v>No</v>
      </c>
      <c r="AA88" s="71">
        <f>+(Table1[[#This Row],[Everyday price]]-Table1[[#This Row],[Promo Price]])/Table1[[#This Row],[Everyday price]]</f>
        <v>0.13755020080321295</v>
      </c>
      <c r="AB88" s="69">
        <v>8.59</v>
      </c>
      <c r="AC88" s="69">
        <v>9.9600000000000009</v>
      </c>
      <c r="AD88" s="40" t="s">
        <v>1257</v>
      </c>
      <c r="AE88" s="5">
        <v>46146</v>
      </c>
      <c r="AF88" s="5">
        <v>46173</v>
      </c>
      <c r="AG88" s="20">
        <v>4780</v>
      </c>
      <c r="AH88" s="6">
        <v>2181</v>
      </c>
      <c r="AI88" s="11">
        <f>Table1[[#This Row],[Incremental Units]]/Table1[[#This Row],[Base Units]]</f>
        <v>0.45627615062761506</v>
      </c>
      <c r="AJ88" s="116">
        <f>IF(AND(ISNUMBER(Table1[[#This Row],[Lift  ]]),ISNUMBER(Table1[[#This Row],[Plan lift, %]]),Table1[[#This Row],[Plan lift, %]]&lt;&gt;0),Table1[[#This Row],[Lift  ]]-Table1[[#This Row],[Plan lift, %]],"")</f>
        <v>0.25627615062761505</v>
      </c>
      <c r="AK88" s="116"/>
      <c r="AL88" s="15" t="s">
        <v>1400</v>
      </c>
    </row>
    <row r="89" spans="1:38" x14ac:dyDescent="0.35">
      <c r="A89" t="s">
        <v>1069</v>
      </c>
      <c r="B89" s="12">
        <v>1495</v>
      </c>
      <c r="C89" s="21" t="s">
        <v>175</v>
      </c>
      <c r="D89" s="13" t="s">
        <v>1232</v>
      </c>
      <c r="F89" s="21" t="s">
        <v>187</v>
      </c>
      <c r="G89" t="s">
        <v>23</v>
      </c>
      <c r="H89" s="14">
        <v>46085</v>
      </c>
      <c r="I89" s="14">
        <v>46112</v>
      </c>
      <c r="J89" s="13" t="s">
        <v>29</v>
      </c>
      <c r="L89" s="2">
        <v>15595.2</v>
      </c>
      <c r="M89" s="2">
        <v>10396.799999999999</v>
      </c>
      <c r="N89" s="2">
        <v>5198.3999999999996</v>
      </c>
      <c r="O89" s="2">
        <v>15595.2</v>
      </c>
      <c r="P89" s="3">
        <v>0.5</v>
      </c>
      <c r="Q89" s="3"/>
      <c r="R89" s="2">
        <v>1164.45</v>
      </c>
      <c r="S89" s="3">
        <v>0.13</v>
      </c>
      <c r="T89" s="2">
        <v>10468.15</v>
      </c>
      <c r="U89" s="13" t="s">
        <v>25</v>
      </c>
      <c r="V89" s="13" t="str">
        <f t="shared" si="8"/>
        <v>No</v>
      </c>
      <c r="W89" s="13" t="str">
        <f t="shared" si="8"/>
        <v>Yes</v>
      </c>
      <c r="X89" s="13" t="str">
        <f t="shared" si="8"/>
        <v>No</v>
      </c>
      <c r="Y89" s="13" t="str">
        <f t="shared" si="8"/>
        <v>No</v>
      </c>
      <c r="Z89" s="13" t="str">
        <f t="shared" si="8"/>
        <v>No</v>
      </c>
      <c r="AA89" s="71" t="e">
        <f>+(Table1[[#This Row],[Everyday price]]-Table1[[#This Row],[Promo Price]])/Table1[[#This Row],[Everyday price]]</f>
        <v>#DIV/0!</v>
      </c>
      <c r="AC89" s="69"/>
      <c r="AH89" s="6"/>
      <c r="AJ89" s="116" t="str">
        <f>IF(AND(ISNUMBER(Table1[[#This Row],[Lift  ]]),ISNUMBER(Table1[[#This Row],[Plan lift, %]]),Table1[[#This Row],[Plan lift, %]]&lt;&gt;0),Table1[[#This Row],[Lift  ]]-Table1[[#This Row],[Plan lift, %]],"")</f>
        <v/>
      </c>
      <c r="AK89" s="116"/>
    </row>
    <row r="90" spans="1:38" x14ac:dyDescent="0.35">
      <c r="A90" t="s">
        <v>1150</v>
      </c>
      <c r="B90" s="12">
        <v>1496</v>
      </c>
      <c r="C90" s="21" t="s">
        <v>175</v>
      </c>
      <c r="D90" s="13" t="s">
        <v>1232</v>
      </c>
      <c r="F90" s="21" t="s">
        <v>110</v>
      </c>
      <c r="G90" t="s">
        <v>23</v>
      </c>
      <c r="H90" s="14">
        <v>46113</v>
      </c>
      <c r="I90" s="14">
        <v>46140</v>
      </c>
      <c r="J90" s="13" t="s">
        <v>29</v>
      </c>
      <c r="L90" s="2">
        <v>375.76</v>
      </c>
      <c r="M90" s="2">
        <v>9228.41</v>
      </c>
      <c r="N90" s="2">
        <v>461.42</v>
      </c>
      <c r="O90" s="2">
        <v>9689.83</v>
      </c>
      <c r="P90" s="3">
        <v>0.05</v>
      </c>
      <c r="Q90" s="3"/>
      <c r="R90" s="2">
        <v>191.95</v>
      </c>
      <c r="S90" s="3">
        <v>0.02</v>
      </c>
      <c r="T90" s="2">
        <v>9363.43</v>
      </c>
      <c r="U90" s="13" t="s">
        <v>53</v>
      </c>
      <c r="V90" s="13" t="str">
        <f t="shared" si="8"/>
        <v>No</v>
      </c>
      <c r="W90" s="13" t="str">
        <f t="shared" si="8"/>
        <v>No</v>
      </c>
      <c r="X90" s="13" t="str">
        <f t="shared" si="8"/>
        <v>No</v>
      </c>
      <c r="Y90" s="13" t="str">
        <f t="shared" si="8"/>
        <v>Yes</v>
      </c>
      <c r="Z90" s="13" t="str">
        <f t="shared" si="8"/>
        <v>No</v>
      </c>
      <c r="AA90" s="71" t="e">
        <f>+(Table1[[#This Row],[Everyday price]]-Table1[[#This Row],[Promo Price]])/Table1[[#This Row],[Everyday price]]</f>
        <v>#DIV/0!</v>
      </c>
      <c r="AC90" s="69"/>
      <c r="AH90" s="6"/>
      <c r="AJ90" s="116" t="str">
        <f>IF(AND(ISNUMBER(Table1[[#This Row],[Lift  ]]),ISNUMBER(Table1[[#This Row],[Plan lift, %]]),Table1[[#This Row],[Plan lift, %]]&lt;&gt;0),Table1[[#This Row],[Lift  ]]-Table1[[#This Row],[Plan lift, %]],"")</f>
        <v/>
      </c>
      <c r="AK90" s="116"/>
    </row>
    <row r="91" spans="1:38" x14ac:dyDescent="0.35">
      <c r="A91" t="s">
        <v>174</v>
      </c>
      <c r="B91" s="12">
        <v>1497</v>
      </c>
      <c r="C91" s="21" t="s">
        <v>175</v>
      </c>
      <c r="D91" s="13" t="s">
        <v>1232</v>
      </c>
      <c r="F91" s="21" t="s">
        <v>176</v>
      </c>
      <c r="G91" t="s">
        <v>23</v>
      </c>
      <c r="H91" s="14">
        <v>46143</v>
      </c>
      <c r="I91" s="14">
        <v>46170</v>
      </c>
      <c r="J91" s="13" t="s">
        <v>29</v>
      </c>
      <c r="L91" s="2">
        <v>12250.06</v>
      </c>
      <c r="M91" s="2">
        <v>8974.4</v>
      </c>
      <c r="N91" s="2">
        <v>2692.32</v>
      </c>
      <c r="O91" s="2">
        <v>11666.72</v>
      </c>
      <c r="P91" s="3">
        <v>0.3</v>
      </c>
      <c r="Q91" s="3"/>
      <c r="R91" s="2">
        <v>1658.81</v>
      </c>
      <c r="S91" s="3">
        <v>0.21</v>
      </c>
      <c r="T91" s="2">
        <v>9439.73</v>
      </c>
      <c r="U91" s="13" t="s">
        <v>108</v>
      </c>
      <c r="V91" s="13" t="str">
        <f t="shared" si="8"/>
        <v>No</v>
      </c>
      <c r="W91" s="13" t="str">
        <f t="shared" si="8"/>
        <v>Yes</v>
      </c>
      <c r="X91" s="13" t="str">
        <f t="shared" si="8"/>
        <v>No</v>
      </c>
      <c r="Y91" s="13" t="str">
        <f t="shared" si="8"/>
        <v>Yes</v>
      </c>
      <c r="Z91" s="13" t="str">
        <f t="shared" si="8"/>
        <v>No</v>
      </c>
      <c r="AA91" s="71" t="e">
        <f>+(Table1[[#This Row],[Everyday price]]-Table1[[#This Row],[Promo Price]])/Table1[[#This Row],[Everyday price]]</f>
        <v>#DIV/0!</v>
      </c>
      <c r="AC91" s="69"/>
      <c r="AH91" s="6"/>
      <c r="AJ91" s="116" t="str">
        <f>IF(AND(ISNUMBER(Table1[[#This Row],[Lift  ]]),ISNUMBER(Table1[[#This Row],[Plan lift, %]]),Table1[[#This Row],[Plan lift, %]]&lt;&gt;0),Table1[[#This Row],[Lift  ]]-Table1[[#This Row],[Plan lift, %]],"")</f>
        <v/>
      </c>
      <c r="AK91" s="116"/>
    </row>
    <row r="92" spans="1:38" x14ac:dyDescent="0.35">
      <c r="A92" t="s">
        <v>719</v>
      </c>
      <c r="B92" s="12">
        <v>1498</v>
      </c>
      <c r="C92" s="21" t="s">
        <v>175</v>
      </c>
      <c r="D92" s="13" t="s">
        <v>1232</v>
      </c>
      <c r="F92" s="21" t="s">
        <v>720</v>
      </c>
      <c r="G92" t="s">
        <v>23</v>
      </c>
      <c r="H92" s="14">
        <v>46174</v>
      </c>
      <c r="I92" s="14">
        <v>46201</v>
      </c>
      <c r="J92" s="13" t="s">
        <v>29</v>
      </c>
      <c r="L92" s="2">
        <v>11666.72</v>
      </c>
      <c r="M92" s="2">
        <v>8974.4</v>
      </c>
      <c r="N92" s="2">
        <v>2692.32</v>
      </c>
      <c r="O92" s="2">
        <v>11666.72</v>
      </c>
      <c r="P92" s="3">
        <v>0.3</v>
      </c>
      <c r="Q92" s="3"/>
      <c r="R92" s="2">
        <v>3833.2</v>
      </c>
      <c r="S92" s="3">
        <v>0.48</v>
      </c>
      <c r="T92" s="2">
        <v>11769</v>
      </c>
      <c r="U92" s="13" t="s">
        <v>25</v>
      </c>
      <c r="V92" s="13" t="str">
        <f t="shared" ref="V92:Z101" si="9">IF(ISNUMBER(SEARCH(V$1,$U92)),"Yes","No")</f>
        <v>No</v>
      </c>
      <c r="W92" s="13" t="str">
        <f t="shared" si="9"/>
        <v>Yes</v>
      </c>
      <c r="X92" s="13" t="str">
        <f t="shared" si="9"/>
        <v>No</v>
      </c>
      <c r="Y92" s="13" t="str">
        <f t="shared" si="9"/>
        <v>No</v>
      </c>
      <c r="Z92" s="13" t="str">
        <f t="shared" si="9"/>
        <v>No</v>
      </c>
      <c r="AA92" s="71" t="e">
        <f>+(Table1[[#This Row],[Everyday price]]-Table1[[#This Row],[Promo Price]])/Table1[[#This Row],[Everyday price]]</f>
        <v>#DIV/0!</v>
      </c>
      <c r="AC92" s="69"/>
      <c r="AH92" s="6"/>
      <c r="AJ92" s="116" t="str">
        <f>IF(AND(ISNUMBER(Table1[[#This Row],[Lift  ]]),ISNUMBER(Table1[[#This Row],[Plan lift, %]]),Table1[[#This Row],[Plan lift, %]]&lt;&gt;0),Table1[[#This Row],[Lift  ]]-Table1[[#This Row],[Plan lift, %]],"")</f>
        <v/>
      </c>
      <c r="AK92" s="116"/>
    </row>
    <row r="93" spans="1:38" x14ac:dyDescent="0.35">
      <c r="A93" t="s">
        <v>1042</v>
      </c>
      <c r="B93" s="12">
        <v>1499</v>
      </c>
      <c r="C93" s="21" t="s">
        <v>175</v>
      </c>
      <c r="D93" s="13" t="s">
        <v>1232</v>
      </c>
      <c r="F93" s="21" t="s">
        <v>317</v>
      </c>
      <c r="G93" t="s">
        <v>60</v>
      </c>
      <c r="H93" s="14">
        <v>46235</v>
      </c>
      <c r="I93" s="14">
        <v>46262</v>
      </c>
      <c r="J93" s="13" t="s">
        <v>29</v>
      </c>
      <c r="L93" s="2">
        <v>26923.200000000001</v>
      </c>
      <c r="M93" s="2">
        <v>8974.4</v>
      </c>
      <c r="N93" s="2">
        <v>4487.2</v>
      </c>
      <c r="O93" s="2">
        <v>13461.6</v>
      </c>
      <c r="P93" s="3">
        <v>0.5</v>
      </c>
      <c r="Q93" s="3"/>
      <c r="R93" s="2">
        <v>0</v>
      </c>
      <c r="S93" s="3">
        <v>0</v>
      </c>
      <c r="T93" s="2">
        <v>0</v>
      </c>
      <c r="U93" s="13" t="s">
        <v>25</v>
      </c>
      <c r="V93" s="13" t="str">
        <f t="shared" si="9"/>
        <v>No</v>
      </c>
      <c r="W93" s="13" t="str">
        <f t="shared" si="9"/>
        <v>Yes</v>
      </c>
      <c r="X93" s="13" t="str">
        <f t="shared" si="9"/>
        <v>No</v>
      </c>
      <c r="Y93" s="13" t="str">
        <f t="shared" si="9"/>
        <v>No</v>
      </c>
      <c r="Z93" s="13" t="str">
        <f t="shared" si="9"/>
        <v>No</v>
      </c>
      <c r="AA93" s="71" t="e">
        <f>+(Table1[[#This Row],[Everyday price]]-Table1[[#This Row],[Promo Price]])/Table1[[#This Row],[Everyday price]]</f>
        <v>#DIV/0!</v>
      </c>
      <c r="AC93" s="69"/>
      <c r="AH93" s="6"/>
      <c r="AJ93" s="116" t="str">
        <f>IF(AND(ISNUMBER(Table1[[#This Row],[Lift  ]]),ISNUMBER(Table1[[#This Row],[Plan lift, %]]),Table1[[#This Row],[Plan lift, %]]&lt;&gt;0),Table1[[#This Row],[Lift  ]]-Table1[[#This Row],[Plan lift, %]],"")</f>
        <v/>
      </c>
      <c r="AK93" s="116"/>
    </row>
    <row r="94" spans="1:38" x14ac:dyDescent="0.35">
      <c r="A94" t="s">
        <v>724</v>
      </c>
      <c r="B94" s="12">
        <v>1500</v>
      </c>
      <c r="C94" s="21" t="s">
        <v>175</v>
      </c>
      <c r="D94" s="13" t="s">
        <v>1232</v>
      </c>
      <c r="F94" s="21" t="s">
        <v>725</v>
      </c>
      <c r="G94" t="s">
        <v>44</v>
      </c>
      <c r="H94" s="14">
        <v>46266</v>
      </c>
      <c r="I94" s="14">
        <v>46293</v>
      </c>
      <c r="J94" s="13" t="s">
        <v>29</v>
      </c>
      <c r="L94" s="2">
        <v>471.16</v>
      </c>
      <c r="M94" s="2">
        <v>8974.4</v>
      </c>
      <c r="N94" s="2">
        <v>448.72</v>
      </c>
      <c r="O94" s="2">
        <v>9423.1200000000008</v>
      </c>
      <c r="P94" s="3">
        <v>0.05</v>
      </c>
      <c r="Q94" s="3"/>
      <c r="R94" s="2">
        <v>0</v>
      </c>
      <c r="S94" s="3">
        <v>0</v>
      </c>
      <c r="T94" s="2">
        <v>0</v>
      </c>
      <c r="U94" s="13" t="s">
        <v>53</v>
      </c>
      <c r="V94" s="13" t="str">
        <f t="shared" si="9"/>
        <v>No</v>
      </c>
      <c r="W94" s="13" t="str">
        <f t="shared" si="9"/>
        <v>No</v>
      </c>
      <c r="X94" s="13" t="str">
        <f t="shared" si="9"/>
        <v>No</v>
      </c>
      <c r="Y94" s="13" t="str">
        <f t="shared" si="9"/>
        <v>Yes</v>
      </c>
      <c r="Z94" s="13" t="str">
        <f t="shared" si="9"/>
        <v>No</v>
      </c>
      <c r="AA94" s="71" t="e">
        <f>+(Table1[[#This Row],[Everyday price]]-Table1[[#This Row],[Promo Price]])/Table1[[#This Row],[Everyday price]]</f>
        <v>#DIV/0!</v>
      </c>
      <c r="AC94" s="69"/>
      <c r="AH94" s="6"/>
      <c r="AJ94" s="116" t="str">
        <f>IF(AND(ISNUMBER(Table1[[#This Row],[Lift  ]]),ISNUMBER(Table1[[#This Row],[Plan lift, %]]),Table1[[#This Row],[Plan lift, %]]&lt;&gt;0),Table1[[#This Row],[Lift  ]]-Table1[[#This Row],[Plan lift, %]],"")</f>
        <v/>
      </c>
      <c r="AK94" s="116"/>
    </row>
    <row r="95" spans="1:38" x14ac:dyDescent="0.35">
      <c r="A95" t="s">
        <v>723</v>
      </c>
      <c r="B95" s="12">
        <v>1501</v>
      </c>
      <c r="C95" s="21" t="s">
        <v>175</v>
      </c>
      <c r="D95" s="13" t="s">
        <v>1232</v>
      </c>
      <c r="F95" s="21" t="s">
        <v>143</v>
      </c>
      <c r="G95" t="s">
        <v>44</v>
      </c>
      <c r="H95" s="14">
        <v>46296</v>
      </c>
      <c r="I95" s="14">
        <v>46323</v>
      </c>
      <c r="J95" s="13" t="s">
        <v>29</v>
      </c>
      <c r="L95" s="2">
        <v>11666.72</v>
      </c>
      <c r="M95" s="2">
        <v>8974.4</v>
      </c>
      <c r="N95" s="2">
        <v>2692.32</v>
      </c>
      <c r="O95" s="2">
        <v>11666.72</v>
      </c>
      <c r="P95" s="3">
        <v>0.3</v>
      </c>
      <c r="Q95" s="3"/>
      <c r="R95" s="2">
        <v>0</v>
      </c>
      <c r="S95" s="3">
        <v>0</v>
      </c>
      <c r="T95" s="2">
        <v>0</v>
      </c>
      <c r="U95" s="13" t="s">
        <v>25</v>
      </c>
      <c r="V95" s="13" t="str">
        <f t="shared" si="9"/>
        <v>No</v>
      </c>
      <c r="W95" s="13" t="str">
        <f t="shared" si="9"/>
        <v>Yes</v>
      </c>
      <c r="X95" s="13" t="str">
        <f t="shared" si="9"/>
        <v>No</v>
      </c>
      <c r="Y95" s="13" t="str">
        <f t="shared" si="9"/>
        <v>No</v>
      </c>
      <c r="Z95" s="13" t="str">
        <f t="shared" si="9"/>
        <v>No</v>
      </c>
      <c r="AA95" s="71" t="e">
        <f>+(Table1[[#This Row],[Everyday price]]-Table1[[#This Row],[Promo Price]])/Table1[[#This Row],[Everyday price]]</f>
        <v>#DIV/0!</v>
      </c>
      <c r="AC95" s="69"/>
      <c r="AH95" s="6"/>
      <c r="AJ95" s="116" t="str">
        <f>IF(AND(ISNUMBER(Table1[[#This Row],[Lift  ]]),ISNUMBER(Table1[[#This Row],[Plan lift, %]]),Table1[[#This Row],[Plan lift, %]]&lt;&gt;0),Table1[[#This Row],[Lift  ]]-Table1[[#This Row],[Plan lift, %]],"")</f>
        <v/>
      </c>
      <c r="AK95" s="116"/>
    </row>
    <row r="96" spans="1:38" x14ac:dyDescent="0.35">
      <c r="A96" t="s">
        <v>596</v>
      </c>
      <c r="B96" s="12">
        <v>1502</v>
      </c>
      <c r="C96" s="21" t="s">
        <v>116</v>
      </c>
      <c r="D96" s="13" t="s">
        <v>1232</v>
      </c>
      <c r="F96" s="21" t="s">
        <v>125</v>
      </c>
      <c r="G96" t="s">
        <v>23</v>
      </c>
      <c r="H96" s="14">
        <v>46050</v>
      </c>
      <c r="I96" s="14">
        <v>46084</v>
      </c>
      <c r="J96" s="13" t="s">
        <v>29</v>
      </c>
      <c r="L96" s="2">
        <v>4810</v>
      </c>
      <c r="M96" s="2">
        <v>3700</v>
      </c>
      <c r="N96" s="2">
        <v>1110</v>
      </c>
      <c r="O96" s="2">
        <v>4810</v>
      </c>
      <c r="P96" s="3">
        <v>0.3</v>
      </c>
      <c r="Q96" s="3"/>
      <c r="R96" s="2">
        <v>1234.79</v>
      </c>
      <c r="S96" s="3">
        <v>0.38</v>
      </c>
      <c r="T96" s="2">
        <v>4448.8599999999997</v>
      </c>
      <c r="U96" s="13" t="s">
        <v>25</v>
      </c>
      <c r="V96" s="13" t="str">
        <f t="shared" si="9"/>
        <v>No</v>
      </c>
      <c r="W96" s="13" t="str">
        <f t="shared" si="9"/>
        <v>Yes</v>
      </c>
      <c r="X96" s="13" t="str">
        <f t="shared" si="9"/>
        <v>No</v>
      </c>
      <c r="Y96" s="13" t="str">
        <f t="shared" si="9"/>
        <v>No</v>
      </c>
      <c r="Z96" s="13" t="str">
        <f t="shared" si="9"/>
        <v>No</v>
      </c>
      <c r="AA96" s="71" t="e">
        <f>+(Table1[[#This Row],[Everyday price]]-Table1[[#This Row],[Promo Price]])/Table1[[#This Row],[Everyday price]]</f>
        <v>#DIV/0!</v>
      </c>
      <c r="AC96" s="69"/>
      <c r="AH96" s="6"/>
      <c r="AJ96" s="116" t="str">
        <f>IF(AND(ISNUMBER(Table1[[#This Row],[Lift  ]]),ISNUMBER(Table1[[#This Row],[Plan lift, %]]),Table1[[#This Row],[Plan lift, %]]&lt;&gt;0),Table1[[#This Row],[Lift  ]]-Table1[[#This Row],[Plan lift, %]],"")</f>
        <v/>
      </c>
      <c r="AK96" s="116"/>
    </row>
    <row r="97" spans="1:37" x14ac:dyDescent="0.35">
      <c r="A97" t="s">
        <v>899</v>
      </c>
      <c r="B97" s="12">
        <v>1503</v>
      </c>
      <c r="C97" s="21" t="s">
        <v>116</v>
      </c>
      <c r="D97" s="13" t="s">
        <v>1232</v>
      </c>
      <c r="F97" s="21" t="s">
        <v>187</v>
      </c>
      <c r="G97" t="s">
        <v>23</v>
      </c>
      <c r="H97" s="14">
        <v>46085</v>
      </c>
      <c r="I97" s="14">
        <v>46112</v>
      </c>
      <c r="J97" s="13" t="s">
        <v>29</v>
      </c>
      <c r="L97" s="2">
        <v>4440</v>
      </c>
      <c r="M97" s="2">
        <v>2960</v>
      </c>
      <c r="N97" s="2">
        <v>1480</v>
      </c>
      <c r="O97" s="2">
        <v>4440</v>
      </c>
      <c r="P97" s="3">
        <v>0.5</v>
      </c>
      <c r="Q97" s="3"/>
      <c r="R97" s="2">
        <v>911.48</v>
      </c>
      <c r="S97" s="3">
        <v>0.32</v>
      </c>
      <c r="T97" s="2">
        <v>3759.5899999999997</v>
      </c>
      <c r="U97" s="13" t="s">
        <v>25</v>
      </c>
      <c r="V97" s="13" t="str">
        <f t="shared" si="9"/>
        <v>No</v>
      </c>
      <c r="W97" s="13" t="str">
        <f t="shared" si="9"/>
        <v>Yes</v>
      </c>
      <c r="X97" s="13" t="str">
        <f t="shared" si="9"/>
        <v>No</v>
      </c>
      <c r="Y97" s="13" t="str">
        <f t="shared" si="9"/>
        <v>No</v>
      </c>
      <c r="Z97" s="13" t="str">
        <f t="shared" si="9"/>
        <v>No</v>
      </c>
      <c r="AA97" s="71" t="e">
        <f>+(Table1[[#This Row],[Everyday price]]-Table1[[#This Row],[Promo Price]])/Table1[[#This Row],[Everyday price]]</f>
        <v>#DIV/0!</v>
      </c>
      <c r="AC97" s="69"/>
      <c r="AH97" s="6"/>
      <c r="AJ97" s="116" t="str">
        <f>IF(AND(ISNUMBER(Table1[[#This Row],[Lift  ]]),ISNUMBER(Table1[[#This Row],[Plan lift, %]]),Table1[[#This Row],[Plan lift, %]]&lt;&gt;0),Table1[[#This Row],[Lift  ]]-Table1[[#This Row],[Plan lift, %]],"")</f>
        <v/>
      </c>
      <c r="AK97" s="116"/>
    </row>
    <row r="98" spans="1:37" x14ac:dyDescent="0.35">
      <c r="A98" t="s">
        <v>115</v>
      </c>
      <c r="B98" s="12">
        <v>1504</v>
      </c>
      <c r="C98" s="21" t="s">
        <v>116</v>
      </c>
      <c r="D98" s="13" t="s">
        <v>1232</v>
      </c>
      <c r="F98" s="21" t="s">
        <v>110</v>
      </c>
      <c r="G98" t="s">
        <v>23</v>
      </c>
      <c r="H98" s="14">
        <v>46113</v>
      </c>
      <c r="I98" s="14">
        <v>46140</v>
      </c>
      <c r="J98" s="13" t="s">
        <v>29</v>
      </c>
      <c r="L98" s="2">
        <v>144.63</v>
      </c>
      <c r="M98" s="2">
        <v>2754.97</v>
      </c>
      <c r="N98" s="2">
        <v>137.76</v>
      </c>
      <c r="O98" s="2">
        <v>2892.73</v>
      </c>
      <c r="P98" s="3">
        <v>0.05</v>
      </c>
      <c r="Q98" s="3"/>
      <c r="R98" s="2">
        <v>1382.03</v>
      </c>
      <c r="S98" s="3">
        <v>0.41</v>
      </c>
      <c r="T98" s="2">
        <v>4714.72</v>
      </c>
      <c r="U98" s="13" t="s">
        <v>53</v>
      </c>
      <c r="V98" s="13" t="str">
        <f t="shared" si="9"/>
        <v>No</v>
      </c>
      <c r="W98" s="13" t="str">
        <f t="shared" si="9"/>
        <v>No</v>
      </c>
      <c r="X98" s="13" t="str">
        <f t="shared" si="9"/>
        <v>No</v>
      </c>
      <c r="Y98" s="13" t="str">
        <f t="shared" si="9"/>
        <v>Yes</v>
      </c>
      <c r="Z98" s="13" t="str">
        <f t="shared" si="9"/>
        <v>No</v>
      </c>
      <c r="AA98" s="71" t="e">
        <f>+(Table1[[#This Row],[Everyday price]]-Table1[[#This Row],[Promo Price]])/Table1[[#This Row],[Everyday price]]</f>
        <v>#DIV/0!</v>
      </c>
      <c r="AC98" s="69"/>
      <c r="AH98" s="6"/>
      <c r="AJ98" s="116" t="str">
        <f>IF(AND(ISNUMBER(Table1[[#This Row],[Lift  ]]),ISNUMBER(Table1[[#This Row],[Plan lift, %]]),Table1[[#This Row],[Plan lift, %]]&lt;&gt;0),Table1[[#This Row],[Lift  ]]-Table1[[#This Row],[Plan lift, %]],"")</f>
        <v/>
      </c>
      <c r="AK98" s="116"/>
    </row>
    <row r="99" spans="1:37" x14ac:dyDescent="0.35">
      <c r="A99" t="s">
        <v>257</v>
      </c>
      <c r="B99" s="12" t="s">
        <v>1692</v>
      </c>
      <c r="C99" s="21" t="s">
        <v>116</v>
      </c>
      <c r="D99" s="13" t="s">
        <v>1232</v>
      </c>
      <c r="F99" s="21" t="s">
        <v>258</v>
      </c>
      <c r="G99" t="s">
        <v>23</v>
      </c>
      <c r="H99" s="14">
        <v>46141</v>
      </c>
      <c r="I99" s="14">
        <v>46168</v>
      </c>
      <c r="J99" s="13" t="s">
        <v>24</v>
      </c>
      <c r="L99" s="2">
        <v>3425.4</v>
      </c>
      <c r="M99" s="2">
        <v>384</v>
      </c>
      <c r="N99" s="2">
        <v>192</v>
      </c>
      <c r="O99" s="2">
        <v>576</v>
      </c>
      <c r="P99" s="3">
        <v>0.5</v>
      </c>
      <c r="Q99" s="3"/>
      <c r="R99" s="2">
        <v>7.9</v>
      </c>
      <c r="S99" s="3">
        <v>0.03</v>
      </c>
      <c r="T99" s="2">
        <v>246.14</v>
      </c>
      <c r="U99" s="13" t="s">
        <v>25</v>
      </c>
      <c r="V99" s="13" t="str">
        <f t="shared" si="9"/>
        <v>No</v>
      </c>
      <c r="W99" s="13" t="str">
        <f t="shared" si="9"/>
        <v>Yes</v>
      </c>
      <c r="X99" s="13" t="str">
        <f t="shared" si="9"/>
        <v>No</v>
      </c>
      <c r="Y99" s="13" t="str">
        <f t="shared" si="9"/>
        <v>No</v>
      </c>
      <c r="Z99" s="13" t="str">
        <f t="shared" si="9"/>
        <v>No</v>
      </c>
      <c r="AA99" s="71" t="e">
        <f>+(Table1[[#This Row],[Everyday price]]-Table1[[#This Row],[Promo Price]])/Table1[[#This Row],[Everyday price]]</f>
        <v>#DIV/0!</v>
      </c>
      <c r="AC99" s="69"/>
      <c r="AH99" s="6"/>
      <c r="AJ99" s="116" t="str">
        <f>IF(AND(ISNUMBER(Table1[[#This Row],[Lift  ]]),ISNUMBER(Table1[[#This Row],[Plan lift, %]]),Table1[[#This Row],[Plan lift, %]]&lt;&gt;0),Table1[[#This Row],[Lift  ]]-Table1[[#This Row],[Plan lift, %]],"")</f>
        <v/>
      </c>
      <c r="AK99" s="116"/>
    </row>
    <row r="100" spans="1:37" x14ac:dyDescent="0.35">
      <c r="A100" t="s">
        <v>257</v>
      </c>
      <c r="B100" s="12" t="s">
        <v>1693</v>
      </c>
      <c r="C100" s="21" t="s">
        <v>116</v>
      </c>
      <c r="D100" s="13" t="s">
        <v>1232</v>
      </c>
      <c r="F100" s="21" t="s">
        <v>258</v>
      </c>
      <c r="G100" t="s">
        <v>23</v>
      </c>
      <c r="H100" s="14">
        <v>46141</v>
      </c>
      <c r="I100" s="14">
        <v>46168</v>
      </c>
      <c r="J100" s="13" t="s">
        <v>29</v>
      </c>
      <c r="L100" s="2">
        <v>4065.6</v>
      </c>
      <c r="M100" s="2">
        <v>2710.4</v>
      </c>
      <c r="N100" s="2">
        <v>1355.2</v>
      </c>
      <c r="O100" s="2">
        <v>4065.6</v>
      </c>
      <c r="P100" s="3">
        <v>0.5</v>
      </c>
      <c r="Q100" s="3"/>
      <c r="R100" s="2">
        <v>1211.6400000000001</v>
      </c>
      <c r="S100" s="3">
        <v>0.37</v>
      </c>
      <c r="T100" s="2">
        <v>4446.58</v>
      </c>
      <c r="U100" s="13" t="s">
        <v>25</v>
      </c>
      <c r="V100" s="13" t="str">
        <f t="shared" si="9"/>
        <v>No</v>
      </c>
      <c r="W100" s="13" t="str">
        <f t="shared" si="9"/>
        <v>Yes</v>
      </c>
      <c r="X100" s="13" t="str">
        <f t="shared" si="9"/>
        <v>No</v>
      </c>
      <c r="Y100" s="13" t="str">
        <f t="shared" si="9"/>
        <v>No</v>
      </c>
      <c r="Z100" s="13" t="str">
        <f t="shared" si="9"/>
        <v>No</v>
      </c>
      <c r="AA100" s="71" t="e">
        <f>+(Table1[[#This Row],[Everyday price]]-Table1[[#This Row],[Promo Price]])/Table1[[#This Row],[Everyday price]]</f>
        <v>#DIV/0!</v>
      </c>
      <c r="AC100" s="69"/>
      <c r="AH100" s="6"/>
      <c r="AJ100" s="116" t="str">
        <f>IF(AND(ISNUMBER(Table1[[#This Row],[Lift  ]]),ISNUMBER(Table1[[#This Row],[Plan lift, %]]),Table1[[#This Row],[Plan lift, %]]&lt;&gt;0),Table1[[#This Row],[Lift  ]]-Table1[[#This Row],[Plan lift, %]],"")</f>
        <v/>
      </c>
      <c r="AK100" s="116"/>
    </row>
    <row r="101" spans="1:37" x14ac:dyDescent="0.35">
      <c r="A101" t="s">
        <v>153</v>
      </c>
      <c r="B101" s="12" t="s">
        <v>1694</v>
      </c>
      <c r="C101" s="21" t="s">
        <v>116</v>
      </c>
      <c r="D101" s="13" t="s">
        <v>1232</v>
      </c>
      <c r="F101" s="21" t="s">
        <v>154</v>
      </c>
      <c r="G101" t="s">
        <v>23</v>
      </c>
      <c r="H101" s="14">
        <v>46204</v>
      </c>
      <c r="I101" s="14">
        <v>46231</v>
      </c>
      <c r="J101" s="13" t="s">
        <v>24</v>
      </c>
      <c r="L101" s="2">
        <v>3052.8</v>
      </c>
      <c r="M101" s="2">
        <v>384</v>
      </c>
      <c r="N101" s="2">
        <v>192</v>
      </c>
      <c r="O101" s="2">
        <v>576</v>
      </c>
      <c r="P101" s="3">
        <v>0.5</v>
      </c>
      <c r="Q101" s="3"/>
      <c r="R101" s="2">
        <v>0</v>
      </c>
      <c r="S101" s="3">
        <v>0</v>
      </c>
      <c r="T101" s="2">
        <v>13</v>
      </c>
      <c r="U101" s="13" t="s">
        <v>25</v>
      </c>
      <c r="V101" s="13" t="str">
        <f t="shared" si="9"/>
        <v>No</v>
      </c>
      <c r="W101" s="13" t="str">
        <f t="shared" si="9"/>
        <v>Yes</v>
      </c>
      <c r="X101" s="13" t="str">
        <f t="shared" si="9"/>
        <v>No</v>
      </c>
      <c r="Y101" s="13" t="str">
        <f t="shared" si="9"/>
        <v>No</v>
      </c>
      <c r="Z101" s="13" t="str">
        <f t="shared" si="9"/>
        <v>No</v>
      </c>
      <c r="AA101" s="71" t="e">
        <f>+(Table1[[#This Row],[Everyday price]]-Table1[[#This Row],[Promo Price]])/Table1[[#This Row],[Everyday price]]</f>
        <v>#DIV/0!</v>
      </c>
      <c r="AC101" s="69"/>
      <c r="AH101" s="6"/>
      <c r="AJ101" s="116" t="str">
        <f>IF(AND(ISNUMBER(Table1[[#This Row],[Lift  ]]),ISNUMBER(Table1[[#This Row],[Plan lift, %]]),Table1[[#This Row],[Plan lift, %]]&lt;&gt;0),Table1[[#This Row],[Lift  ]]-Table1[[#This Row],[Plan lift, %]],"")</f>
        <v/>
      </c>
      <c r="AK101" s="116"/>
    </row>
    <row r="102" spans="1:37" x14ac:dyDescent="0.35">
      <c r="A102" t="s">
        <v>153</v>
      </c>
      <c r="B102" s="12" t="s">
        <v>1695</v>
      </c>
      <c r="C102" s="21" t="s">
        <v>116</v>
      </c>
      <c r="D102" s="13" t="s">
        <v>1232</v>
      </c>
      <c r="F102" s="21" t="s">
        <v>154</v>
      </c>
      <c r="G102" t="s">
        <v>23</v>
      </c>
      <c r="H102" s="14">
        <v>46204</v>
      </c>
      <c r="I102" s="14">
        <v>46231</v>
      </c>
      <c r="J102" s="13" t="s">
        <v>29</v>
      </c>
      <c r="L102" s="2">
        <v>4065.6</v>
      </c>
      <c r="M102" s="2">
        <v>2710.4</v>
      </c>
      <c r="N102" s="2">
        <v>1355.2</v>
      </c>
      <c r="O102" s="2">
        <v>4065.6</v>
      </c>
      <c r="P102" s="3">
        <v>0.5</v>
      </c>
      <c r="Q102" s="3"/>
      <c r="R102" s="2">
        <v>287.81</v>
      </c>
      <c r="S102" s="3">
        <v>0.28000000000000003</v>
      </c>
      <c r="T102" s="2">
        <v>1308.29</v>
      </c>
      <c r="U102" s="13" t="s">
        <v>25</v>
      </c>
      <c r="V102" s="13" t="str">
        <f t="shared" ref="V102:Z111" si="10">IF(ISNUMBER(SEARCH(V$1,$U102)),"Yes","No")</f>
        <v>No</v>
      </c>
      <c r="W102" s="13" t="str">
        <f t="shared" si="10"/>
        <v>Yes</v>
      </c>
      <c r="X102" s="13" t="str">
        <f t="shared" si="10"/>
        <v>No</v>
      </c>
      <c r="Y102" s="13" t="str">
        <f t="shared" si="10"/>
        <v>No</v>
      </c>
      <c r="Z102" s="13" t="str">
        <f t="shared" si="10"/>
        <v>No</v>
      </c>
      <c r="AA102" s="71" t="e">
        <f>+(Table1[[#This Row],[Everyday price]]-Table1[[#This Row],[Promo Price]])/Table1[[#This Row],[Everyday price]]</f>
        <v>#DIV/0!</v>
      </c>
      <c r="AC102" s="69"/>
      <c r="AH102" s="6"/>
      <c r="AJ102" s="116" t="str">
        <f>IF(AND(ISNUMBER(Table1[[#This Row],[Lift  ]]),ISNUMBER(Table1[[#This Row],[Plan lift, %]]),Table1[[#This Row],[Plan lift, %]]&lt;&gt;0),Table1[[#This Row],[Lift  ]]-Table1[[#This Row],[Plan lift, %]],"")</f>
        <v/>
      </c>
      <c r="AK102" s="116"/>
    </row>
    <row r="103" spans="1:37" x14ac:dyDescent="0.35">
      <c r="A103" t="s">
        <v>316</v>
      </c>
      <c r="B103" s="12">
        <v>1507</v>
      </c>
      <c r="C103" s="21" t="s">
        <v>116</v>
      </c>
      <c r="D103" s="13" t="s">
        <v>1232</v>
      </c>
      <c r="F103" s="21" t="s">
        <v>317</v>
      </c>
      <c r="G103" t="s">
        <v>60</v>
      </c>
      <c r="H103" s="14">
        <v>46235</v>
      </c>
      <c r="I103" s="14">
        <v>46262</v>
      </c>
      <c r="J103" s="13" t="s">
        <v>29</v>
      </c>
      <c r="L103" s="2">
        <v>8673.2800000000007</v>
      </c>
      <c r="M103" s="2">
        <v>2710.4</v>
      </c>
      <c r="N103" s="2">
        <v>1626.24</v>
      </c>
      <c r="O103" s="2">
        <v>4336.6400000000003</v>
      </c>
      <c r="P103" s="3">
        <v>0.6</v>
      </c>
      <c r="Q103" s="3"/>
      <c r="R103" s="2">
        <v>0</v>
      </c>
      <c r="S103" s="3">
        <v>0</v>
      </c>
      <c r="T103" s="2">
        <v>0</v>
      </c>
      <c r="U103" s="13" t="s">
        <v>25</v>
      </c>
      <c r="V103" s="13" t="str">
        <f t="shared" si="10"/>
        <v>No</v>
      </c>
      <c r="W103" s="13" t="str">
        <f t="shared" si="10"/>
        <v>Yes</v>
      </c>
      <c r="X103" s="13" t="str">
        <f t="shared" si="10"/>
        <v>No</v>
      </c>
      <c r="Y103" s="13" t="str">
        <f t="shared" si="10"/>
        <v>No</v>
      </c>
      <c r="Z103" s="13" t="str">
        <f t="shared" si="10"/>
        <v>No</v>
      </c>
      <c r="AA103" s="71" t="e">
        <f>+(Table1[[#This Row],[Everyday price]]-Table1[[#This Row],[Promo Price]])/Table1[[#This Row],[Everyday price]]</f>
        <v>#DIV/0!</v>
      </c>
      <c r="AC103" s="69"/>
      <c r="AH103" s="6"/>
      <c r="AJ103" s="116" t="str">
        <f>IF(AND(ISNUMBER(Table1[[#This Row],[Lift  ]]),ISNUMBER(Table1[[#This Row],[Plan lift, %]]),Table1[[#This Row],[Plan lift, %]]&lt;&gt;0),Table1[[#This Row],[Lift  ]]-Table1[[#This Row],[Plan lift, %]],"")</f>
        <v/>
      </c>
      <c r="AK103" s="116"/>
    </row>
    <row r="104" spans="1:37" x14ac:dyDescent="0.35">
      <c r="A104" t="s">
        <v>1162</v>
      </c>
      <c r="B104" s="12">
        <v>1508</v>
      </c>
      <c r="C104" s="21" t="s">
        <v>116</v>
      </c>
      <c r="D104" s="13" t="s">
        <v>1232</v>
      </c>
      <c r="F104" s="21" t="s">
        <v>1110</v>
      </c>
      <c r="G104" t="s">
        <v>44</v>
      </c>
      <c r="H104" s="14">
        <v>46266</v>
      </c>
      <c r="I104" s="14">
        <v>46293</v>
      </c>
      <c r="J104" s="13" t="s">
        <v>29</v>
      </c>
      <c r="L104" s="2">
        <v>142.29</v>
      </c>
      <c r="M104" s="2">
        <v>2710.4</v>
      </c>
      <c r="N104" s="2">
        <v>135.52000000000001</v>
      </c>
      <c r="O104" s="2">
        <v>2845.92</v>
      </c>
      <c r="P104" s="3">
        <v>0.05</v>
      </c>
      <c r="Q104" s="3"/>
      <c r="R104" s="2">
        <v>0</v>
      </c>
      <c r="S104" s="3">
        <v>0</v>
      </c>
      <c r="T104" s="2">
        <v>0</v>
      </c>
      <c r="U104" s="13" t="s">
        <v>53</v>
      </c>
      <c r="V104" s="13" t="str">
        <f t="shared" si="10"/>
        <v>No</v>
      </c>
      <c r="W104" s="13" t="str">
        <f t="shared" si="10"/>
        <v>No</v>
      </c>
      <c r="X104" s="13" t="str">
        <f t="shared" si="10"/>
        <v>No</v>
      </c>
      <c r="Y104" s="13" t="str">
        <f t="shared" si="10"/>
        <v>Yes</v>
      </c>
      <c r="Z104" s="13" t="str">
        <f t="shared" si="10"/>
        <v>No</v>
      </c>
      <c r="AA104" s="71" t="e">
        <f>+(Table1[[#This Row],[Everyday price]]-Table1[[#This Row],[Promo Price]])/Table1[[#This Row],[Everyday price]]</f>
        <v>#DIV/0!</v>
      </c>
      <c r="AC104" s="69"/>
      <c r="AH104" s="6"/>
      <c r="AJ104" s="116" t="str">
        <f>IF(AND(ISNUMBER(Table1[[#This Row],[Lift  ]]),ISNUMBER(Table1[[#This Row],[Plan lift, %]]),Table1[[#This Row],[Plan lift, %]]&lt;&gt;0),Table1[[#This Row],[Lift  ]]-Table1[[#This Row],[Plan lift, %]],"")</f>
        <v/>
      </c>
      <c r="AK104" s="116"/>
    </row>
    <row r="105" spans="1:37" x14ac:dyDescent="0.35">
      <c r="A105" t="s">
        <v>304</v>
      </c>
      <c r="B105" s="12">
        <v>1509</v>
      </c>
      <c r="C105" s="21" t="s">
        <v>116</v>
      </c>
      <c r="D105" s="13" t="s">
        <v>1232</v>
      </c>
      <c r="F105" s="21" t="s">
        <v>143</v>
      </c>
      <c r="G105" t="s">
        <v>44</v>
      </c>
      <c r="H105" s="14">
        <v>46296</v>
      </c>
      <c r="I105" s="14">
        <v>46323</v>
      </c>
      <c r="J105" s="13" t="s">
        <v>29</v>
      </c>
      <c r="L105" s="2">
        <v>3388</v>
      </c>
      <c r="M105" s="2">
        <v>2710.4</v>
      </c>
      <c r="N105" s="2">
        <v>677.6</v>
      </c>
      <c r="O105" s="2">
        <v>3388</v>
      </c>
      <c r="P105" s="3">
        <v>0.25</v>
      </c>
      <c r="Q105" s="3"/>
      <c r="R105" s="2">
        <v>0</v>
      </c>
      <c r="S105" s="3">
        <v>0</v>
      </c>
      <c r="T105" s="2">
        <v>0</v>
      </c>
      <c r="U105" s="13" t="s">
        <v>25</v>
      </c>
      <c r="V105" s="13" t="str">
        <f t="shared" si="10"/>
        <v>No</v>
      </c>
      <c r="W105" s="13" t="str">
        <f t="shared" si="10"/>
        <v>Yes</v>
      </c>
      <c r="X105" s="13" t="str">
        <f t="shared" si="10"/>
        <v>No</v>
      </c>
      <c r="Y105" s="13" t="str">
        <f t="shared" si="10"/>
        <v>No</v>
      </c>
      <c r="Z105" s="13" t="str">
        <f t="shared" si="10"/>
        <v>No</v>
      </c>
      <c r="AA105" s="71" t="e">
        <f>+(Table1[[#This Row],[Everyday price]]-Table1[[#This Row],[Promo Price]])/Table1[[#This Row],[Everyday price]]</f>
        <v>#DIV/0!</v>
      </c>
      <c r="AC105" s="69"/>
      <c r="AH105" s="6"/>
      <c r="AJ105" s="116" t="str">
        <f>IF(AND(ISNUMBER(Table1[[#This Row],[Lift  ]]),ISNUMBER(Table1[[#This Row],[Plan lift, %]]),Table1[[#This Row],[Plan lift, %]]&lt;&gt;0),Table1[[#This Row],[Lift  ]]-Table1[[#This Row],[Plan lift, %]],"")</f>
        <v/>
      </c>
      <c r="AK105" s="116"/>
    </row>
    <row r="106" spans="1:37" x14ac:dyDescent="0.35">
      <c r="A106" t="s">
        <v>477</v>
      </c>
      <c r="B106" s="12">
        <v>1510</v>
      </c>
      <c r="C106" s="21" t="s">
        <v>106</v>
      </c>
      <c r="D106" s="13" t="s">
        <v>1232</v>
      </c>
      <c r="F106" s="21" t="s">
        <v>125</v>
      </c>
      <c r="G106" t="s">
        <v>23</v>
      </c>
      <c r="H106" s="14">
        <v>46050</v>
      </c>
      <c r="I106" s="14">
        <v>46084</v>
      </c>
      <c r="J106" s="13" t="s">
        <v>29</v>
      </c>
      <c r="L106" s="2">
        <v>12979.2</v>
      </c>
      <c r="M106" s="2">
        <v>9984</v>
      </c>
      <c r="N106" s="2">
        <v>2995.2</v>
      </c>
      <c r="O106" s="2">
        <v>12979.2</v>
      </c>
      <c r="P106" s="3">
        <v>0.3</v>
      </c>
      <c r="Q106" s="3"/>
      <c r="R106" s="2">
        <v>1752.16</v>
      </c>
      <c r="S106" s="3">
        <v>0.17</v>
      </c>
      <c r="T106" s="2">
        <v>12054.12</v>
      </c>
      <c r="U106" s="13" t="s">
        <v>25</v>
      </c>
      <c r="V106" s="13" t="str">
        <f t="shared" si="10"/>
        <v>No</v>
      </c>
      <c r="W106" s="13" t="str">
        <f t="shared" si="10"/>
        <v>Yes</v>
      </c>
      <c r="X106" s="13" t="str">
        <f t="shared" si="10"/>
        <v>No</v>
      </c>
      <c r="Y106" s="13" t="str">
        <f t="shared" si="10"/>
        <v>No</v>
      </c>
      <c r="Z106" s="13" t="str">
        <f t="shared" si="10"/>
        <v>No</v>
      </c>
      <c r="AA106" s="71" t="e">
        <f>+(Table1[[#This Row],[Everyday price]]-Table1[[#This Row],[Promo Price]])/Table1[[#This Row],[Everyday price]]</f>
        <v>#DIV/0!</v>
      </c>
      <c r="AC106" s="69"/>
      <c r="AH106" s="6"/>
      <c r="AJ106" s="116" t="str">
        <f>IF(AND(ISNUMBER(Table1[[#This Row],[Lift  ]]),ISNUMBER(Table1[[#This Row],[Plan lift, %]]),Table1[[#This Row],[Plan lift, %]]&lt;&gt;0),Table1[[#This Row],[Lift  ]]-Table1[[#This Row],[Plan lift, %]],"")</f>
        <v/>
      </c>
      <c r="AK106" s="116"/>
    </row>
    <row r="107" spans="1:37" x14ac:dyDescent="0.35">
      <c r="A107" t="s">
        <v>1187</v>
      </c>
      <c r="B107" s="12">
        <v>1511</v>
      </c>
      <c r="C107" s="21" t="s">
        <v>106</v>
      </c>
      <c r="D107" s="13" t="s">
        <v>1232</v>
      </c>
      <c r="F107" s="21" t="s">
        <v>187</v>
      </c>
      <c r="G107" t="s">
        <v>23</v>
      </c>
      <c r="H107" s="14">
        <v>46085</v>
      </c>
      <c r="I107" s="14">
        <v>46112</v>
      </c>
      <c r="J107" s="13" t="s">
        <v>29</v>
      </c>
      <c r="L107" s="2">
        <v>10383.36</v>
      </c>
      <c r="M107" s="2">
        <v>7987.2</v>
      </c>
      <c r="N107" s="2">
        <v>2396.16</v>
      </c>
      <c r="O107" s="2">
        <v>10383.36</v>
      </c>
      <c r="P107" s="3">
        <v>0.3</v>
      </c>
      <c r="Q107" s="3"/>
      <c r="R107" s="2">
        <v>624.48</v>
      </c>
      <c r="S107" s="3">
        <v>0.08</v>
      </c>
      <c r="T107" s="2">
        <v>8767.1299999999992</v>
      </c>
      <c r="U107" s="13" t="s">
        <v>25</v>
      </c>
      <c r="V107" s="13" t="str">
        <f t="shared" si="10"/>
        <v>No</v>
      </c>
      <c r="W107" s="13" t="str">
        <f t="shared" si="10"/>
        <v>Yes</v>
      </c>
      <c r="X107" s="13" t="str">
        <f t="shared" si="10"/>
        <v>No</v>
      </c>
      <c r="Y107" s="13" t="str">
        <f t="shared" si="10"/>
        <v>No</v>
      </c>
      <c r="Z107" s="13" t="str">
        <f t="shared" si="10"/>
        <v>No</v>
      </c>
      <c r="AA107" s="71" t="e">
        <f>+(Table1[[#This Row],[Everyday price]]-Table1[[#This Row],[Promo Price]])/Table1[[#This Row],[Everyday price]]</f>
        <v>#DIV/0!</v>
      </c>
      <c r="AC107" s="69"/>
      <c r="AH107" s="6"/>
      <c r="AJ107" s="116" t="str">
        <f>IF(AND(ISNUMBER(Table1[[#This Row],[Lift  ]]),ISNUMBER(Table1[[#This Row],[Plan lift, %]]),Table1[[#This Row],[Plan lift, %]]&lt;&gt;0),Table1[[#This Row],[Lift  ]]-Table1[[#This Row],[Plan lift, %]],"")</f>
        <v/>
      </c>
      <c r="AK107" s="116"/>
    </row>
    <row r="108" spans="1:37" x14ac:dyDescent="0.35">
      <c r="A108" t="s">
        <v>109</v>
      </c>
      <c r="B108" s="12">
        <v>1512</v>
      </c>
      <c r="C108" s="21" t="s">
        <v>106</v>
      </c>
      <c r="D108" s="13" t="s">
        <v>1232</v>
      </c>
      <c r="F108" s="21" t="s">
        <v>110</v>
      </c>
      <c r="G108" t="s">
        <v>23</v>
      </c>
      <c r="H108" s="14">
        <v>46113</v>
      </c>
      <c r="I108" s="14">
        <v>46140</v>
      </c>
      <c r="J108" s="13" t="s">
        <v>29</v>
      </c>
      <c r="L108" s="2">
        <v>429.26</v>
      </c>
      <c r="M108" s="2">
        <v>8176.46</v>
      </c>
      <c r="N108" s="2">
        <v>408.82</v>
      </c>
      <c r="O108" s="2">
        <v>8585.2800000000007</v>
      </c>
      <c r="P108" s="3">
        <v>0.05</v>
      </c>
      <c r="Q108" s="3"/>
      <c r="R108" s="2">
        <v>1166.49</v>
      </c>
      <c r="S108" s="3">
        <v>0.15</v>
      </c>
      <c r="T108" s="2">
        <v>9156.16</v>
      </c>
      <c r="U108" s="13" t="s">
        <v>53</v>
      </c>
      <c r="V108" s="13" t="str">
        <f t="shared" si="10"/>
        <v>No</v>
      </c>
      <c r="W108" s="13" t="str">
        <f t="shared" si="10"/>
        <v>No</v>
      </c>
      <c r="X108" s="13" t="str">
        <f t="shared" si="10"/>
        <v>No</v>
      </c>
      <c r="Y108" s="13" t="str">
        <f t="shared" si="10"/>
        <v>Yes</v>
      </c>
      <c r="Z108" s="13" t="str">
        <f t="shared" si="10"/>
        <v>No</v>
      </c>
      <c r="AA108" s="71" t="e">
        <f>+(Table1[[#This Row],[Everyday price]]-Table1[[#This Row],[Promo Price]])/Table1[[#This Row],[Everyday price]]</f>
        <v>#DIV/0!</v>
      </c>
      <c r="AC108" s="69"/>
      <c r="AH108" s="6"/>
      <c r="AJ108" s="116" t="str">
        <f>IF(AND(ISNUMBER(Table1[[#This Row],[Lift  ]]),ISNUMBER(Table1[[#This Row],[Plan lift, %]]),Table1[[#This Row],[Plan lift, %]]&lt;&gt;0),Table1[[#This Row],[Lift  ]]-Table1[[#This Row],[Plan lift, %]],"")</f>
        <v/>
      </c>
      <c r="AK108" s="116"/>
    </row>
    <row r="109" spans="1:37" x14ac:dyDescent="0.35">
      <c r="A109" t="s">
        <v>105</v>
      </c>
      <c r="B109" s="12">
        <v>1513</v>
      </c>
      <c r="C109" s="21" t="s">
        <v>106</v>
      </c>
      <c r="D109" s="13" t="s">
        <v>1232</v>
      </c>
      <c r="F109" s="21" t="s">
        <v>107</v>
      </c>
      <c r="G109" t="s">
        <v>23</v>
      </c>
      <c r="H109" s="14">
        <v>46141</v>
      </c>
      <c r="I109" s="14">
        <v>46168</v>
      </c>
      <c r="J109" s="13" t="s">
        <v>29</v>
      </c>
      <c r="L109" s="2">
        <v>12079.87</v>
      </c>
      <c r="M109" s="2">
        <v>8217.6</v>
      </c>
      <c r="N109" s="2">
        <v>3287.04</v>
      </c>
      <c r="O109" s="2">
        <v>11504.64</v>
      </c>
      <c r="P109" s="3">
        <v>0.4</v>
      </c>
      <c r="Q109" s="3"/>
      <c r="R109" s="2">
        <v>1517.77</v>
      </c>
      <c r="S109" s="3">
        <v>0.22</v>
      </c>
      <c r="T109" s="2">
        <v>8287.57</v>
      </c>
      <c r="U109" s="13" t="s">
        <v>108</v>
      </c>
      <c r="V109" s="13" t="str">
        <f t="shared" si="10"/>
        <v>No</v>
      </c>
      <c r="W109" s="13" t="str">
        <f t="shared" si="10"/>
        <v>Yes</v>
      </c>
      <c r="X109" s="13" t="str">
        <f t="shared" si="10"/>
        <v>No</v>
      </c>
      <c r="Y109" s="13" t="str">
        <f t="shared" si="10"/>
        <v>Yes</v>
      </c>
      <c r="Z109" s="13" t="str">
        <f t="shared" si="10"/>
        <v>No</v>
      </c>
      <c r="AA109" s="71" t="e">
        <f>+(Table1[[#This Row],[Everyday price]]-Table1[[#This Row],[Promo Price]])/Table1[[#This Row],[Everyday price]]</f>
        <v>#DIV/0!</v>
      </c>
      <c r="AC109" s="69"/>
      <c r="AH109" s="6"/>
      <c r="AJ109" s="116" t="str">
        <f>IF(AND(ISNUMBER(Table1[[#This Row],[Lift  ]]),ISNUMBER(Table1[[#This Row],[Plan lift, %]]),Table1[[#This Row],[Plan lift, %]]&lt;&gt;0),Table1[[#This Row],[Lift  ]]-Table1[[#This Row],[Plan lift, %]],"")</f>
        <v/>
      </c>
      <c r="AK109" s="116"/>
    </row>
    <row r="110" spans="1:37" x14ac:dyDescent="0.35">
      <c r="A110" t="s">
        <v>498</v>
      </c>
      <c r="B110" s="12">
        <v>1514</v>
      </c>
      <c r="C110" s="21" t="s">
        <v>106</v>
      </c>
      <c r="D110" s="13" t="s">
        <v>1232</v>
      </c>
      <c r="F110" s="21" t="s">
        <v>28</v>
      </c>
      <c r="G110" t="s">
        <v>23</v>
      </c>
      <c r="H110" s="14">
        <v>46204</v>
      </c>
      <c r="I110" s="14">
        <v>46231</v>
      </c>
      <c r="J110" s="13" t="s">
        <v>29</v>
      </c>
      <c r="L110" s="2">
        <v>11504.64</v>
      </c>
      <c r="M110" s="2">
        <v>8217.6</v>
      </c>
      <c r="N110" s="2">
        <v>3287.04</v>
      </c>
      <c r="O110" s="2">
        <v>11504.64</v>
      </c>
      <c r="P110" s="3">
        <v>0.4</v>
      </c>
      <c r="Q110" s="3"/>
      <c r="R110" s="2">
        <v>99.16</v>
      </c>
      <c r="S110" s="3">
        <v>0.03</v>
      </c>
      <c r="T110" s="2">
        <v>3364.57</v>
      </c>
      <c r="U110" s="13" t="s">
        <v>25</v>
      </c>
      <c r="V110" s="13" t="str">
        <f t="shared" si="10"/>
        <v>No</v>
      </c>
      <c r="W110" s="13" t="str">
        <f t="shared" si="10"/>
        <v>Yes</v>
      </c>
      <c r="X110" s="13" t="str">
        <f t="shared" si="10"/>
        <v>No</v>
      </c>
      <c r="Y110" s="13" t="str">
        <f t="shared" si="10"/>
        <v>No</v>
      </c>
      <c r="Z110" s="13" t="str">
        <f t="shared" si="10"/>
        <v>No</v>
      </c>
      <c r="AA110" s="71" t="e">
        <f>+(Table1[[#This Row],[Everyday price]]-Table1[[#This Row],[Promo Price]])/Table1[[#This Row],[Everyday price]]</f>
        <v>#DIV/0!</v>
      </c>
      <c r="AC110" s="69"/>
      <c r="AH110" s="6"/>
      <c r="AJ110" s="116" t="str">
        <f>IF(AND(ISNUMBER(Table1[[#This Row],[Lift  ]]),ISNUMBER(Table1[[#This Row],[Plan lift, %]]),Table1[[#This Row],[Plan lift, %]]&lt;&gt;0),Table1[[#This Row],[Lift  ]]-Table1[[#This Row],[Plan lift, %]],"")</f>
        <v/>
      </c>
      <c r="AK110" s="116"/>
    </row>
    <row r="111" spans="1:37" x14ac:dyDescent="0.35">
      <c r="A111" t="s">
        <v>688</v>
      </c>
      <c r="B111" s="12">
        <v>1515</v>
      </c>
      <c r="C111" s="21" t="s">
        <v>106</v>
      </c>
      <c r="D111" s="13" t="s">
        <v>1232</v>
      </c>
      <c r="F111" s="21" t="s">
        <v>317</v>
      </c>
      <c r="G111" t="s">
        <v>60</v>
      </c>
      <c r="H111" s="14">
        <v>46235</v>
      </c>
      <c r="I111" s="14">
        <v>46262</v>
      </c>
      <c r="J111" s="13" t="s">
        <v>29</v>
      </c>
      <c r="L111" s="2">
        <v>26296.32</v>
      </c>
      <c r="M111" s="2">
        <v>8217.6</v>
      </c>
      <c r="N111" s="2">
        <v>4930.5600000000004</v>
      </c>
      <c r="O111" s="2">
        <v>13148.16</v>
      </c>
      <c r="P111" s="3">
        <v>0.6</v>
      </c>
      <c r="Q111" s="3"/>
      <c r="R111" s="2">
        <v>0</v>
      </c>
      <c r="S111" s="3">
        <v>0</v>
      </c>
      <c r="T111" s="2">
        <v>0</v>
      </c>
      <c r="U111" s="13" t="s">
        <v>25</v>
      </c>
      <c r="V111" s="13" t="str">
        <f t="shared" si="10"/>
        <v>No</v>
      </c>
      <c r="W111" s="13" t="str">
        <f t="shared" si="10"/>
        <v>Yes</v>
      </c>
      <c r="X111" s="13" t="str">
        <f t="shared" si="10"/>
        <v>No</v>
      </c>
      <c r="Y111" s="13" t="str">
        <f t="shared" si="10"/>
        <v>No</v>
      </c>
      <c r="Z111" s="13" t="str">
        <f t="shared" si="10"/>
        <v>No</v>
      </c>
      <c r="AA111" s="71" t="e">
        <f>+(Table1[[#This Row],[Everyday price]]-Table1[[#This Row],[Promo Price]])/Table1[[#This Row],[Everyday price]]</f>
        <v>#DIV/0!</v>
      </c>
      <c r="AC111" s="69"/>
      <c r="AH111" s="6"/>
      <c r="AJ111" s="116" t="str">
        <f>IF(AND(ISNUMBER(Table1[[#This Row],[Lift  ]]),ISNUMBER(Table1[[#This Row],[Plan lift, %]]),Table1[[#This Row],[Plan lift, %]]&lt;&gt;0),Table1[[#This Row],[Lift  ]]-Table1[[#This Row],[Plan lift, %]],"")</f>
        <v/>
      </c>
      <c r="AK111" s="116"/>
    </row>
    <row r="112" spans="1:37" x14ac:dyDescent="0.35">
      <c r="A112" t="s">
        <v>1013</v>
      </c>
      <c r="B112" s="12">
        <v>1516</v>
      </c>
      <c r="C112" s="21" t="s">
        <v>106</v>
      </c>
      <c r="D112" s="13" t="s">
        <v>1232</v>
      </c>
      <c r="F112" s="21" t="s">
        <v>725</v>
      </c>
      <c r="G112" t="s">
        <v>44</v>
      </c>
      <c r="H112" s="14">
        <v>46266</v>
      </c>
      <c r="I112" s="14">
        <v>46293</v>
      </c>
      <c r="J112" s="13" t="s">
        <v>29</v>
      </c>
      <c r="L112" s="2">
        <v>431.42</v>
      </c>
      <c r="M112" s="2">
        <v>8217.6</v>
      </c>
      <c r="N112" s="2">
        <v>410.88</v>
      </c>
      <c r="O112" s="2">
        <v>8628.48</v>
      </c>
      <c r="P112" s="3">
        <v>0.05</v>
      </c>
      <c r="Q112" s="3"/>
      <c r="R112" s="2">
        <v>0</v>
      </c>
      <c r="S112" s="3">
        <v>0</v>
      </c>
      <c r="T112" s="2">
        <v>0</v>
      </c>
      <c r="U112" s="13" t="s">
        <v>53</v>
      </c>
      <c r="V112" s="13" t="str">
        <f t="shared" ref="V112:Z121" si="11">IF(ISNUMBER(SEARCH(V$1,$U112)),"Yes","No")</f>
        <v>No</v>
      </c>
      <c r="W112" s="13" t="str">
        <f t="shared" si="11"/>
        <v>No</v>
      </c>
      <c r="X112" s="13" t="str">
        <f t="shared" si="11"/>
        <v>No</v>
      </c>
      <c r="Y112" s="13" t="str">
        <f t="shared" si="11"/>
        <v>Yes</v>
      </c>
      <c r="Z112" s="13" t="str">
        <f t="shared" si="11"/>
        <v>No</v>
      </c>
      <c r="AA112" s="71" t="e">
        <f>+(Table1[[#This Row],[Everyday price]]-Table1[[#This Row],[Promo Price]])/Table1[[#This Row],[Everyday price]]</f>
        <v>#DIV/0!</v>
      </c>
      <c r="AC112" s="69"/>
      <c r="AH112" s="6"/>
      <c r="AJ112" s="116" t="str">
        <f>IF(AND(ISNUMBER(Table1[[#This Row],[Lift  ]]),ISNUMBER(Table1[[#This Row],[Plan lift, %]]),Table1[[#This Row],[Plan lift, %]]&lt;&gt;0),Table1[[#This Row],[Lift  ]]-Table1[[#This Row],[Plan lift, %]],"")</f>
        <v/>
      </c>
      <c r="AK112" s="116"/>
    </row>
    <row r="113" spans="1:37" x14ac:dyDescent="0.35">
      <c r="A113" t="s">
        <v>848</v>
      </c>
      <c r="B113" s="12">
        <v>1517</v>
      </c>
      <c r="C113" s="21" t="s">
        <v>106</v>
      </c>
      <c r="D113" s="13" t="s">
        <v>1232</v>
      </c>
      <c r="F113" s="21" t="s">
        <v>143</v>
      </c>
      <c r="G113" t="s">
        <v>44</v>
      </c>
      <c r="H113" s="14">
        <v>46296</v>
      </c>
      <c r="I113" s="14">
        <v>46323</v>
      </c>
      <c r="J113" s="13" t="s">
        <v>29</v>
      </c>
      <c r="L113" s="2">
        <v>10682.88</v>
      </c>
      <c r="M113" s="2">
        <v>8217.6</v>
      </c>
      <c r="N113" s="2">
        <v>2465.2800000000002</v>
      </c>
      <c r="O113" s="2">
        <v>10682.88</v>
      </c>
      <c r="P113" s="3">
        <v>0.3</v>
      </c>
      <c r="Q113" s="3"/>
      <c r="R113" s="2">
        <v>0</v>
      </c>
      <c r="S113" s="3">
        <v>0</v>
      </c>
      <c r="T113" s="2">
        <v>0</v>
      </c>
      <c r="U113" s="13" t="s">
        <v>25</v>
      </c>
      <c r="V113" s="13" t="str">
        <f t="shared" si="11"/>
        <v>No</v>
      </c>
      <c r="W113" s="13" t="str">
        <f t="shared" si="11"/>
        <v>Yes</v>
      </c>
      <c r="X113" s="13" t="str">
        <f t="shared" si="11"/>
        <v>No</v>
      </c>
      <c r="Y113" s="13" t="str">
        <f t="shared" si="11"/>
        <v>No</v>
      </c>
      <c r="Z113" s="13" t="str">
        <f t="shared" si="11"/>
        <v>No</v>
      </c>
      <c r="AA113" s="71" t="e">
        <f>+(Table1[[#This Row],[Everyday price]]-Table1[[#This Row],[Promo Price]])/Table1[[#This Row],[Everyday price]]</f>
        <v>#DIV/0!</v>
      </c>
      <c r="AC113" s="69"/>
      <c r="AH113" s="6"/>
      <c r="AJ113" s="116" t="str">
        <f>IF(AND(ISNUMBER(Table1[[#This Row],[Lift  ]]),ISNUMBER(Table1[[#This Row],[Plan lift, %]]),Table1[[#This Row],[Plan lift, %]]&lt;&gt;0),Table1[[#This Row],[Lift  ]]-Table1[[#This Row],[Plan lift, %]],"")</f>
        <v/>
      </c>
      <c r="AK113" s="116"/>
    </row>
    <row r="114" spans="1:37" x14ac:dyDescent="0.35">
      <c r="A114" t="s">
        <v>164</v>
      </c>
      <c r="B114" s="136" t="s">
        <v>1480</v>
      </c>
      <c r="C114" s="21" t="s">
        <v>103</v>
      </c>
      <c r="D114" s="13" t="s">
        <v>1232</v>
      </c>
      <c r="F114" s="21" t="s">
        <v>165</v>
      </c>
      <c r="G114" t="s">
        <v>23</v>
      </c>
      <c r="H114" s="14">
        <v>46020</v>
      </c>
      <c r="I114" s="14">
        <v>46047</v>
      </c>
      <c r="J114" s="13" t="s">
        <v>24</v>
      </c>
      <c r="L114" s="2">
        <v>10369.51</v>
      </c>
      <c r="M114" s="2">
        <v>13466.91</v>
      </c>
      <c r="N114" s="2">
        <v>10100.200000000001</v>
      </c>
      <c r="O114" s="2">
        <v>23567.11</v>
      </c>
      <c r="P114" s="3">
        <v>0.75</v>
      </c>
      <c r="Q114" s="3"/>
      <c r="R114" s="2">
        <v>8198.09</v>
      </c>
      <c r="S114" s="3">
        <v>0.55000000000000004</v>
      </c>
      <c r="T114" s="2">
        <v>23133</v>
      </c>
      <c r="U114" s="13" t="s">
        <v>108</v>
      </c>
      <c r="V114" s="13" t="str">
        <f t="shared" si="11"/>
        <v>No</v>
      </c>
      <c r="W114" s="13" t="str">
        <f t="shared" si="11"/>
        <v>Yes</v>
      </c>
      <c r="X114" s="13" t="str">
        <f t="shared" si="11"/>
        <v>No</v>
      </c>
      <c r="Y114" s="13" t="str">
        <f t="shared" si="11"/>
        <v>Yes</v>
      </c>
      <c r="Z114" s="13" t="str">
        <f t="shared" si="11"/>
        <v>No</v>
      </c>
      <c r="AA114" s="71" t="e">
        <f>+(Table1[[#This Row],[Everyday price]]-Table1[[#This Row],[Promo Price]])/Table1[[#This Row],[Everyday price]]</f>
        <v>#DIV/0!</v>
      </c>
      <c r="AC114" s="69"/>
      <c r="AH114" s="6"/>
      <c r="AJ114" s="116" t="str">
        <f>IF(AND(ISNUMBER(Table1[[#This Row],[Lift  ]]),ISNUMBER(Table1[[#This Row],[Plan lift, %]]),Table1[[#This Row],[Plan lift, %]]&lt;&gt;0),Table1[[#This Row],[Lift  ]]-Table1[[#This Row],[Plan lift, %]],"")</f>
        <v/>
      </c>
      <c r="AK114" s="116"/>
    </row>
    <row r="115" spans="1:37" x14ac:dyDescent="0.35">
      <c r="A115" t="s">
        <v>164</v>
      </c>
      <c r="B115" s="136" t="s">
        <v>1481</v>
      </c>
      <c r="C115" s="21" t="s">
        <v>103</v>
      </c>
      <c r="D115" s="13" t="s">
        <v>1232</v>
      </c>
      <c r="F115" s="21" t="s">
        <v>165</v>
      </c>
      <c r="G115" t="s">
        <v>23</v>
      </c>
      <c r="H115" s="14">
        <v>46020</v>
      </c>
      <c r="I115" s="14">
        <v>46047</v>
      </c>
      <c r="J115" s="13" t="s">
        <v>29</v>
      </c>
      <c r="L115" s="2">
        <v>3515.4</v>
      </c>
      <c r="M115" s="2">
        <v>2790</v>
      </c>
      <c r="N115" s="2">
        <v>558</v>
      </c>
      <c r="O115" s="2">
        <v>3348</v>
      </c>
      <c r="P115" s="3">
        <v>0.2</v>
      </c>
      <c r="Q115" s="3"/>
      <c r="R115" s="2">
        <v>-1274</v>
      </c>
      <c r="S115" s="3">
        <v>-0.46</v>
      </c>
      <c r="T115" s="2">
        <v>1516</v>
      </c>
      <c r="U115" s="13" t="s">
        <v>108</v>
      </c>
      <c r="V115" s="13" t="str">
        <f t="shared" si="11"/>
        <v>No</v>
      </c>
      <c r="W115" s="13" t="str">
        <f t="shared" si="11"/>
        <v>Yes</v>
      </c>
      <c r="X115" s="13" t="str">
        <f t="shared" si="11"/>
        <v>No</v>
      </c>
      <c r="Y115" s="13" t="str">
        <f t="shared" si="11"/>
        <v>Yes</v>
      </c>
      <c r="Z115" s="13" t="str">
        <f t="shared" si="11"/>
        <v>No</v>
      </c>
      <c r="AA115" s="71" t="e">
        <f>+(Table1[[#This Row],[Everyday price]]-Table1[[#This Row],[Promo Price]])/Table1[[#This Row],[Everyday price]]</f>
        <v>#DIV/0!</v>
      </c>
      <c r="AC115" s="69"/>
      <c r="AH115" s="6"/>
      <c r="AJ115" s="116" t="str">
        <f>IF(AND(ISNUMBER(Table1[[#This Row],[Lift  ]]),ISNUMBER(Table1[[#This Row],[Plan lift, %]]),Table1[[#This Row],[Plan lift, %]]&lt;&gt;0),Table1[[#This Row],[Lift  ]]-Table1[[#This Row],[Plan lift, %]],"")</f>
        <v/>
      </c>
      <c r="AK115" s="116"/>
    </row>
    <row r="116" spans="1:37" x14ac:dyDescent="0.35">
      <c r="A116" t="s">
        <v>813</v>
      </c>
      <c r="B116" s="12">
        <v>1379</v>
      </c>
      <c r="C116" s="21" t="s">
        <v>103</v>
      </c>
      <c r="D116" s="13" t="s">
        <v>1232</v>
      </c>
      <c r="F116" s="21" t="s">
        <v>814</v>
      </c>
      <c r="G116" t="s">
        <v>23</v>
      </c>
      <c r="H116" s="14">
        <v>46023</v>
      </c>
      <c r="I116" s="14">
        <v>46053</v>
      </c>
      <c r="J116" s="13" t="s">
        <v>24</v>
      </c>
      <c r="L116" s="2">
        <v>0</v>
      </c>
      <c r="M116" s="2">
        <v>11961.65</v>
      </c>
      <c r="N116" s="2">
        <v>0</v>
      </c>
      <c r="O116" s="2">
        <v>11961.65</v>
      </c>
      <c r="P116" s="3">
        <v>0</v>
      </c>
      <c r="Q116" s="3"/>
      <c r="R116" s="2">
        <v>5225.63</v>
      </c>
      <c r="S116" s="3">
        <v>0.44</v>
      </c>
      <c r="T116" s="2">
        <v>17187.28</v>
      </c>
      <c r="U116" s="13" t="s">
        <v>25</v>
      </c>
      <c r="V116" s="13" t="str">
        <f t="shared" si="11"/>
        <v>No</v>
      </c>
      <c r="W116" s="13" t="str">
        <f t="shared" si="11"/>
        <v>Yes</v>
      </c>
      <c r="X116" s="13" t="str">
        <f t="shared" si="11"/>
        <v>No</v>
      </c>
      <c r="Y116" s="13" t="str">
        <f t="shared" si="11"/>
        <v>No</v>
      </c>
      <c r="Z116" s="13" t="str">
        <f t="shared" si="11"/>
        <v>No</v>
      </c>
      <c r="AA116" s="71" t="e">
        <f>+(Table1[[#This Row],[Everyday price]]-Table1[[#This Row],[Promo Price]])/Table1[[#This Row],[Everyday price]]</f>
        <v>#DIV/0!</v>
      </c>
      <c r="AC116" s="69"/>
      <c r="AH116" s="6"/>
      <c r="AJ116" s="116" t="str">
        <f>IF(AND(ISNUMBER(Table1[[#This Row],[Lift  ]]),ISNUMBER(Table1[[#This Row],[Plan lift, %]]),Table1[[#This Row],[Plan lift, %]]&lt;&gt;0),Table1[[#This Row],[Lift  ]]-Table1[[#This Row],[Plan lift, %]],"")</f>
        <v/>
      </c>
      <c r="AK116" s="116"/>
    </row>
    <row r="117" spans="1:37" x14ac:dyDescent="0.35">
      <c r="A117" t="s">
        <v>695</v>
      </c>
      <c r="B117" s="12">
        <v>1412</v>
      </c>
      <c r="C117" s="21" t="s">
        <v>103</v>
      </c>
      <c r="D117" s="13" t="s">
        <v>1232</v>
      </c>
      <c r="F117" s="21" t="s">
        <v>696</v>
      </c>
      <c r="G117" t="s">
        <v>128</v>
      </c>
      <c r="H117" s="14">
        <v>46023</v>
      </c>
      <c r="I117" s="14">
        <v>46387</v>
      </c>
      <c r="J117" s="13" t="s">
        <v>24</v>
      </c>
      <c r="L117" s="2">
        <v>250</v>
      </c>
      <c r="M117" s="2">
        <v>64121.18</v>
      </c>
      <c r="N117" s="2">
        <v>6412.11</v>
      </c>
      <c r="O117" s="2">
        <v>70533.289999999994</v>
      </c>
      <c r="P117" s="3">
        <v>0.1</v>
      </c>
      <c r="Q117" s="3"/>
      <c r="R117" s="2">
        <v>27361.040000000001</v>
      </c>
      <c r="S117" s="3">
        <v>1.47</v>
      </c>
      <c r="T117" s="2">
        <v>46003.54</v>
      </c>
      <c r="U117" s="13" t="s">
        <v>465</v>
      </c>
      <c r="V117" s="13" t="str">
        <f t="shared" si="11"/>
        <v>No</v>
      </c>
      <c r="W117" s="13" t="str">
        <f t="shared" si="11"/>
        <v>No</v>
      </c>
      <c r="X117" s="13" t="str">
        <f t="shared" si="11"/>
        <v>No</v>
      </c>
      <c r="Y117" s="13" t="str">
        <f t="shared" si="11"/>
        <v>No</v>
      </c>
      <c r="Z117" s="13" t="str">
        <f t="shared" si="11"/>
        <v>No</v>
      </c>
      <c r="AA117" s="71" t="e">
        <f>+(Table1[[#This Row],[Everyday price]]-Table1[[#This Row],[Promo Price]])/Table1[[#This Row],[Everyday price]]</f>
        <v>#DIV/0!</v>
      </c>
      <c r="AC117" s="69"/>
      <c r="AH117" s="6"/>
      <c r="AJ117" s="116" t="str">
        <f>IF(AND(ISNUMBER(Table1[[#This Row],[Lift  ]]),ISNUMBER(Table1[[#This Row],[Plan lift, %]]),Table1[[#This Row],[Plan lift, %]]&lt;&gt;0),Table1[[#This Row],[Lift  ]]-Table1[[#This Row],[Plan lift, %]],"")</f>
        <v/>
      </c>
      <c r="AK117" s="116"/>
    </row>
    <row r="118" spans="1:37" x14ac:dyDescent="0.35">
      <c r="A118" t="s">
        <v>427</v>
      </c>
      <c r="B118" s="12" t="s">
        <v>1696</v>
      </c>
      <c r="C118" s="21" t="s">
        <v>103</v>
      </c>
      <c r="D118" s="13" t="s">
        <v>1232</v>
      </c>
      <c r="F118" s="21" t="s">
        <v>428</v>
      </c>
      <c r="G118" t="s">
        <v>23</v>
      </c>
      <c r="H118" s="14">
        <v>46048</v>
      </c>
      <c r="I118" s="14">
        <v>46075</v>
      </c>
      <c r="J118" s="13" t="s">
        <v>24</v>
      </c>
      <c r="L118" s="2">
        <v>11507.58</v>
      </c>
      <c r="M118" s="2">
        <v>18342.05</v>
      </c>
      <c r="N118" s="2">
        <v>11164.57</v>
      </c>
      <c r="O118" s="2">
        <v>29506.62</v>
      </c>
      <c r="P118" s="3"/>
      <c r="Q118" s="3"/>
      <c r="R118" s="2">
        <v>1083.95</v>
      </c>
      <c r="S118" s="3">
        <v>0.06</v>
      </c>
      <c r="T118" s="2">
        <v>20133</v>
      </c>
      <c r="U118" s="13" t="s">
        <v>25</v>
      </c>
      <c r="V118" s="13" t="str">
        <f t="shared" si="11"/>
        <v>No</v>
      </c>
      <c r="W118" s="13" t="str">
        <f t="shared" si="11"/>
        <v>Yes</v>
      </c>
      <c r="X118" s="13" t="str">
        <f t="shared" si="11"/>
        <v>No</v>
      </c>
      <c r="Y118" s="13" t="str">
        <f t="shared" si="11"/>
        <v>No</v>
      </c>
      <c r="Z118" s="13" t="str">
        <f t="shared" si="11"/>
        <v>No</v>
      </c>
      <c r="AA118" s="71" t="e">
        <f>+(Table1[[#This Row],[Everyday price]]-Table1[[#This Row],[Promo Price]])/Table1[[#This Row],[Everyday price]]</f>
        <v>#DIV/0!</v>
      </c>
      <c r="AC118" s="69"/>
      <c r="AH118" s="6"/>
      <c r="AJ118" s="116" t="str">
        <f>IF(AND(ISNUMBER(Table1[[#This Row],[Lift  ]]),ISNUMBER(Table1[[#This Row],[Plan lift, %]]),Table1[[#This Row],[Plan lift, %]]&lt;&gt;0),Table1[[#This Row],[Lift  ]]-Table1[[#This Row],[Plan lift, %]],"")</f>
        <v/>
      </c>
      <c r="AK118" s="116"/>
    </row>
    <row r="119" spans="1:37" x14ac:dyDescent="0.35">
      <c r="A119" t="s">
        <v>427</v>
      </c>
      <c r="B119" s="12" t="s">
        <v>1697</v>
      </c>
      <c r="C119" s="21" t="s">
        <v>103</v>
      </c>
      <c r="D119" s="13" t="s">
        <v>1232</v>
      </c>
      <c r="F119" s="21" t="s">
        <v>428</v>
      </c>
      <c r="G119" t="s">
        <v>23</v>
      </c>
      <c r="H119" s="14">
        <v>46048</v>
      </c>
      <c r="I119" s="14">
        <v>46075</v>
      </c>
      <c r="J119" s="13" t="s">
        <v>29</v>
      </c>
      <c r="L119" s="2">
        <v>4514.3999999999996</v>
      </c>
      <c r="M119" s="2">
        <v>2850</v>
      </c>
      <c r="N119" s="2">
        <v>570</v>
      </c>
      <c r="O119" s="2">
        <v>3420</v>
      </c>
      <c r="P119" s="3">
        <v>0.2</v>
      </c>
      <c r="Q119" s="3"/>
      <c r="R119" s="2">
        <v>-1178</v>
      </c>
      <c r="S119" s="3">
        <v>-0.41</v>
      </c>
      <c r="T119" s="2">
        <v>1672</v>
      </c>
      <c r="U119" s="13" t="s">
        <v>25</v>
      </c>
      <c r="V119" s="13" t="str">
        <f t="shared" si="11"/>
        <v>No</v>
      </c>
      <c r="W119" s="13" t="str">
        <f t="shared" si="11"/>
        <v>Yes</v>
      </c>
      <c r="X119" s="13" t="str">
        <f t="shared" si="11"/>
        <v>No</v>
      </c>
      <c r="Y119" s="13" t="str">
        <f t="shared" si="11"/>
        <v>No</v>
      </c>
      <c r="Z119" s="13" t="str">
        <f t="shared" si="11"/>
        <v>No</v>
      </c>
      <c r="AA119" s="71" t="e">
        <f>+(Table1[[#This Row],[Everyday price]]-Table1[[#This Row],[Promo Price]])/Table1[[#This Row],[Everyday price]]</f>
        <v>#DIV/0!</v>
      </c>
      <c r="AC119" s="69"/>
      <c r="AH119" s="6"/>
      <c r="AJ119" s="116" t="str">
        <f>IF(AND(ISNUMBER(Table1[[#This Row],[Lift  ]]),ISNUMBER(Table1[[#This Row],[Plan lift, %]]),Table1[[#This Row],[Plan lift, %]]&lt;&gt;0),Table1[[#This Row],[Lift  ]]-Table1[[#This Row],[Plan lift, %]],"")</f>
        <v/>
      </c>
      <c r="AK119" s="116"/>
    </row>
    <row r="120" spans="1:37" x14ac:dyDescent="0.35">
      <c r="A120" t="s">
        <v>619</v>
      </c>
      <c r="B120" s="12">
        <v>1380</v>
      </c>
      <c r="C120" s="21" t="s">
        <v>103</v>
      </c>
      <c r="D120" s="13" t="s">
        <v>1232</v>
      </c>
      <c r="F120" s="21" t="s">
        <v>620</v>
      </c>
      <c r="G120" t="s">
        <v>23</v>
      </c>
      <c r="H120" s="14">
        <v>46054</v>
      </c>
      <c r="I120" s="14">
        <v>46081</v>
      </c>
      <c r="J120" s="13" t="s">
        <v>24</v>
      </c>
      <c r="L120" s="2">
        <v>0</v>
      </c>
      <c r="M120" s="2">
        <v>6500.14</v>
      </c>
      <c r="N120" s="2">
        <v>0</v>
      </c>
      <c r="O120" s="2">
        <v>6500.14</v>
      </c>
      <c r="P120" s="3">
        <v>0</v>
      </c>
      <c r="Q120" s="3">
        <v>0.01</v>
      </c>
      <c r="R120" s="2">
        <v>8413.49</v>
      </c>
      <c r="S120" s="3">
        <v>8.98</v>
      </c>
      <c r="T120" s="2">
        <v>9350</v>
      </c>
      <c r="U120" s="13" t="s">
        <v>25</v>
      </c>
      <c r="V120" s="13" t="str">
        <f t="shared" si="11"/>
        <v>No</v>
      </c>
      <c r="W120" s="13" t="str">
        <f t="shared" si="11"/>
        <v>Yes</v>
      </c>
      <c r="X120" s="13" t="str">
        <f t="shared" si="11"/>
        <v>No</v>
      </c>
      <c r="Y120" s="13" t="str">
        <f t="shared" si="11"/>
        <v>No</v>
      </c>
      <c r="Z120" s="13" t="str">
        <f t="shared" si="11"/>
        <v>No</v>
      </c>
      <c r="AA120" s="71" t="e">
        <f>+(Table1[[#This Row],[Everyday price]]-Table1[[#This Row],[Promo Price]])/Table1[[#This Row],[Everyday price]]</f>
        <v>#DIV/0!</v>
      </c>
      <c r="AC120" s="69"/>
      <c r="AH120" s="6"/>
      <c r="AJ120" s="116" t="str">
        <f>IF(AND(ISNUMBER(Table1[[#This Row],[Lift  ]]),ISNUMBER(Table1[[#This Row],[Plan lift, %]]),Table1[[#This Row],[Plan lift, %]]&lt;&gt;0),Table1[[#This Row],[Lift  ]]-Table1[[#This Row],[Plan lift, %]],"")</f>
        <v/>
      </c>
      <c r="AK120" s="116"/>
    </row>
    <row r="121" spans="1:37" x14ac:dyDescent="0.35">
      <c r="A121" t="s">
        <v>560</v>
      </c>
      <c r="B121" s="12" t="s">
        <v>1698</v>
      </c>
      <c r="C121" s="21" t="s">
        <v>103</v>
      </c>
      <c r="D121" s="13" t="s">
        <v>1232</v>
      </c>
      <c r="F121" s="21" t="s">
        <v>561</v>
      </c>
      <c r="G121" t="s">
        <v>23</v>
      </c>
      <c r="H121" s="14">
        <v>46076</v>
      </c>
      <c r="I121" s="14">
        <v>46103</v>
      </c>
      <c r="J121" s="13" t="s">
        <v>24</v>
      </c>
      <c r="L121" s="2">
        <v>3205.11</v>
      </c>
      <c r="M121" s="2">
        <v>14912</v>
      </c>
      <c r="N121" s="2">
        <v>2016</v>
      </c>
      <c r="O121" s="2">
        <v>16928</v>
      </c>
      <c r="P121" s="3"/>
      <c r="Q121" s="3"/>
      <c r="R121" s="2">
        <v>5996</v>
      </c>
      <c r="S121" s="3">
        <v>0.59</v>
      </c>
      <c r="T121" s="2">
        <v>16139</v>
      </c>
      <c r="U121" s="13" t="s">
        <v>108</v>
      </c>
      <c r="V121" s="13" t="str">
        <f t="shared" si="11"/>
        <v>No</v>
      </c>
      <c r="W121" s="13" t="str">
        <f t="shared" si="11"/>
        <v>Yes</v>
      </c>
      <c r="X121" s="13" t="str">
        <f t="shared" si="11"/>
        <v>No</v>
      </c>
      <c r="Y121" s="13" t="str">
        <f t="shared" si="11"/>
        <v>Yes</v>
      </c>
      <c r="Z121" s="13" t="str">
        <f t="shared" si="11"/>
        <v>No</v>
      </c>
      <c r="AA121" s="71" t="e">
        <f>+(Table1[[#This Row],[Everyday price]]-Table1[[#This Row],[Promo Price]])/Table1[[#This Row],[Everyday price]]</f>
        <v>#DIV/0!</v>
      </c>
      <c r="AC121" s="69"/>
      <c r="AH121" s="6"/>
      <c r="AJ121" s="116" t="str">
        <f>IF(AND(ISNUMBER(Table1[[#This Row],[Lift  ]]),ISNUMBER(Table1[[#This Row],[Plan lift, %]]),Table1[[#This Row],[Plan lift, %]]&lt;&gt;0),Table1[[#This Row],[Lift  ]]-Table1[[#This Row],[Plan lift, %]],"")</f>
        <v/>
      </c>
      <c r="AK121" s="116"/>
    </row>
    <row r="122" spans="1:37" x14ac:dyDescent="0.35">
      <c r="A122" t="s">
        <v>560</v>
      </c>
      <c r="B122" s="12" t="s">
        <v>1699</v>
      </c>
      <c r="C122" s="21" t="s">
        <v>103</v>
      </c>
      <c r="D122" s="13" t="s">
        <v>1232</v>
      </c>
      <c r="F122" s="21" t="s">
        <v>561</v>
      </c>
      <c r="G122" t="s">
        <v>23</v>
      </c>
      <c r="H122" s="14">
        <v>46076</v>
      </c>
      <c r="I122" s="14">
        <v>46103</v>
      </c>
      <c r="J122" s="13" t="s">
        <v>29</v>
      </c>
      <c r="L122" s="2">
        <v>1209.5999999999999</v>
      </c>
      <c r="M122" s="2">
        <v>960</v>
      </c>
      <c r="N122" s="2">
        <v>192</v>
      </c>
      <c r="O122" s="2">
        <v>1152</v>
      </c>
      <c r="P122" s="3">
        <v>0.2</v>
      </c>
      <c r="Q122" s="3"/>
      <c r="R122" s="2">
        <v>138.9</v>
      </c>
      <c r="S122" s="3">
        <v>0.08</v>
      </c>
      <c r="T122" s="2">
        <v>1882</v>
      </c>
      <c r="U122" s="13" t="s">
        <v>108</v>
      </c>
      <c r="V122" s="13" t="str">
        <f t="shared" ref="V122:Z131" si="12">IF(ISNUMBER(SEARCH(V$1,$U122)),"Yes","No")</f>
        <v>No</v>
      </c>
      <c r="W122" s="13" t="str">
        <f t="shared" si="12"/>
        <v>Yes</v>
      </c>
      <c r="X122" s="13" t="str">
        <f t="shared" si="12"/>
        <v>No</v>
      </c>
      <c r="Y122" s="13" t="str">
        <f t="shared" si="12"/>
        <v>Yes</v>
      </c>
      <c r="Z122" s="13" t="str">
        <f t="shared" si="12"/>
        <v>No</v>
      </c>
      <c r="AA122" s="71" t="e">
        <f>+(Table1[[#This Row],[Everyday price]]-Table1[[#This Row],[Promo Price]])/Table1[[#This Row],[Everyday price]]</f>
        <v>#DIV/0!</v>
      </c>
      <c r="AC122" s="69"/>
      <c r="AH122" s="6"/>
      <c r="AJ122" s="116" t="str">
        <f>IF(AND(ISNUMBER(Table1[[#This Row],[Lift  ]]),ISNUMBER(Table1[[#This Row],[Plan lift, %]]),Table1[[#This Row],[Plan lift, %]]&lt;&gt;0),Table1[[#This Row],[Lift  ]]-Table1[[#This Row],[Plan lift, %]],"")</f>
        <v/>
      </c>
      <c r="AK122" s="116"/>
    </row>
    <row r="123" spans="1:37" x14ac:dyDescent="0.35">
      <c r="A123" t="s">
        <v>494</v>
      </c>
      <c r="B123" s="12">
        <v>1413</v>
      </c>
      <c r="C123" s="21" t="s">
        <v>103</v>
      </c>
      <c r="D123" s="13" t="s">
        <v>1232</v>
      </c>
      <c r="F123" s="21" t="s">
        <v>495</v>
      </c>
      <c r="G123" t="s">
        <v>23</v>
      </c>
      <c r="H123" s="14">
        <v>46113</v>
      </c>
      <c r="I123" s="14">
        <v>46142</v>
      </c>
      <c r="J123" s="13" t="s">
        <v>24</v>
      </c>
      <c r="L123" s="2">
        <v>0</v>
      </c>
      <c r="M123" s="2">
        <v>1387.86</v>
      </c>
      <c r="N123" s="2">
        <v>0</v>
      </c>
      <c r="O123" s="2">
        <v>1387.86</v>
      </c>
      <c r="P123" s="3">
        <v>0</v>
      </c>
      <c r="Q123" s="3"/>
      <c r="R123" s="2">
        <v>910.49</v>
      </c>
      <c r="S123" s="3">
        <v>0.26</v>
      </c>
      <c r="T123" s="2">
        <v>4450.5600000000004</v>
      </c>
      <c r="U123" s="13" t="s">
        <v>152</v>
      </c>
      <c r="V123" s="13" t="str">
        <f t="shared" si="12"/>
        <v>No</v>
      </c>
      <c r="W123" s="13" t="str">
        <f t="shared" si="12"/>
        <v>No</v>
      </c>
      <c r="X123" s="13" t="str">
        <f t="shared" si="12"/>
        <v>No</v>
      </c>
      <c r="Y123" s="13" t="str">
        <f t="shared" si="12"/>
        <v>No</v>
      </c>
      <c r="Z123" s="13" t="str">
        <f t="shared" si="12"/>
        <v>No</v>
      </c>
      <c r="AA123" s="71" t="e">
        <f>+(Table1[[#This Row],[Everyday price]]-Table1[[#This Row],[Promo Price]])/Table1[[#This Row],[Everyday price]]</f>
        <v>#DIV/0!</v>
      </c>
      <c r="AC123" s="69"/>
      <c r="AH123" s="6"/>
      <c r="AJ123" s="116" t="str">
        <f>IF(AND(ISNUMBER(Table1[[#This Row],[Lift  ]]),ISNUMBER(Table1[[#This Row],[Plan lift, %]]),Table1[[#This Row],[Plan lift, %]]&lt;&gt;0),Table1[[#This Row],[Lift  ]]-Table1[[#This Row],[Plan lift, %]],"")</f>
        <v/>
      </c>
      <c r="AK123" s="116"/>
    </row>
    <row r="124" spans="1:37" x14ac:dyDescent="0.35">
      <c r="A124" t="s">
        <v>1190</v>
      </c>
      <c r="B124" s="12" t="s">
        <v>1700</v>
      </c>
      <c r="C124" s="21" t="s">
        <v>103</v>
      </c>
      <c r="D124" s="13" t="s">
        <v>1232</v>
      </c>
      <c r="F124" s="21" t="s">
        <v>1191</v>
      </c>
      <c r="G124" t="s">
        <v>23</v>
      </c>
      <c r="H124" s="14">
        <v>46132</v>
      </c>
      <c r="I124" s="14">
        <v>46159</v>
      </c>
      <c r="J124" s="13" t="s">
        <v>24</v>
      </c>
      <c r="L124" s="2">
        <v>8388.68</v>
      </c>
      <c r="M124" s="2">
        <v>10356.4</v>
      </c>
      <c r="N124" s="2">
        <v>5178.2</v>
      </c>
      <c r="O124" s="2">
        <v>15534.6</v>
      </c>
      <c r="P124" s="3">
        <v>0.5</v>
      </c>
      <c r="Q124" s="3"/>
      <c r="R124" s="2">
        <v>3684.5</v>
      </c>
      <c r="S124" s="3">
        <v>0.33</v>
      </c>
      <c r="T124" s="2">
        <v>14915</v>
      </c>
      <c r="U124" s="13" t="s">
        <v>25</v>
      </c>
      <c r="V124" s="13" t="str">
        <f t="shared" si="12"/>
        <v>No</v>
      </c>
      <c r="W124" s="13" t="str">
        <f t="shared" si="12"/>
        <v>Yes</v>
      </c>
      <c r="X124" s="13" t="str">
        <f t="shared" si="12"/>
        <v>No</v>
      </c>
      <c r="Y124" s="13" t="str">
        <f t="shared" si="12"/>
        <v>No</v>
      </c>
      <c r="Z124" s="13" t="str">
        <f t="shared" si="12"/>
        <v>No</v>
      </c>
      <c r="AA124" s="71" t="e">
        <f>+(Table1[[#This Row],[Everyday price]]-Table1[[#This Row],[Promo Price]])/Table1[[#This Row],[Everyday price]]</f>
        <v>#DIV/0!</v>
      </c>
      <c r="AC124" s="69"/>
      <c r="AH124" s="6"/>
      <c r="AJ124" s="116" t="str">
        <f>IF(AND(ISNUMBER(Table1[[#This Row],[Lift  ]]),ISNUMBER(Table1[[#This Row],[Plan lift, %]]),Table1[[#This Row],[Plan lift, %]]&lt;&gt;0),Table1[[#This Row],[Lift  ]]-Table1[[#This Row],[Plan lift, %]],"")</f>
        <v/>
      </c>
      <c r="AK124" s="116"/>
    </row>
    <row r="125" spans="1:37" x14ac:dyDescent="0.35">
      <c r="A125" t="s">
        <v>1190</v>
      </c>
      <c r="B125" s="12" t="s">
        <v>1701</v>
      </c>
      <c r="C125" s="21" t="s">
        <v>103</v>
      </c>
      <c r="D125" s="13" t="s">
        <v>1232</v>
      </c>
      <c r="F125" s="21" t="s">
        <v>1191</v>
      </c>
      <c r="G125" t="s">
        <v>23</v>
      </c>
      <c r="H125" s="14">
        <v>46132</v>
      </c>
      <c r="I125" s="14">
        <v>46159</v>
      </c>
      <c r="J125" s="13" t="s">
        <v>29</v>
      </c>
      <c r="L125" s="2">
        <v>3271.8</v>
      </c>
      <c r="M125" s="2">
        <v>1640</v>
      </c>
      <c r="N125" s="2">
        <v>820</v>
      </c>
      <c r="O125" s="2">
        <v>2460</v>
      </c>
      <c r="P125" s="3">
        <v>0.5</v>
      </c>
      <c r="Q125" s="3"/>
      <c r="R125" s="2">
        <v>247.9</v>
      </c>
      <c r="S125" s="3">
        <v>0.15</v>
      </c>
      <c r="T125" s="2">
        <v>1911</v>
      </c>
      <c r="U125" s="13" t="s">
        <v>25</v>
      </c>
      <c r="V125" s="13" t="str">
        <f t="shared" si="12"/>
        <v>No</v>
      </c>
      <c r="W125" s="13" t="str">
        <f t="shared" si="12"/>
        <v>Yes</v>
      </c>
      <c r="X125" s="13" t="str">
        <f t="shared" si="12"/>
        <v>No</v>
      </c>
      <c r="Y125" s="13" t="str">
        <f t="shared" si="12"/>
        <v>No</v>
      </c>
      <c r="Z125" s="13" t="str">
        <f t="shared" si="12"/>
        <v>No</v>
      </c>
      <c r="AA125" s="71" t="e">
        <f>+(Table1[[#This Row],[Everyday price]]-Table1[[#This Row],[Promo Price]])/Table1[[#This Row],[Everyday price]]</f>
        <v>#DIV/0!</v>
      </c>
      <c r="AC125" s="69"/>
      <c r="AH125" s="6"/>
      <c r="AJ125" s="116" t="str">
        <f>IF(AND(ISNUMBER(Table1[[#This Row],[Lift  ]]),ISNUMBER(Table1[[#This Row],[Plan lift, %]]),Table1[[#This Row],[Plan lift, %]]&lt;&gt;0),Table1[[#This Row],[Lift  ]]-Table1[[#This Row],[Plan lift, %]],"")</f>
        <v/>
      </c>
      <c r="AK125" s="116"/>
    </row>
    <row r="126" spans="1:37" x14ac:dyDescent="0.35">
      <c r="A126" t="s">
        <v>440</v>
      </c>
      <c r="B126" s="12" t="s">
        <v>1702</v>
      </c>
      <c r="C126" s="21" t="s">
        <v>103</v>
      </c>
      <c r="D126" s="13" t="s">
        <v>1232</v>
      </c>
      <c r="F126" s="21" t="s">
        <v>441</v>
      </c>
      <c r="G126" t="s">
        <v>23</v>
      </c>
      <c r="H126" s="14">
        <v>46174</v>
      </c>
      <c r="I126" s="14">
        <v>46201</v>
      </c>
      <c r="J126" s="13" t="s">
        <v>24</v>
      </c>
      <c r="L126" s="2">
        <v>264.31</v>
      </c>
      <c r="M126" s="2">
        <v>10356.4</v>
      </c>
      <c r="N126" s="2">
        <v>0</v>
      </c>
      <c r="O126" s="2">
        <v>10356.4</v>
      </c>
      <c r="P126" s="3">
        <v>0</v>
      </c>
      <c r="Q126" s="3"/>
      <c r="R126" s="2">
        <v>2164.3000000000002</v>
      </c>
      <c r="S126" s="3">
        <v>0.27</v>
      </c>
      <c r="T126" s="2">
        <v>10125.700000000001</v>
      </c>
      <c r="U126" s="13" t="s">
        <v>53</v>
      </c>
      <c r="V126" s="13" t="str">
        <f t="shared" si="12"/>
        <v>No</v>
      </c>
      <c r="W126" s="13" t="str">
        <f t="shared" si="12"/>
        <v>No</v>
      </c>
      <c r="X126" s="13" t="str">
        <f t="shared" si="12"/>
        <v>No</v>
      </c>
      <c r="Y126" s="13" t="str">
        <f t="shared" si="12"/>
        <v>Yes</v>
      </c>
      <c r="Z126" s="13" t="str">
        <f t="shared" si="12"/>
        <v>No</v>
      </c>
      <c r="AA126" s="71" t="e">
        <f>+(Table1[[#This Row],[Everyday price]]-Table1[[#This Row],[Promo Price]])/Table1[[#This Row],[Everyday price]]</f>
        <v>#DIV/0!</v>
      </c>
      <c r="AC126" s="69"/>
      <c r="AH126" s="6"/>
      <c r="AJ126" s="116" t="str">
        <f>IF(AND(ISNUMBER(Table1[[#This Row],[Lift  ]]),ISNUMBER(Table1[[#This Row],[Plan lift, %]]),Table1[[#This Row],[Plan lift, %]]&lt;&gt;0),Table1[[#This Row],[Lift  ]]-Table1[[#This Row],[Plan lift, %]],"")</f>
        <v/>
      </c>
      <c r="AK126" s="116"/>
    </row>
    <row r="127" spans="1:37" x14ac:dyDescent="0.35">
      <c r="A127" t="s">
        <v>440</v>
      </c>
      <c r="B127" s="12" t="s">
        <v>1703</v>
      </c>
      <c r="C127" s="21" t="s">
        <v>103</v>
      </c>
      <c r="D127" s="13" t="s">
        <v>1232</v>
      </c>
      <c r="F127" s="21" t="s">
        <v>441</v>
      </c>
      <c r="G127" t="s">
        <v>23</v>
      </c>
      <c r="H127" s="14">
        <v>46174</v>
      </c>
      <c r="I127" s="14">
        <v>46201</v>
      </c>
      <c r="J127" s="13" t="s">
        <v>151</v>
      </c>
      <c r="L127" s="2">
        <v>0</v>
      </c>
      <c r="M127" s="2">
        <v>0</v>
      </c>
      <c r="N127" s="2">
        <v>0</v>
      </c>
      <c r="O127" s="2">
        <v>0</v>
      </c>
      <c r="P127" s="3">
        <v>0</v>
      </c>
      <c r="Q127" s="3"/>
      <c r="R127" s="2">
        <v>0</v>
      </c>
      <c r="S127" s="3">
        <v>0</v>
      </c>
      <c r="T127" s="2">
        <v>0</v>
      </c>
      <c r="U127" s="13" t="s">
        <v>53</v>
      </c>
      <c r="V127" s="13" t="str">
        <f t="shared" si="12"/>
        <v>No</v>
      </c>
      <c r="W127" s="13" t="str">
        <f t="shared" si="12"/>
        <v>No</v>
      </c>
      <c r="X127" s="13" t="str">
        <f t="shared" si="12"/>
        <v>No</v>
      </c>
      <c r="Y127" s="13" t="str">
        <f t="shared" si="12"/>
        <v>Yes</v>
      </c>
      <c r="Z127" s="13" t="str">
        <f t="shared" si="12"/>
        <v>No</v>
      </c>
      <c r="AA127" s="71" t="e">
        <f>+(Table1[[#This Row],[Everyday price]]-Table1[[#This Row],[Promo Price]])/Table1[[#This Row],[Everyday price]]</f>
        <v>#DIV/0!</v>
      </c>
      <c r="AC127" s="69"/>
      <c r="AH127" s="6"/>
      <c r="AJ127" s="116" t="str">
        <f>IF(AND(ISNUMBER(Table1[[#This Row],[Lift  ]]),ISNUMBER(Table1[[#This Row],[Plan lift, %]]),Table1[[#This Row],[Plan lift, %]]&lt;&gt;0),Table1[[#This Row],[Lift  ]]-Table1[[#This Row],[Plan lift, %]],"")</f>
        <v/>
      </c>
      <c r="AK127" s="116"/>
    </row>
    <row r="128" spans="1:37" x14ac:dyDescent="0.35">
      <c r="A128" t="s">
        <v>440</v>
      </c>
      <c r="B128" s="12" t="s">
        <v>1704</v>
      </c>
      <c r="C128" s="21" t="s">
        <v>103</v>
      </c>
      <c r="D128" s="13" t="s">
        <v>1232</v>
      </c>
      <c r="F128" s="21" t="s">
        <v>441</v>
      </c>
      <c r="G128" t="s">
        <v>23</v>
      </c>
      <c r="H128" s="14">
        <v>46174</v>
      </c>
      <c r="I128" s="14">
        <v>46201</v>
      </c>
      <c r="J128" s="13" t="s">
        <v>29</v>
      </c>
      <c r="L128" s="2">
        <v>86.1</v>
      </c>
      <c r="M128" s="2">
        <v>1640</v>
      </c>
      <c r="N128" s="2">
        <v>82</v>
      </c>
      <c r="O128" s="2">
        <v>1722</v>
      </c>
      <c r="P128" s="3">
        <v>0.05</v>
      </c>
      <c r="Q128" s="3"/>
      <c r="R128" s="2">
        <v>137.9</v>
      </c>
      <c r="S128" s="3">
        <v>0.09</v>
      </c>
      <c r="T128" s="2">
        <v>1632</v>
      </c>
      <c r="U128" s="13" t="s">
        <v>53</v>
      </c>
      <c r="V128" s="13" t="str">
        <f t="shared" si="12"/>
        <v>No</v>
      </c>
      <c r="W128" s="13" t="str">
        <f t="shared" si="12"/>
        <v>No</v>
      </c>
      <c r="X128" s="13" t="str">
        <f t="shared" si="12"/>
        <v>No</v>
      </c>
      <c r="Y128" s="13" t="str">
        <f t="shared" si="12"/>
        <v>Yes</v>
      </c>
      <c r="Z128" s="13" t="str">
        <f t="shared" si="12"/>
        <v>No</v>
      </c>
      <c r="AA128" s="71" t="e">
        <f>+(Table1[[#This Row],[Everyday price]]-Table1[[#This Row],[Promo Price]])/Table1[[#This Row],[Everyday price]]</f>
        <v>#DIV/0!</v>
      </c>
      <c r="AC128" s="69"/>
      <c r="AH128" s="6"/>
      <c r="AJ128" s="116" t="str">
        <f>IF(AND(ISNUMBER(Table1[[#This Row],[Lift  ]]),ISNUMBER(Table1[[#This Row],[Plan lift, %]]),Table1[[#This Row],[Plan lift, %]]&lt;&gt;0),Table1[[#This Row],[Lift  ]]-Table1[[#This Row],[Plan lift, %]],"")</f>
        <v/>
      </c>
      <c r="AK128" s="116"/>
    </row>
    <row r="129" spans="1:39" x14ac:dyDescent="0.35">
      <c r="A129" t="s">
        <v>590</v>
      </c>
      <c r="B129" s="12">
        <v>1539</v>
      </c>
      <c r="C129" s="21" t="s">
        <v>103</v>
      </c>
      <c r="D129" s="13" t="s">
        <v>1232</v>
      </c>
      <c r="F129" s="21" t="s">
        <v>591</v>
      </c>
      <c r="G129" t="s">
        <v>23</v>
      </c>
      <c r="H129" s="14">
        <v>46202</v>
      </c>
      <c r="I129" s="14">
        <v>46229</v>
      </c>
      <c r="J129" s="13" t="s">
        <v>29</v>
      </c>
      <c r="L129" s="2">
        <v>0</v>
      </c>
      <c r="M129" s="2">
        <v>1640</v>
      </c>
      <c r="N129" s="2">
        <v>82</v>
      </c>
      <c r="O129" s="2">
        <v>1722</v>
      </c>
      <c r="P129" s="3">
        <v>0.05</v>
      </c>
      <c r="Q129" s="3"/>
      <c r="R129" s="2">
        <v>291.60000000000002</v>
      </c>
      <c r="S129" s="3">
        <v>0.47</v>
      </c>
      <c r="T129" s="2">
        <v>909</v>
      </c>
      <c r="U129" s="13" t="s">
        <v>53</v>
      </c>
      <c r="V129" s="13" t="str">
        <f t="shared" si="12"/>
        <v>No</v>
      </c>
      <c r="W129" s="13" t="str">
        <f t="shared" si="12"/>
        <v>No</v>
      </c>
      <c r="X129" s="13" t="str">
        <f t="shared" si="12"/>
        <v>No</v>
      </c>
      <c r="Y129" s="13" t="str">
        <f t="shared" si="12"/>
        <v>Yes</v>
      </c>
      <c r="Z129" s="13" t="str">
        <f t="shared" si="12"/>
        <v>No</v>
      </c>
      <c r="AA129" s="71" t="e">
        <f>+(Table1[[#This Row],[Everyday price]]-Table1[[#This Row],[Promo Price]])/Table1[[#This Row],[Everyday price]]</f>
        <v>#DIV/0!</v>
      </c>
      <c r="AC129" s="69"/>
      <c r="AH129" s="6"/>
      <c r="AJ129" s="116" t="str">
        <f>IF(AND(ISNUMBER(Table1[[#This Row],[Lift  ]]),ISNUMBER(Table1[[#This Row],[Plan lift, %]]),Table1[[#This Row],[Plan lift, %]]&lt;&gt;0),Table1[[#This Row],[Lift  ]]-Table1[[#This Row],[Plan lift, %]],"")</f>
        <v/>
      </c>
      <c r="AK129" s="116"/>
    </row>
    <row r="130" spans="1:39" x14ac:dyDescent="0.35">
      <c r="A130" t="s">
        <v>102</v>
      </c>
      <c r="B130" s="12" t="s">
        <v>1705</v>
      </c>
      <c r="C130" s="21" t="s">
        <v>103</v>
      </c>
      <c r="D130" s="13" t="s">
        <v>1232</v>
      </c>
      <c r="F130" s="21" t="s">
        <v>104</v>
      </c>
      <c r="G130" t="s">
        <v>60</v>
      </c>
      <c r="H130" s="14">
        <v>46230</v>
      </c>
      <c r="I130" s="14">
        <v>46257</v>
      </c>
      <c r="J130" s="13" t="s">
        <v>24</v>
      </c>
      <c r="L130" s="2">
        <v>6824.17</v>
      </c>
      <c r="M130" s="2">
        <v>10356.4</v>
      </c>
      <c r="N130" s="2">
        <v>7141.48</v>
      </c>
      <c r="O130" s="2">
        <v>17497.88</v>
      </c>
      <c r="P130" s="3"/>
      <c r="Q130" s="3"/>
      <c r="R130" s="2">
        <v>0</v>
      </c>
      <c r="S130" s="3">
        <v>0</v>
      </c>
      <c r="T130" s="2">
        <v>0</v>
      </c>
      <c r="U130" s="13" t="s">
        <v>25</v>
      </c>
      <c r="V130" s="13" t="str">
        <f t="shared" si="12"/>
        <v>No</v>
      </c>
      <c r="W130" s="13" t="str">
        <f t="shared" si="12"/>
        <v>Yes</v>
      </c>
      <c r="X130" s="13" t="str">
        <f t="shared" si="12"/>
        <v>No</v>
      </c>
      <c r="Y130" s="13" t="str">
        <f t="shared" si="12"/>
        <v>No</v>
      </c>
      <c r="Z130" s="13" t="str">
        <f t="shared" si="12"/>
        <v>No</v>
      </c>
      <c r="AA130" s="71" t="e">
        <f>+(Table1[[#This Row],[Everyday price]]-Table1[[#This Row],[Promo Price]])/Table1[[#This Row],[Everyday price]]</f>
        <v>#DIV/0!</v>
      </c>
      <c r="AC130" s="69"/>
      <c r="AH130" s="6"/>
      <c r="AJ130" s="116" t="str">
        <f>IF(AND(ISNUMBER(Table1[[#This Row],[Lift  ]]),ISNUMBER(Table1[[#This Row],[Plan lift, %]]),Table1[[#This Row],[Plan lift, %]]&lt;&gt;0),Table1[[#This Row],[Lift  ]]-Table1[[#This Row],[Plan lift, %]],"")</f>
        <v/>
      </c>
      <c r="AK130" s="116"/>
    </row>
    <row r="131" spans="1:39" x14ac:dyDescent="0.35">
      <c r="A131" t="s">
        <v>102</v>
      </c>
      <c r="B131" s="12" t="s">
        <v>1706</v>
      </c>
      <c r="C131" s="21" t="s">
        <v>103</v>
      </c>
      <c r="D131" s="13" t="s">
        <v>1232</v>
      </c>
      <c r="F131" s="21" t="s">
        <v>104</v>
      </c>
      <c r="G131" t="s">
        <v>60</v>
      </c>
      <c r="H131" s="14">
        <v>46230</v>
      </c>
      <c r="I131" s="14">
        <v>46257</v>
      </c>
      <c r="J131" s="13" t="s">
        <v>29</v>
      </c>
      <c r="L131" s="2">
        <v>1968</v>
      </c>
      <c r="M131" s="2">
        <v>1640</v>
      </c>
      <c r="N131" s="2">
        <v>328</v>
      </c>
      <c r="O131" s="2">
        <v>1968</v>
      </c>
      <c r="P131" s="3">
        <v>0.2</v>
      </c>
      <c r="Q131" s="3"/>
      <c r="R131" s="2">
        <v>0</v>
      </c>
      <c r="S131" s="3">
        <v>0</v>
      </c>
      <c r="T131" s="2">
        <v>0</v>
      </c>
      <c r="U131" s="13" t="s">
        <v>25</v>
      </c>
      <c r="V131" s="13" t="str">
        <f t="shared" si="12"/>
        <v>No</v>
      </c>
      <c r="W131" s="13" t="str">
        <f t="shared" si="12"/>
        <v>Yes</v>
      </c>
      <c r="X131" s="13" t="str">
        <f t="shared" si="12"/>
        <v>No</v>
      </c>
      <c r="Y131" s="13" t="str">
        <f t="shared" si="12"/>
        <v>No</v>
      </c>
      <c r="Z131" s="13" t="str">
        <f t="shared" si="12"/>
        <v>No</v>
      </c>
      <c r="AA131" s="71" t="e">
        <f>+(Table1[[#This Row],[Everyday price]]-Table1[[#This Row],[Promo Price]])/Table1[[#This Row],[Everyday price]]</f>
        <v>#DIV/0!</v>
      </c>
      <c r="AC131" s="69"/>
      <c r="AH131" s="6"/>
      <c r="AJ131" s="116" t="str">
        <f>IF(AND(ISNUMBER(Table1[[#This Row],[Lift  ]]),ISNUMBER(Table1[[#This Row],[Plan lift, %]]),Table1[[#This Row],[Plan lift, %]]&lt;&gt;0),Table1[[#This Row],[Lift  ]]-Table1[[#This Row],[Plan lift, %]],"")</f>
        <v/>
      </c>
      <c r="AK131" s="116"/>
    </row>
    <row r="132" spans="1:39" x14ac:dyDescent="0.35">
      <c r="A132" t="s">
        <v>126</v>
      </c>
      <c r="B132" s="12">
        <v>1541</v>
      </c>
      <c r="C132" s="21" t="s">
        <v>103</v>
      </c>
      <c r="D132" s="13" t="s">
        <v>1232</v>
      </c>
      <c r="F132" s="21" t="s">
        <v>127</v>
      </c>
      <c r="G132" t="s">
        <v>128</v>
      </c>
      <c r="H132" s="14">
        <v>46266</v>
      </c>
      <c r="I132" s="14">
        <v>46293</v>
      </c>
      <c r="J132" s="13" t="s">
        <v>29</v>
      </c>
      <c r="L132" s="2">
        <v>86.1</v>
      </c>
      <c r="M132" s="2">
        <v>1640</v>
      </c>
      <c r="N132" s="2">
        <v>82</v>
      </c>
      <c r="O132" s="2">
        <v>1722</v>
      </c>
      <c r="P132" s="3">
        <v>0.05</v>
      </c>
      <c r="Q132" s="3"/>
      <c r="R132" s="2">
        <v>0</v>
      </c>
      <c r="S132" s="3">
        <v>0</v>
      </c>
      <c r="T132" s="2">
        <v>0</v>
      </c>
      <c r="U132" s="13" t="s">
        <v>53</v>
      </c>
      <c r="V132" s="13" t="str">
        <f t="shared" ref="V132:Z141" si="13">IF(ISNUMBER(SEARCH(V$1,$U132)),"Yes","No")</f>
        <v>No</v>
      </c>
      <c r="W132" s="13" t="str">
        <f t="shared" si="13"/>
        <v>No</v>
      </c>
      <c r="X132" s="13" t="str">
        <f t="shared" si="13"/>
        <v>No</v>
      </c>
      <c r="Y132" s="13" t="str">
        <f t="shared" si="13"/>
        <v>Yes</v>
      </c>
      <c r="Z132" s="13" t="str">
        <f t="shared" si="13"/>
        <v>No</v>
      </c>
      <c r="AA132" s="71" t="e">
        <f>+(Table1[[#This Row],[Everyday price]]-Table1[[#This Row],[Promo Price]])/Table1[[#This Row],[Everyday price]]</f>
        <v>#DIV/0!</v>
      </c>
      <c r="AC132" s="69"/>
      <c r="AH132" s="6"/>
      <c r="AJ132" s="116" t="str">
        <f>IF(AND(ISNUMBER(Table1[[#This Row],[Lift  ]]),ISNUMBER(Table1[[#This Row],[Plan lift, %]]),Table1[[#This Row],[Plan lift, %]]&lt;&gt;0),Table1[[#This Row],[Lift  ]]-Table1[[#This Row],[Plan lift, %]],"")</f>
        <v/>
      </c>
      <c r="AK132" s="116"/>
    </row>
    <row r="133" spans="1:39" x14ac:dyDescent="0.35">
      <c r="A133" t="s">
        <v>849</v>
      </c>
      <c r="B133" s="12" t="s">
        <v>1707</v>
      </c>
      <c r="C133" s="21" t="s">
        <v>103</v>
      </c>
      <c r="D133" s="13" t="s">
        <v>1232</v>
      </c>
      <c r="F133" s="21" t="s">
        <v>850</v>
      </c>
      <c r="G133" t="s">
        <v>44</v>
      </c>
      <c r="H133" s="14">
        <v>46296</v>
      </c>
      <c r="I133" s="14">
        <v>46326</v>
      </c>
      <c r="J133" s="13" t="s">
        <v>24</v>
      </c>
      <c r="L133" s="2">
        <v>514.72</v>
      </c>
      <c r="M133" s="2">
        <v>20075.14</v>
      </c>
      <c r="N133" s="2">
        <v>513.52</v>
      </c>
      <c r="O133" s="2">
        <v>20588.66</v>
      </c>
      <c r="P133" s="3"/>
      <c r="Q133" s="3"/>
      <c r="R133" s="2">
        <v>0</v>
      </c>
      <c r="S133" s="3">
        <v>0</v>
      </c>
      <c r="T133" s="2">
        <v>0</v>
      </c>
      <c r="U133" s="13" t="s">
        <v>108</v>
      </c>
      <c r="V133" s="13" t="str">
        <f t="shared" si="13"/>
        <v>No</v>
      </c>
      <c r="W133" s="13" t="str">
        <f t="shared" si="13"/>
        <v>Yes</v>
      </c>
      <c r="X133" s="13" t="str">
        <f t="shared" si="13"/>
        <v>No</v>
      </c>
      <c r="Y133" s="13" t="str">
        <f t="shared" si="13"/>
        <v>Yes</v>
      </c>
      <c r="Z133" s="13" t="str">
        <f t="shared" si="13"/>
        <v>No</v>
      </c>
      <c r="AA133" s="71" t="e">
        <f>+(Table1[[#This Row],[Everyday price]]-Table1[[#This Row],[Promo Price]])/Table1[[#This Row],[Everyday price]]</f>
        <v>#DIV/0!</v>
      </c>
      <c r="AC133" s="69"/>
      <c r="AH133" s="6"/>
      <c r="AJ133" s="116" t="str">
        <f>IF(AND(ISNUMBER(Table1[[#This Row],[Lift  ]]),ISNUMBER(Table1[[#This Row],[Plan lift, %]]),Table1[[#This Row],[Plan lift, %]]&lt;&gt;0),Table1[[#This Row],[Lift  ]]-Table1[[#This Row],[Plan lift, %]],"")</f>
        <v/>
      </c>
      <c r="AK133" s="116"/>
    </row>
    <row r="134" spans="1:39" x14ac:dyDescent="0.35">
      <c r="A134" t="s">
        <v>849</v>
      </c>
      <c r="B134" s="12" t="s">
        <v>1708</v>
      </c>
      <c r="C134" s="21" t="s">
        <v>103</v>
      </c>
      <c r="D134" s="13" t="s">
        <v>1232</v>
      </c>
      <c r="F134" s="21" t="s">
        <v>850</v>
      </c>
      <c r="G134" t="s">
        <v>44</v>
      </c>
      <c r="H134" s="14">
        <v>46296</v>
      </c>
      <c r="I134" s="14">
        <v>46326</v>
      </c>
      <c r="J134" s="13" t="s">
        <v>29</v>
      </c>
      <c r="L134" s="2">
        <v>2287.8200000000002</v>
      </c>
      <c r="M134" s="2">
        <v>1815.72</v>
      </c>
      <c r="N134" s="2">
        <v>363.15</v>
      </c>
      <c r="O134" s="2">
        <v>2178.87</v>
      </c>
      <c r="P134" s="3">
        <v>0.2</v>
      </c>
      <c r="Q134" s="3"/>
      <c r="R134" s="2">
        <v>0</v>
      </c>
      <c r="S134" s="3">
        <v>0</v>
      </c>
      <c r="T134" s="2">
        <v>0</v>
      </c>
      <c r="U134" s="13" t="s">
        <v>108</v>
      </c>
      <c r="V134" s="13" t="str">
        <f t="shared" si="13"/>
        <v>No</v>
      </c>
      <c r="W134" s="13" t="str">
        <f t="shared" si="13"/>
        <v>Yes</v>
      </c>
      <c r="X134" s="13" t="str">
        <f t="shared" si="13"/>
        <v>No</v>
      </c>
      <c r="Y134" s="13" t="str">
        <f t="shared" si="13"/>
        <v>Yes</v>
      </c>
      <c r="Z134" s="13" t="str">
        <f t="shared" si="13"/>
        <v>No</v>
      </c>
      <c r="AA134" s="71" t="e">
        <f>+(Table1[[#This Row],[Everyday price]]-Table1[[#This Row],[Promo Price]])/Table1[[#This Row],[Everyday price]]</f>
        <v>#DIV/0!</v>
      </c>
      <c r="AC134" s="69"/>
      <c r="AH134" s="6"/>
      <c r="AJ134" s="116" t="str">
        <f>IF(AND(ISNUMBER(Table1[[#This Row],[Lift  ]]),ISNUMBER(Table1[[#This Row],[Plan lift, %]]),Table1[[#This Row],[Plan lift, %]]&lt;&gt;0),Table1[[#This Row],[Lift  ]]-Table1[[#This Row],[Plan lift, %]],"")</f>
        <v/>
      </c>
      <c r="AK134" s="116"/>
    </row>
    <row r="135" spans="1:39" x14ac:dyDescent="0.35">
      <c r="A135" t="s">
        <v>534</v>
      </c>
      <c r="B135" s="82">
        <v>936</v>
      </c>
      <c r="C135" s="21" t="s">
        <v>379</v>
      </c>
      <c r="D135" s="13" t="s">
        <v>1232</v>
      </c>
      <c r="E135" t="s">
        <v>380</v>
      </c>
      <c r="F135" s="21" t="s">
        <v>535</v>
      </c>
      <c r="G135" t="s">
        <v>23</v>
      </c>
      <c r="H135" s="14">
        <v>46023</v>
      </c>
      <c r="I135" s="14">
        <v>46053</v>
      </c>
      <c r="J135" s="13" t="s">
        <v>24</v>
      </c>
      <c r="L135" s="2">
        <v>17055.22</v>
      </c>
      <c r="M135" s="2">
        <v>17673.61</v>
      </c>
      <c r="N135" s="2">
        <v>8836.81</v>
      </c>
      <c r="O135" s="2">
        <v>26510.42</v>
      </c>
      <c r="P135" s="3">
        <v>0.5</v>
      </c>
      <c r="Q135" s="3"/>
      <c r="R135" s="2">
        <v>35423.230000000003</v>
      </c>
      <c r="S135" s="3">
        <v>2.58</v>
      </c>
      <c r="T135" s="2">
        <v>49152</v>
      </c>
      <c r="U135" s="13" t="s">
        <v>33</v>
      </c>
      <c r="V135" s="13" t="str">
        <f t="shared" si="13"/>
        <v>No</v>
      </c>
      <c r="W135" s="13" t="str">
        <f t="shared" si="13"/>
        <v>Yes</v>
      </c>
      <c r="X135" s="13" t="str">
        <f t="shared" si="13"/>
        <v>Yes</v>
      </c>
      <c r="Y135" s="13" t="str">
        <f t="shared" si="13"/>
        <v>No</v>
      </c>
      <c r="Z135" s="13" t="str">
        <f t="shared" si="13"/>
        <v>No</v>
      </c>
      <c r="AA135" s="71">
        <f>+(Table1[[#This Row],[Everyday price]]-Table1[[#This Row],[Promo Price]])/Table1[[#This Row],[Everyday price]]</f>
        <v>8.4967320261437981E-2</v>
      </c>
      <c r="AB135" s="69">
        <v>2.8</v>
      </c>
      <c r="AC135" s="69">
        <v>3.06</v>
      </c>
      <c r="AD135" s="40" t="s">
        <v>1229</v>
      </c>
      <c r="AE135" s="5">
        <v>46048</v>
      </c>
      <c r="AF135" s="5">
        <v>46061</v>
      </c>
      <c r="AG135" s="20">
        <v>5757</v>
      </c>
      <c r="AH135" s="6">
        <v>2654</v>
      </c>
      <c r="AI135" s="11">
        <f>Table1[[#This Row],[Incremental Units]]/Table1[[#This Row],[Base Units]]</f>
        <v>0.46100399513635576</v>
      </c>
      <c r="AJ135" s="11">
        <f>IF(AND(ISNUMBER(Table1[[#This Row],[Lift  ]]),ISNUMBER(Table1[[#This Row],[Plan lift, %]]),Table1[[#This Row],[Plan lift, %]]&lt;&gt;0),Table1[[#This Row],[Lift  ]]-Table1[[#This Row],[Plan lift, %]],"")</f>
        <v>-3.899600486364424E-2</v>
      </c>
      <c r="AK135" s="11"/>
      <c r="AL135" s="71" t="s">
        <v>1400</v>
      </c>
      <c r="AM135" s="4" t="s">
        <v>1273</v>
      </c>
    </row>
    <row r="136" spans="1:39" x14ac:dyDescent="0.35">
      <c r="A136" t="s">
        <v>570</v>
      </c>
      <c r="B136" s="82">
        <v>941</v>
      </c>
      <c r="C136" s="21" t="s">
        <v>379</v>
      </c>
      <c r="D136" s="13" t="s">
        <v>1232</v>
      </c>
      <c r="E136" t="s">
        <v>380</v>
      </c>
      <c r="F136" s="21" t="s">
        <v>571</v>
      </c>
      <c r="G136" t="s">
        <v>23</v>
      </c>
      <c r="H136" s="14">
        <v>46054</v>
      </c>
      <c r="I136" s="14">
        <v>46081</v>
      </c>
      <c r="J136" s="13" t="s">
        <v>29</v>
      </c>
      <c r="L136" s="2">
        <v>3306.64</v>
      </c>
      <c r="M136" s="2">
        <v>2361.89</v>
      </c>
      <c r="N136" s="2">
        <v>944.75</v>
      </c>
      <c r="O136" s="2">
        <v>3306.64</v>
      </c>
      <c r="P136" s="3">
        <v>0.4</v>
      </c>
      <c r="Q136" s="3"/>
      <c r="R136" s="2">
        <v>-659.21</v>
      </c>
      <c r="S136" s="3">
        <v>-0.36</v>
      </c>
      <c r="T136" s="2">
        <v>1164</v>
      </c>
      <c r="U136" s="13" t="s">
        <v>25</v>
      </c>
      <c r="V136" s="13" t="str">
        <f t="shared" si="13"/>
        <v>No</v>
      </c>
      <c r="W136" s="13" t="str">
        <f t="shared" si="13"/>
        <v>Yes</v>
      </c>
      <c r="X136" s="13" t="str">
        <f t="shared" si="13"/>
        <v>No</v>
      </c>
      <c r="Y136" s="13" t="str">
        <f t="shared" si="13"/>
        <v>No</v>
      </c>
      <c r="Z136" s="13" t="str">
        <f t="shared" si="13"/>
        <v>No</v>
      </c>
      <c r="AA136" s="71">
        <f>+(Table1[[#This Row],[Everyday price]]-Table1[[#This Row],[Promo Price]])/Table1[[#This Row],[Everyday price]]</f>
        <v>4.5454545454545456E-2</v>
      </c>
      <c r="AB136" s="69">
        <v>10.5</v>
      </c>
      <c r="AC136" s="69">
        <v>11</v>
      </c>
      <c r="AD136" s="40" t="s">
        <v>1229</v>
      </c>
      <c r="AE136" s="5">
        <v>46076</v>
      </c>
      <c r="AF136" s="5">
        <v>46089</v>
      </c>
      <c r="AG136" s="20">
        <v>628</v>
      </c>
      <c r="AH136" s="6">
        <v>148</v>
      </c>
      <c r="AI136" s="11">
        <f>Table1[[#This Row],[Incremental Units]]/Table1[[#This Row],[Base Units]]</f>
        <v>0.2356687898089172</v>
      </c>
      <c r="AJ136" s="11">
        <f>IF(AND(ISNUMBER(Table1[[#This Row],[Lift  ]]),ISNUMBER(Table1[[#This Row],[Plan lift, %]]),Table1[[#This Row],[Plan lift, %]]&lt;&gt;0),Table1[[#This Row],[Lift  ]]-Table1[[#This Row],[Plan lift, %]],"")</f>
        <v>-0.16433121019108282</v>
      </c>
      <c r="AK136" s="11"/>
      <c r="AL136" s="71" t="s">
        <v>1400</v>
      </c>
      <c r="AM136" s="4" t="s">
        <v>1277</v>
      </c>
    </row>
    <row r="137" spans="1:39" x14ac:dyDescent="0.35">
      <c r="A137" t="s">
        <v>1065</v>
      </c>
      <c r="B137" s="82">
        <v>937</v>
      </c>
      <c r="C137" s="21" t="s">
        <v>379</v>
      </c>
      <c r="D137" s="13" t="s">
        <v>1232</v>
      </c>
      <c r="E137" t="s">
        <v>380</v>
      </c>
      <c r="F137" s="21" t="s">
        <v>1066</v>
      </c>
      <c r="G137" t="s">
        <v>23</v>
      </c>
      <c r="H137" s="14">
        <v>46113</v>
      </c>
      <c r="I137" s="14">
        <v>46142</v>
      </c>
      <c r="J137" s="13" t="s">
        <v>24</v>
      </c>
      <c r="L137" s="2">
        <v>10845.49</v>
      </c>
      <c r="M137" s="2">
        <v>22434.43</v>
      </c>
      <c r="N137" s="2">
        <v>11217.22</v>
      </c>
      <c r="O137" s="2">
        <v>33651.65</v>
      </c>
      <c r="P137" s="3">
        <v>0.5</v>
      </c>
      <c r="Q137" s="3"/>
      <c r="R137" s="2">
        <v>6530.22</v>
      </c>
      <c r="S137" s="3">
        <v>0.38</v>
      </c>
      <c r="T137" s="2">
        <v>23760</v>
      </c>
      <c r="U137" s="13" t="s">
        <v>33</v>
      </c>
      <c r="V137" s="13" t="str">
        <f t="shared" si="13"/>
        <v>No</v>
      </c>
      <c r="W137" s="13" t="str">
        <f t="shared" si="13"/>
        <v>Yes</v>
      </c>
      <c r="X137" s="13" t="str">
        <f t="shared" si="13"/>
        <v>Yes</v>
      </c>
      <c r="Y137" s="13" t="str">
        <f t="shared" si="13"/>
        <v>No</v>
      </c>
      <c r="Z137" s="13" t="str">
        <f t="shared" si="13"/>
        <v>No</v>
      </c>
      <c r="AA137" s="71">
        <f>+(Table1[[#This Row],[Everyday price]]-Table1[[#This Row],[Promo Price]])/Table1[[#This Row],[Everyday price]]</f>
        <v>8.0000000000000071E-2</v>
      </c>
      <c r="AB137" s="69">
        <v>2.76</v>
      </c>
      <c r="AC137" s="69">
        <v>3</v>
      </c>
      <c r="AD137" s="40" t="s">
        <v>1229</v>
      </c>
      <c r="AE137" s="5">
        <v>46104</v>
      </c>
      <c r="AF137" s="5">
        <v>46124</v>
      </c>
      <c r="AG137" s="20">
        <v>9412</v>
      </c>
      <c r="AH137" s="6">
        <v>2013</v>
      </c>
      <c r="AI137" s="11">
        <f>Table1[[#This Row],[Incremental Units]]/Table1[[#This Row],[Base Units]]</f>
        <v>0.21387590310242244</v>
      </c>
      <c r="AJ137" s="11">
        <f>IF(AND(ISNUMBER(Table1[[#This Row],[Lift  ]]),ISNUMBER(Table1[[#This Row],[Plan lift, %]]),Table1[[#This Row],[Plan lift, %]]&lt;&gt;0),Table1[[#This Row],[Lift  ]]-Table1[[#This Row],[Plan lift, %]],"")</f>
        <v>-0.28612409689757756</v>
      </c>
      <c r="AK137" s="11"/>
      <c r="AL137" s="71" t="s">
        <v>1400</v>
      </c>
      <c r="AM137" s="4" t="s">
        <v>1274</v>
      </c>
    </row>
    <row r="138" spans="1:39" x14ac:dyDescent="0.35">
      <c r="A138" t="s">
        <v>378</v>
      </c>
      <c r="B138" s="82">
        <v>942</v>
      </c>
      <c r="C138" s="21" t="s">
        <v>379</v>
      </c>
      <c r="D138" s="13" t="s">
        <v>1232</v>
      </c>
      <c r="E138" t="s">
        <v>380</v>
      </c>
      <c r="F138" s="21" t="s">
        <v>381</v>
      </c>
      <c r="G138" t="s">
        <v>23</v>
      </c>
      <c r="H138" s="14">
        <v>46143</v>
      </c>
      <c r="I138" s="14">
        <v>46173</v>
      </c>
      <c r="J138" s="13" t="s">
        <v>29</v>
      </c>
      <c r="L138" s="2">
        <v>4025.19</v>
      </c>
      <c r="M138" s="2">
        <v>2875.14</v>
      </c>
      <c r="N138" s="2">
        <v>1150.05</v>
      </c>
      <c r="O138" s="2">
        <v>4025.19</v>
      </c>
      <c r="P138" s="3">
        <v>0.4</v>
      </c>
      <c r="Q138" s="3"/>
      <c r="R138" s="2">
        <v>-222.76</v>
      </c>
      <c r="S138" s="3">
        <v>-0.22</v>
      </c>
      <c r="T138" s="2">
        <v>768</v>
      </c>
      <c r="U138" s="13" t="s">
        <v>25</v>
      </c>
      <c r="V138" s="13" t="str">
        <f t="shared" si="13"/>
        <v>No</v>
      </c>
      <c r="W138" s="13" t="str">
        <f t="shared" si="13"/>
        <v>Yes</v>
      </c>
      <c r="X138" s="13" t="str">
        <f t="shared" si="13"/>
        <v>No</v>
      </c>
      <c r="Y138" s="13" t="str">
        <f t="shared" si="13"/>
        <v>No</v>
      </c>
      <c r="Z138" s="13" t="str">
        <f t="shared" si="13"/>
        <v>No</v>
      </c>
      <c r="AA138" s="71">
        <f>+(Table1[[#This Row],[Everyday price]]-Table1[[#This Row],[Promo Price]])/Table1[[#This Row],[Everyday price]]</f>
        <v>2.9795158286778426E-2</v>
      </c>
      <c r="AB138" s="69">
        <v>10.42</v>
      </c>
      <c r="AC138" s="69">
        <v>10.74</v>
      </c>
      <c r="AD138" s="40" t="s">
        <v>1229</v>
      </c>
      <c r="AE138" s="5">
        <v>46132</v>
      </c>
      <c r="AF138" s="5">
        <v>46152</v>
      </c>
      <c r="AG138" s="20">
        <v>910</v>
      </c>
      <c r="AH138" s="6">
        <v>160</v>
      </c>
      <c r="AI138" s="11">
        <f>Table1[[#This Row],[Incremental Units]]/Table1[[#This Row],[Base Units]]</f>
        <v>0.17582417582417584</v>
      </c>
      <c r="AJ138" s="11">
        <f>IF(AND(ISNUMBER(Table1[[#This Row],[Lift  ]]),ISNUMBER(Table1[[#This Row],[Plan lift, %]]),Table1[[#This Row],[Plan lift, %]]&lt;&gt;0),Table1[[#This Row],[Lift  ]]-Table1[[#This Row],[Plan lift, %]],"")</f>
        <v>-0.22417582417582418</v>
      </c>
      <c r="AK138" s="11"/>
      <c r="AL138" s="71" t="s">
        <v>1400</v>
      </c>
      <c r="AM138" s="4" t="s">
        <v>1278</v>
      </c>
    </row>
    <row r="139" spans="1:39" x14ac:dyDescent="0.35">
      <c r="A139" t="s">
        <v>1148</v>
      </c>
      <c r="B139" s="12">
        <v>938</v>
      </c>
      <c r="C139" s="21" t="s">
        <v>379</v>
      </c>
      <c r="D139" s="13" t="s">
        <v>1232</v>
      </c>
      <c r="E139" t="s">
        <v>380</v>
      </c>
      <c r="F139" s="21" t="s">
        <v>1149</v>
      </c>
      <c r="G139" t="s">
        <v>23</v>
      </c>
      <c r="H139" s="14">
        <v>46204</v>
      </c>
      <c r="I139" s="14">
        <v>46234</v>
      </c>
      <c r="J139" s="13" t="s">
        <v>24</v>
      </c>
      <c r="L139" s="2">
        <v>10514.08</v>
      </c>
      <c r="M139" s="2">
        <v>25036.1</v>
      </c>
      <c r="N139" s="2">
        <v>7510.83</v>
      </c>
      <c r="O139" s="2">
        <v>32546.93</v>
      </c>
      <c r="P139" s="3">
        <v>0.3</v>
      </c>
      <c r="Q139" s="3"/>
      <c r="R139" s="2">
        <v>54378.22</v>
      </c>
      <c r="S139" s="3">
        <v>9.59</v>
      </c>
      <c r="T139" s="2">
        <v>60048</v>
      </c>
      <c r="U139" s="13" t="s">
        <v>33</v>
      </c>
      <c r="V139" s="13" t="str">
        <f t="shared" si="13"/>
        <v>No</v>
      </c>
      <c r="W139" s="13" t="str">
        <f t="shared" si="13"/>
        <v>Yes</v>
      </c>
      <c r="X139" s="13" t="str">
        <f t="shared" si="13"/>
        <v>Yes</v>
      </c>
      <c r="Y139" s="13" t="str">
        <f t="shared" si="13"/>
        <v>No</v>
      </c>
      <c r="Z139" s="13" t="str">
        <f t="shared" si="13"/>
        <v>No</v>
      </c>
      <c r="AA139" s="71" t="e">
        <f>+(Table1[[#This Row],[Everyday price]]-Table1[[#This Row],[Promo Price]])/Table1[[#This Row],[Everyday price]]</f>
        <v>#DIV/0!</v>
      </c>
      <c r="AC139" s="69"/>
      <c r="AH139" s="6"/>
      <c r="AJ139" s="116" t="str">
        <f>IF(AND(ISNUMBER(Table1[[#This Row],[Lift  ]]),ISNUMBER(Table1[[#This Row],[Plan lift, %]]),Table1[[#This Row],[Plan lift, %]]&lt;&gt;0),Table1[[#This Row],[Lift  ]]-Table1[[#This Row],[Plan lift, %]],"")</f>
        <v/>
      </c>
      <c r="AK139" s="116"/>
    </row>
    <row r="140" spans="1:39" x14ac:dyDescent="0.35">
      <c r="A140" t="s">
        <v>900</v>
      </c>
      <c r="B140" s="12">
        <v>943</v>
      </c>
      <c r="C140" s="21" t="s">
        <v>379</v>
      </c>
      <c r="D140" s="13" t="s">
        <v>1232</v>
      </c>
      <c r="E140" t="s">
        <v>380</v>
      </c>
      <c r="F140" s="21" t="s">
        <v>901</v>
      </c>
      <c r="G140" t="s">
        <v>60</v>
      </c>
      <c r="H140" s="14">
        <v>46235</v>
      </c>
      <c r="I140" s="14">
        <v>46265</v>
      </c>
      <c r="J140" s="13" t="s">
        <v>29</v>
      </c>
      <c r="L140" s="2">
        <v>4008.4</v>
      </c>
      <c r="M140" s="2">
        <v>2863.14</v>
      </c>
      <c r="N140" s="2">
        <v>1145.26</v>
      </c>
      <c r="O140" s="2">
        <v>4008.4</v>
      </c>
      <c r="P140" s="3">
        <v>0.4</v>
      </c>
      <c r="Q140" s="3"/>
      <c r="R140" s="2">
        <v>0</v>
      </c>
      <c r="S140" s="3">
        <v>0</v>
      </c>
      <c r="T140" s="2">
        <v>0</v>
      </c>
      <c r="U140" s="13" t="s">
        <v>25</v>
      </c>
      <c r="V140" s="13" t="str">
        <f t="shared" si="13"/>
        <v>No</v>
      </c>
      <c r="W140" s="13" t="str">
        <f t="shared" si="13"/>
        <v>Yes</v>
      </c>
      <c r="X140" s="13" t="str">
        <f t="shared" si="13"/>
        <v>No</v>
      </c>
      <c r="Y140" s="13" t="str">
        <f t="shared" si="13"/>
        <v>No</v>
      </c>
      <c r="Z140" s="13" t="str">
        <f t="shared" si="13"/>
        <v>No</v>
      </c>
      <c r="AA140" s="71" t="e">
        <f>+(Table1[[#This Row],[Everyday price]]-Table1[[#This Row],[Promo Price]])/Table1[[#This Row],[Everyday price]]</f>
        <v>#DIV/0!</v>
      </c>
      <c r="AC140" s="69"/>
      <c r="AH140" s="6"/>
      <c r="AJ140" s="116" t="str">
        <f>IF(AND(ISNUMBER(Table1[[#This Row],[Lift  ]]),ISNUMBER(Table1[[#This Row],[Plan lift, %]]),Table1[[#This Row],[Plan lift, %]]&lt;&gt;0),Table1[[#This Row],[Lift  ]]-Table1[[#This Row],[Plan lift, %]],"")</f>
        <v/>
      </c>
      <c r="AK140" s="116"/>
    </row>
    <row r="141" spans="1:39" x14ac:dyDescent="0.35">
      <c r="A141" t="s">
        <v>1196</v>
      </c>
      <c r="B141" s="12">
        <v>939</v>
      </c>
      <c r="C141" s="21" t="s">
        <v>379</v>
      </c>
      <c r="D141" s="13" t="s">
        <v>1232</v>
      </c>
      <c r="E141" t="s">
        <v>380</v>
      </c>
      <c r="F141" s="21" t="s">
        <v>1197</v>
      </c>
      <c r="G141" t="s">
        <v>44</v>
      </c>
      <c r="H141" s="14">
        <v>46266</v>
      </c>
      <c r="I141" s="14">
        <v>46295</v>
      </c>
      <c r="J141" s="13" t="s">
        <v>24</v>
      </c>
      <c r="L141" s="2">
        <v>8341.93</v>
      </c>
      <c r="M141" s="2">
        <v>19466.490000000002</v>
      </c>
      <c r="N141" s="2">
        <v>5839.95</v>
      </c>
      <c r="O141" s="2">
        <v>25306.44</v>
      </c>
      <c r="P141" s="3">
        <v>0.3</v>
      </c>
      <c r="Q141" s="3"/>
      <c r="R141" s="2">
        <v>0</v>
      </c>
      <c r="S141" s="3">
        <v>0</v>
      </c>
      <c r="T141" s="2">
        <v>0</v>
      </c>
      <c r="U141" s="13" t="s">
        <v>33</v>
      </c>
      <c r="V141" s="13" t="str">
        <f t="shared" si="13"/>
        <v>No</v>
      </c>
      <c r="W141" s="13" t="str">
        <f t="shared" si="13"/>
        <v>Yes</v>
      </c>
      <c r="X141" s="13" t="str">
        <f t="shared" si="13"/>
        <v>Yes</v>
      </c>
      <c r="Y141" s="13" t="str">
        <f t="shared" si="13"/>
        <v>No</v>
      </c>
      <c r="Z141" s="13" t="str">
        <f t="shared" si="13"/>
        <v>No</v>
      </c>
      <c r="AA141" s="71" t="e">
        <f>+(Table1[[#This Row],[Everyday price]]-Table1[[#This Row],[Promo Price]])/Table1[[#This Row],[Everyday price]]</f>
        <v>#DIV/0!</v>
      </c>
      <c r="AC141" s="69"/>
      <c r="AH141" s="6"/>
      <c r="AJ141" s="116" t="str">
        <f>IF(AND(ISNUMBER(Table1[[#This Row],[Lift  ]]),ISNUMBER(Table1[[#This Row],[Plan lift, %]]),Table1[[#This Row],[Plan lift, %]]&lt;&gt;0),Table1[[#This Row],[Lift  ]]-Table1[[#This Row],[Plan lift, %]],"")</f>
        <v/>
      </c>
      <c r="AK141" s="116"/>
    </row>
    <row r="142" spans="1:39" x14ac:dyDescent="0.35">
      <c r="A142" t="s">
        <v>1168</v>
      </c>
      <c r="B142" s="12">
        <v>944</v>
      </c>
      <c r="C142" s="21" t="s">
        <v>379</v>
      </c>
      <c r="D142" s="13" t="s">
        <v>1232</v>
      </c>
      <c r="E142" t="s">
        <v>380</v>
      </c>
      <c r="F142" s="21" t="s">
        <v>1169</v>
      </c>
      <c r="G142" t="s">
        <v>44</v>
      </c>
      <c r="H142" s="14">
        <v>46296</v>
      </c>
      <c r="I142" s="14">
        <v>46326</v>
      </c>
      <c r="J142" s="13" t="s">
        <v>29</v>
      </c>
      <c r="L142" s="2">
        <v>3920.15</v>
      </c>
      <c r="M142" s="2">
        <v>2800.11</v>
      </c>
      <c r="N142" s="2">
        <v>1120.04</v>
      </c>
      <c r="O142" s="2">
        <v>3920.15</v>
      </c>
      <c r="P142" s="3">
        <v>0.4</v>
      </c>
      <c r="Q142" s="3"/>
      <c r="R142" s="2">
        <v>0</v>
      </c>
      <c r="S142" s="3">
        <v>0</v>
      </c>
      <c r="T142" s="2">
        <v>0</v>
      </c>
      <c r="U142" s="13" t="s">
        <v>25</v>
      </c>
      <c r="V142" s="13" t="str">
        <f t="shared" ref="V142:Z151" si="14">IF(ISNUMBER(SEARCH(V$1,$U142)),"Yes","No")</f>
        <v>No</v>
      </c>
      <c r="W142" s="13" t="str">
        <f t="shared" si="14"/>
        <v>Yes</v>
      </c>
      <c r="X142" s="13" t="str">
        <f t="shared" si="14"/>
        <v>No</v>
      </c>
      <c r="Y142" s="13" t="str">
        <f t="shared" si="14"/>
        <v>No</v>
      </c>
      <c r="Z142" s="13" t="str">
        <f t="shared" si="14"/>
        <v>No</v>
      </c>
      <c r="AA142" s="71" t="e">
        <f>+(Table1[[#This Row],[Everyday price]]-Table1[[#This Row],[Promo Price]])/Table1[[#This Row],[Everyday price]]</f>
        <v>#DIV/0!</v>
      </c>
      <c r="AC142" s="69"/>
      <c r="AH142" s="6"/>
      <c r="AJ142" s="116" t="str">
        <f>IF(AND(ISNUMBER(Table1[[#This Row],[Lift  ]]),ISNUMBER(Table1[[#This Row],[Plan lift, %]]),Table1[[#This Row],[Plan lift, %]]&lt;&gt;0),Table1[[#This Row],[Lift  ]]-Table1[[#This Row],[Plan lift, %]],"")</f>
        <v/>
      </c>
      <c r="AK142" s="116"/>
    </row>
    <row r="143" spans="1:39" x14ac:dyDescent="0.35">
      <c r="A143" t="s">
        <v>607</v>
      </c>
      <c r="B143" s="12">
        <v>940</v>
      </c>
      <c r="C143" s="21" t="s">
        <v>379</v>
      </c>
      <c r="D143" s="13" t="s">
        <v>1232</v>
      </c>
      <c r="E143" t="s">
        <v>380</v>
      </c>
      <c r="F143" s="21" t="s">
        <v>608</v>
      </c>
      <c r="G143" t="s">
        <v>44</v>
      </c>
      <c r="H143" s="14">
        <v>46357</v>
      </c>
      <c r="I143" s="14">
        <v>46387</v>
      </c>
      <c r="J143" s="13" t="s">
        <v>24</v>
      </c>
      <c r="L143" s="2">
        <v>8856.4500000000007</v>
      </c>
      <c r="M143" s="2">
        <v>20785.82</v>
      </c>
      <c r="N143" s="2">
        <v>6235.72</v>
      </c>
      <c r="O143" s="2">
        <v>27021.54</v>
      </c>
      <c r="P143" s="3">
        <v>0.3</v>
      </c>
      <c r="Q143" s="3"/>
      <c r="R143" s="2">
        <v>0</v>
      </c>
      <c r="S143" s="3">
        <v>0</v>
      </c>
      <c r="T143" s="2">
        <v>0</v>
      </c>
      <c r="U143" s="13" t="s">
        <v>33</v>
      </c>
      <c r="V143" s="13" t="str">
        <f t="shared" si="14"/>
        <v>No</v>
      </c>
      <c r="W143" s="13" t="str">
        <f t="shared" si="14"/>
        <v>Yes</v>
      </c>
      <c r="X143" s="13" t="str">
        <f t="shared" si="14"/>
        <v>Yes</v>
      </c>
      <c r="Y143" s="13" t="str">
        <f t="shared" si="14"/>
        <v>No</v>
      </c>
      <c r="Z143" s="13" t="str">
        <f t="shared" si="14"/>
        <v>No</v>
      </c>
      <c r="AA143" s="71" t="e">
        <f>+(Table1[[#This Row],[Everyday price]]-Table1[[#This Row],[Promo Price]])/Table1[[#This Row],[Everyday price]]</f>
        <v>#DIV/0!</v>
      </c>
      <c r="AC143" s="69"/>
      <c r="AH143" s="6"/>
      <c r="AJ143" s="116" t="str">
        <f>IF(AND(ISNUMBER(Table1[[#This Row],[Lift  ]]),ISNUMBER(Table1[[#This Row],[Plan lift, %]]),Table1[[#This Row],[Plan lift, %]]&lt;&gt;0),Table1[[#This Row],[Lift  ]]-Table1[[#This Row],[Plan lift, %]],"")</f>
        <v/>
      </c>
      <c r="AK143" s="116"/>
    </row>
    <row r="144" spans="1:39" x14ac:dyDescent="0.35">
      <c r="A144" t="s">
        <v>188</v>
      </c>
      <c r="B144" s="12">
        <v>1161</v>
      </c>
      <c r="C144" s="21" t="s">
        <v>189</v>
      </c>
      <c r="D144" s="13" t="s">
        <v>1233</v>
      </c>
      <c r="F144" s="21" t="s">
        <v>190</v>
      </c>
      <c r="G144" t="s">
        <v>60</v>
      </c>
      <c r="H144" s="14">
        <v>46235</v>
      </c>
      <c r="I144" s="14">
        <v>46295</v>
      </c>
      <c r="J144" s="13" t="s">
        <v>24</v>
      </c>
      <c r="L144" s="2">
        <v>2430.1999999999998</v>
      </c>
      <c r="M144" s="2">
        <v>8452.85</v>
      </c>
      <c r="N144" s="2">
        <v>1267.95</v>
      </c>
      <c r="O144" s="2">
        <v>9720.7999999999993</v>
      </c>
      <c r="P144" s="3">
        <v>0.15</v>
      </c>
      <c r="Q144" s="3"/>
      <c r="R144" s="2">
        <v>0</v>
      </c>
      <c r="S144" s="3">
        <v>0</v>
      </c>
      <c r="T144" s="2">
        <v>0</v>
      </c>
      <c r="U144" s="13" t="s">
        <v>25</v>
      </c>
      <c r="V144" s="13" t="str">
        <f t="shared" si="14"/>
        <v>No</v>
      </c>
      <c r="W144" s="13" t="str">
        <f t="shared" si="14"/>
        <v>Yes</v>
      </c>
      <c r="X144" s="13" t="str">
        <f t="shared" si="14"/>
        <v>No</v>
      </c>
      <c r="Y144" s="13" t="str">
        <f t="shared" si="14"/>
        <v>No</v>
      </c>
      <c r="Z144" s="13" t="str">
        <f t="shared" si="14"/>
        <v>No</v>
      </c>
      <c r="AA144" s="71" t="e">
        <f>+(Table1[[#This Row],[Everyday price]]-Table1[[#This Row],[Promo Price]])/Table1[[#This Row],[Everyday price]]</f>
        <v>#DIV/0!</v>
      </c>
      <c r="AC144" s="69"/>
      <c r="AH144" s="6"/>
      <c r="AJ144" s="116" t="str">
        <f>IF(AND(ISNUMBER(Table1[[#This Row],[Lift  ]]),ISNUMBER(Table1[[#This Row],[Plan lift, %]]),Table1[[#This Row],[Plan lift, %]]&lt;&gt;0),Table1[[#This Row],[Lift  ]]-Table1[[#This Row],[Plan lift, %]],"")</f>
        <v/>
      </c>
      <c r="AK144" s="116"/>
      <c r="AM144" t="s">
        <v>1264</v>
      </c>
    </row>
    <row r="145" spans="1:39" x14ac:dyDescent="0.35">
      <c r="A145" t="s">
        <v>1054</v>
      </c>
      <c r="B145" s="82">
        <v>1218</v>
      </c>
      <c r="C145" s="21" t="s">
        <v>118</v>
      </c>
      <c r="D145" s="13" t="s">
        <v>1232</v>
      </c>
      <c r="F145" s="21" t="s">
        <v>1055</v>
      </c>
      <c r="G145" t="s">
        <v>23</v>
      </c>
      <c r="H145" s="14">
        <v>46020</v>
      </c>
      <c r="I145" s="14">
        <v>46047</v>
      </c>
      <c r="J145" s="13" t="s">
        <v>24</v>
      </c>
      <c r="L145" s="2">
        <v>3416.53</v>
      </c>
      <c r="M145" s="2">
        <v>15817.31</v>
      </c>
      <c r="N145" s="2">
        <v>3163.47</v>
      </c>
      <c r="O145" s="2">
        <v>18980.78</v>
      </c>
      <c r="P145" s="3">
        <v>0.2</v>
      </c>
      <c r="Q145" s="3"/>
      <c r="R145" s="2">
        <v>12980.17</v>
      </c>
      <c r="S145" s="3">
        <v>0.76</v>
      </c>
      <c r="T145" s="2">
        <v>30063.37</v>
      </c>
      <c r="U145" s="13" t="s">
        <v>25</v>
      </c>
      <c r="V145" s="13" t="str">
        <f t="shared" si="14"/>
        <v>No</v>
      </c>
      <c r="W145" s="13" t="str">
        <f t="shared" si="14"/>
        <v>Yes</v>
      </c>
      <c r="X145" s="13" t="str">
        <f t="shared" si="14"/>
        <v>No</v>
      </c>
      <c r="Y145" s="13" t="str">
        <f t="shared" si="14"/>
        <v>No</v>
      </c>
      <c r="Z145" s="13" t="str">
        <f t="shared" si="14"/>
        <v>No</v>
      </c>
      <c r="AA145" s="71">
        <f>+(Table1[[#This Row],[Everyday price]]-Table1[[#This Row],[Promo Price]])/Table1[[#This Row],[Everyday price]]</f>
        <v>0.14545454545454542</v>
      </c>
      <c r="AB145" s="69">
        <v>2.35</v>
      </c>
      <c r="AC145" s="69">
        <v>2.75</v>
      </c>
      <c r="AD145" s="41" t="s">
        <v>1251</v>
      </c>
      <c r="AE145" s="5">
        <v>46020</v>
      </c>
      <c r="AF145" s="5">
        <v>46047</v>
      </c>
      <c r="AG145" s="20">
        <v>21704</v>
      </c>
      <c r="AH145" s="6">
        <v>15353</v>
      </c>
      <c r="AI145" s="11">
        <f>Table1[[#This Row],[Incremental Units]]/Table1[[#This Row],[Base Units]]</f>
        <v>0.7073811279026907</v>
      </c>
      <c r="AJ145" s="11">
        <f>IF(AND(ISNUMBER(Table1[[#This Row],[Lift  ]]),ISNUMBER(Table1[[#This Row],[Plan lift, %]]),Table1[[#This Row],[Plan lift, %]]&lt;&gt;0),Table1[[#This Row],[Lift  ]]-Table1[[#This Row],[Plan lift, %]],"")</f>
        <v>0.50738112790269074</v>
      </c>
      <c r="AK145" s="11"/>
      <c r="AL145" s="71" t="s">
        <v>1400</v>
      </c>
    </row>
    <row r="146" spans="1:39" x14ac:dyDescent="0.35">
      <c r="A146" t="s">
        <v>771</v>
      </c>
      <c r="B146" s="82">
        <v>1219</v>
      </c>
      <c r="C146" s="21" t="s">
        <v>118</v>
      </c>
      <c r="D146" s="13" t="s">
        <v>1232</v>
      </c>
      <c r="F146" s="21" t="s">
        <v>772</v>
      </c>
      <c r="G146" t="s">
        <v>23</v>
      </c>
      <c r="H146" s="14">
        <v>46076</v>
      </c>
      <c r="I146" s="14">
        <v>46103</v>
      </c>
      <c r="J146" s="13" t="s">
        <v>24</v>
      </c>
      <c r="L146" s="2">
        <v>3131.3</v>
      </c>
      <c r="M146" s="2">
        <v>14496.79</v>
      </c>
      <c r="N146" s="2">
        <v>2899.36</v>
      </c>
      <c r="O146" s="2">
        <v>17396.150000000001</v>
      </c>
      <c r="P146" s="3">
        <v>0.2</v>
      </c>
      <c r="Q146" s="3"/>
      <c r="R146" s="2">
        <v>10473.9</v>
      </c>
      <c r="S146" s="3">
        <v>0.47</v>
      </c>
      <c r="T146" s="2">
        <v>32896</v>
      </c>
      <c r="U146" s="13" t="s">
        <v>25</v>
      </c>
      <c r="V146" s="13" t="str">
        <f t="shared" si="14"/>
        <v>No</v>
      </c>
      <c r="W146" s="13" t="str">
        <f t="shared" si="14"/>
        <v>Yes</v>
      </c>
      <c r="X146" s="13" t="str">
        <f t="shared" si="14"/>
        <v>No</v>
      </c>
      <c r="Y146" s="13" t="str">
        <f t="shared" si="14"/>
        <v>No</v>
      </c>
      <c r="Z146" s="13" t="str">
        <f t="shared" si="14"/>
        <v>No</v>
      </c>
      <c r="AA146" s="71">
        <f>+(Table1[[#This Row],[Everyday price]]-Table1[[#This Row],[Promo Price]])/Table1[[#This Row],[Everyday price]]</f>
        <v>0.1938775510204081</v>
      </c>
      <c r="AB146" s="69">
        <v>2.37</v>
      </c>
      <c r="AC146" s="69">
        <v>2.94</v>
      </c>
      <c r="AD146" s="41" t="s">
        <v>1251</v>
      </c>
      <c r="AE146" s="5">
        <v>46083</v>
      </c>
      <c r="AF146" s="5">
        <v>46110</v>
      </c>
      <c r="AG146" s="20">
        <v>28341</v>
      </c>
      <c r="AH146" s="6">
        <v>13385</v>
      </c>
      <c r="AI146" s="11">
        <f>Table1[[#This Row],[Incremental Units]]/Table1[[#This Row],[Base Units]]</f>
        <v>0.47228397021982288</v>
      </c>
      <c r="AJ146" s="11">
        <f>IF(AND(ISNUMBER(Table1[[#This Row],[Lift  ]]),ISNUMBER(Table1[[#This Row],[Plan lift, %]]),Table1[[#This Row],[Plan lift, %]]&lt;&gt;0),Table1[[#This Row],[Lift  ]]-Table1[[#This Row],[Plan lift, %]],"")</f>
        <v>0.27228397021982287</v>
      </c>
      <c r="AK146" s="11"/>
      <c r="AL146" s="71" t="s">
        <v>1400</v>
      </c>
    </row>
    <row r="147" spans="1:39" x14ac:dyDescent="0.35">
      <c r="A147" t="s">
        <v>335</v>
      </c>
      <c r="B147" s="82">
        <v>1222</v>
      </c>
      <c r="C147" s="21" t="s">
        <v>118</v>
      </c>
      <c r="D147" s="13" t="s">
        <v>1232</v>
      </c>
      <c r="F147" s="21" t="s">
        <v>336</v>
      </c>
      <c r="G147" t="s">
        <v>23</v>
      </c>
      <c r="H147" s="14">
        <v>46076</v>
      </c>
      <c r="I147" s="14">
        <v>46103</v>
      </c>
      <c r="J147" s="13" t="s">
        <v>29</v>
      </c>
      <c r="L147" s="2">
        <v>458.02</v>
      </c>
      <c r="M147" s="2">
        <v>537.59</v>
      </c>
      <c r="N147" s="2">
        <v>107.51</v>
      </c>
      <c r="O147" s="2">
        <v>645.1</v>
      </c>
      <c r="P147" s="3">
        <v>0.2</v>
      </c>
      <c r="Q147" s="3"/>
      <c r="R147" s="2">
        <v>464.8</v>
      </c>
      <c r="S147" s="3">
        <v>0.25</v>
      </c>
      <c r="T147" s="2">
        <v>2310.4</v>
      </c>
      <c r="U147" s="13" t="s">
        <v>25</v>
      </c>
      <c r="V147" s="13" t="str">
        <f t="shared" si="14"/>
        <v>No</v>
      </c>
      <c r="W147" s="13" t="str">
        <f t="shared" si="14"/>
        <v>Yes</v>
      </c>
      <c r="X147" s="13" t="str">
        <f t="shared" si="14"/>
        <v>No</v>
      </c>
      <c r="Y147" s="13" t="str">
        <f t="shared" si="14"/>
        <v>No</v>
      </c>
      <c r="Z147" s="13" t="str">
        <f t="shared" si="14"/>
        <v>No</v>
      </c>
      <c r="AA147" s="71">
        <f>+(Table1[[#This Row],[Everyday price]]-Table1[[#This Row],[Promo Price]])/Table1[[#This Row],[Everyday price]]</f>
        <v>6.0894386298763141E-2</v>
      </c>
      <c r="AB147" s="69">
        <v>9.8699999999999992</v>
      </c>
      <c r="AC147" s="69">
        <v>10.51</v>
      </c>
      <c r="AD147" s="40" t="s">
        <v>1229</v>
      </c>
      <c r="AE147" s="5">
        <v>46076</v>
      </c>
      <c r="AF147" s="5">
        <v>46103</v>
      </c>
      <c r="AG147" s="20">
        <v>4488</v>
      </c>
      <c r="AH147" s="6">
        <v>767</v>
      </c>
      <c r="AI147" s="11">
        <f>Table1[[#This Row],[Incremental Units]]/Table1[[#This Row],[Base Units]]</f>
        <v>0.17090017825311943</v>
      </c>
      <c r="AJ147" s="11">
        <f>IF(AND(ISNUMBER(Table1[[#This Row],[Lift  ]]),ISNUMBER(Table1[[#This Row],[Plan lift, %]]),Table1[[#This Row],[Plan lift, %]]&lt;&gt;0),Table1[[#This Row],[Lift  ]]-Table1[[#This Row],[Plan lift, %]],"")</f>
        <v>-2.9099821746880583E-2</v>
      </c>
      <c r="AK147" s="11"/>
      <c r="AL147" s="71" t="s">
        <v>1400</v>
      </c>
      <c r="AM147" s="4" t="s">
        <v>1269</v>
      </c>
    </row>
    <row r="148" spans="1:39" x14ac:dyDescent="0.35">
      <c r="A148" t="s">
        <v>887</v>
      </c>
      <c r="B148" s="82">
        <v>1223</v>
      </c>
      <c r="C148" s="21" t="s">
        <v>118</v>
      </c>
      <c r="D148" s="13" t="s">
        <v>1232</v>
      </c>
      <c r="F148" s="21" t="s">
        <v>888</v>
      </c>
      <c r="G148" t="s">
        <v>23</v>
      </c>
      <c r="H148" s="14">
        <v>46132</v>
      </c>
      <c r="I148" s="14">
        <v>46159</v>
      </c>
      <c r="J148" s="13" t="s">
        <v>29</v>
      </c>
      <c r="L148" s="2">
        <v>545.66999999999996</v>
      </c>
      <c r="M148" s="2">
        <v>640.46</v>
      </c>
      <c r="N148" s="2">
        <v>128.09</v>
      </c>
      <c r="O148" s="2">
        <v>768.55</v>
      </c>
      <c r="P148" s="3">
        <v>0.2</v>
      </c>
      <c r="Q148" s="3"/>
      <c r="R148" s="2">
        <v>425</v>
      </c>
      <c r="S148" s="3">
        <v>0.23</v>
      </c>
      <c r="T148" s="2">
        <v>2263.4</v>
      </c>
      <c r="U148" s="13" t="s">
        <v>25</v>
      </c>
      <c r="V148" s="13" t="str">
        <f t="shared" si="14"/>
        <v>No</v>
      </c>
      <c r="W148" s="13" t="str">
        <f t="shared" si="14"/>
        <v>Yes</v>
      </c>
      <c r="X148" s="13" t="str">
        <f t="shared" si="14"/>
        <v>No</v>
      </c>
      <c r="Y148" s="13" t="str">
        <f t="shared" si="14"/>
        <v>No</v>
      </c>
      <c r="Z148" s="13" t="str">
        <f t="shared" si="14"/>
        <v>No</v>
      </c>
      <c r="AA148" s="71">
        <f>+(Table1[[#This Row],[Everyday price]]-Table1[[#This Row],[Promo Price]])/Table1[[#This Row],[Everyday price]]</f>
        <v>9.0909090909090884E-2</v>
      </c>
      <c r="AB148" s="69">
        <v>9.3000000000000007</v>
      </c>
      <c r="AC148" s="69">
        <v>10.23</v>
      </c>
      <c r="AD148" s="40" t="s">
        <v>1251</v>
      </c>
      <c r="AE148" s="5">
        <v>46111</v>
      </c>
      <c r="AF148" s="5">
        <v>46131</v>
      </c>
      <c r="AG148" s="20">
        <v>3868</v>
      </c>
      <c r="AH148" s="6">
        <v>1439</v>
      </c>
      <c r="AI148" s="11">
        <f>Table1[[#This Row],[Incremental Units]]/Table1[[#This Row],[Base Units]]</f>
        <v>0.37202688728024819</v>
      </c>
      <c r="AJ148" s="11">
        <f>IF(AND(ISNUMBER(Table1[[#This Row],[Lift  ]]),ISNUMBER(Table1[[#This Row],[Plan lift, %]]),Table1[[#This Row],[Plan lift, %]]&lt;&gt;0),Table1[[#This Row],[Lift  ]]-Table1[[#This Row],[Plan lift, %]],"")</f>
        <v>0.17202688728024818</v>
      </c>
      <c r="AK148" s="11"/>
      <c r="AL148" s="71" t="s">
        <v>1400</v>
      </c>
      <c r="AM148" s="4" t="s">
        <v>1270</v>
      </c>
    </row>
    <row r="149" spans="1:39" x14ac:dyDescent="0.35">
      <c r="A149" t="s">
        <v>1213</v>
      </c>
      <c r="B149" s="82">
        <v>1220</v>
      </c>
      <c r="C149" s="21" t="s">
        <v>118</v>
      </c>
      <c r="D149" s="13" t="s">
        <v>1232</v>
      </c>
      <c r="F149" s="21" t="s">
        <v>1214</v>
      </c>
      <c r="G149" t="s">
        <v>23</v>
      </c>
      <c r="H149" s="14">
        <v>46160</v>
      </c>
      <c r="I149" s="14">
        <v>46187</v>
      </c>
      <c r="J149" s="13" t="s">
        <v>24</v>
      </c>
      <c r="L149" s="2">
        <v>3644.01</v>
      </c>
      <c r="M149" s="2">
        <v>15572.68</v>
      </c>
      <c r="N149" s="2">
        <v>4671.79</v>
      </c>
      <c r="O149" s="2">
        <v>20244.47</v>
      </c>
      <c r="P149" s="3">
        <v>0.3</v>
      </c>
      <c r="Q149" s="3"/>
      <c r="R149" s="2">
        <v>7550</v>
      </c>
      <c r="S149" s="3">
        <v>0.35</v>
      </c>
      <c r="T149" s="2">
        <v>29249.7</v>
      </c>
      <c r="U149" s="13" t="s">
        <v>25</v>
      </c>
      <c r="V149" s="13" t="str">
        <f t="shared" si="14"/>
        <v>No</v>
      </c>
      <c r="W149" s="13" t="str">
        <f t="shared" si="14"/>
        <v>Yes</v>
      </c>
      <c r="X149" s="13" t="str">
        <f t="shared" si="14"/>
        <v>No</v>
      </c>
      <c r="Y149" s="13" t="str">
        <f t="shared" si="14"/>
        <v>No</v>
      </c>
      <c r="Z149" s="13" t="str">
        <f t="shared" si="14"/>
        <v>No</v>
      </c>
      <c r="AA149" s="71">
        <f>+(Table1[[#This Row],[Everyday price]]-Table1[[#This Row],[Promo Price]])/Table1[[#This Row],[Everyday price]]</f>
        <v>0.13620071684587809</v>
      </c>
      <c r="AB149" s="69">
        <v>2.41</v>
      </c>
      <c r="AC149" s="69">
        <v>2.79</v>
      </c>
      <c r="AD149" s="41" t="s">
        <v>1251</v>
      </c>
      <c r="AE149" s="5">
        <v>46174</v>
      </c>
      <c r="AF149" s="5">
        <v>46187</v>
      </c>
      <c r="AG149" s="20">
        <v>15028</v>
      </c>
      <c r="AH149" s="6">
        <v>6296</v>
      </c>
      <c r="AI149" s="11">
        <f>Table1[[#This Row],[Incremental Units]]/Table1[[#This Row],[Base Units]]</f>
        <v>0.41895129092360928</v>
      </c>
      <c r="AJ149" s="11">
        <f>IF(AND(ISNUMBER(Table1[[#This Row],[Lift  ]]),ISNUMBER(Table1[[#This Row],[Plan lift, %]]),Table1[[#This Row],[Plan lift, %]]&lt;&gt;0),Table1[[#This Row],[Lift  ]]-Table1[[#This Row],[Plan lift, %]],"")</f>
        <v>0.11895129092360929</v>
      </c>
      <c r="AK149" s="11"/>
      <c r="AL149" s="71" t="s">
        <v>1400</v>
      </c>
      <c r="AM149" t="s">
        <v>1266</v>
      </c>
    </row>
    <row r="150" spans="1:39" x14ac:dyDescent="0.35">
      <c r="A150" t="s">
        <v>874</v>
      </c>
      <c r="B150" s="12">
        <v>1224</v>
      </c>
      <c r="C150" s="21" t="s">
        <v>118</v>
      </c>
      <c r="D150" s="13" t="s">
        <v>1232</v>
      </c>
      <c r="F150" s="21" t="s">
        <v>875</v>
      </c>
      <c r="G150" t="s">
        <v>60</v>
      </c>
      <c r="H150" s="14">
        <v>46216</v>
      </c>
      <c r="I150" s="14">
        <v>46243</v>
      </c>
      <c r="J150" s="13" t="s">
        <v>29</v>
      </c>
      <c r="L150" s="2">
        <v>1109.23</v>
      </c>
      <c r="M150" s="2">
        <v>650.96</v>
      </c>
      <c r="N150" s="2">
        <v>130.19</v>
      </c>
      <c r="O150" s="2">
        <v>781.15</v>
      </c>
      <c r="P150" s="3">
        <v>0.2</v>
      </c>
      <c r="Q150" s="3"/>
      <c r="R150" s="2">
        <v>0</v>
      </c>
      <c r="S150" s="3">
        <v>0</v>
      </c>
      <c r="T150" s="2">
        <v>0</v>
      </c>
      <c r="U150" s="13" t="s">
        <v>25</v>
      </c>
      <c r="V150" s="13" t="str">
        <f t="shared" si="14"/>
        <v>No</v>
      </c>
      <c r="W150" s="13" t="str">
        <f t="shared" si="14"/>
        <v>Yes</v>
      </c>
      <c r="X150" s="13" t="str">
        <f t="shared" si="14"/>
        <v>No</v>
      </c>
      <c r="Y150" s="13" t="str">
        <f t="shared" si="14"/>
        <v>No</v>
      </c>
      <c r="Z150" s="13" t="str">
        <f t="shared" si="14"/>
        <v>No</v>
      </c>
      <c r="AA150" s="71" t="e">
        <f>+(Table1[[#This Row],[Everyday price]]-Table1[[#This Row],[Promo Price]])/Table1[[#This Row],[Everyday price]]</f>
        <v>#DIV/0!</v>
      </c>
      <c r="AC150" s="69"/>
      <c r="AE150" s="5"/>
      <c r="AF150" s="5"/>
      <c r="AH150" s="6"/>
      <c r="AI150" s="11"/>
      <c r="AJ150" s="11" t="str">
        <f>IF(AND(ISNUMBER(Table1[[#This Row],[Lift  ]]),ISNUMBER(Table1[[#This Row],[Plan lift, %]]),Table1[[#This Row],[Plan lift, %]]&lt;&gt;0),Table1[[#This Row],[Lift  ]]-Table1[[#This Row],[Plan lift, %]],"")</f>
        <v/>
      </c>
      <c r="AK150" s="116"/>
      <c r="AL150" s="71"/>
    </row>
    <row r="151" spans="1:39" x14ac:dyDescent="0.35">
      <c r="A151" t="s">
        <v>117</v>
      </c>
      <c r="B151" s="12">
        <v>1221</v>
      </c>
      <c r="C151" s="21" t="s">
        <v>118</v>
      </c>
      <c r="D151" s="13" t="s">
        <v>1232</v>
      </c>
      <c r="F151" s="21" t="s">
        <v>119</v>
      </c>
      <c r="G151" t="s">
        <v>44</v>
      </c>
      <c r="H151" s="14">
        <v>46244</v>
      </c>
      <c r="I151" s="14">
        <v>46271</v>
      </c>
      <c r="J151" s="13" t="s">
        <v>24</v>
      </c>
      <c r="L151" s="2">
        <v>3875.89</v>
      </c>
      <c r="M151" s="2">
        <v>16563.66</v>
      </c>
      <c r="N151" s="2">
        <v>4969.09</v>
      </c>
      <c r="O151" s="2">
        <v>21532.75</v>
      </c>
      <c r="P151" s="3">
        <v>0.3</v>
      </c>
      <c r="Q151" s="3"/>
      <c r="R151" s="2">
        <v>0</v>
      </c>
      <c r="S151" s="3">
        <v>0</v>
      </c>
      <c r="T151" s="2">
        <v>0</v>
      </c>
      <c r="U151" s="13" t="s">
        <v>25</v>
      </c>
      <c r="V151" s="13" t="str">
        <f t="shared" si="14"/>
        <v>No</v>
      </c>
      <c r="W151" s="13" t="str">
        <f t="shared" si="14"/>
        <v>Yes</v>
      </c>
      <c r="X151" s="13" t="str">
        <f t="shared" si="14"/>
        <v>No</v>
      </c>
      <c r="Y151" s="13" t="str">
        <f t="shared" si="14"/>
        <v>No</v>
      </c>
      <c r="Z151" s="13" t="str">
        <f t="shared" si="14"/>
        <v>No</v>
      </c>
      <c r="AA151" s="71" t="e">
        <f>+(Table1[[#This Row],[Everyday price]]-Table1[[#This Row],[Promo Price]])/Table1[[#This Row],[Everyday price]]</f>
        <v>#DIV/0!</v>
      </c>
      <c r="AC151" s="69"/>
      <c r="AH151" s="6"/>
      <c r="AI151" s="11"/>
      <c r="AJ151" s="11" t="str">
        <f>IF(AND(ISNUMBER(Table1[[#This Row],[Lift  ]]),ISNUMBER(Table1[[#This Row],[Plan lift, %]]),Table1[[#This Row],[Plan lift, %]]&lt;&gt;0),Table1[[#This Row],[Lift  ]]-Table1[[#This Row],[Plan lift, %]],"")</f>
        <v/>
      </c>
      <c r="AK151" s="116"/>
      <c r="AL151" s="71"/>
    </row>
    <row r="152" spans="1:39" x14ac:dyDescent="0.35">
      <c r="A152" t="s">
        <v>641</v>
      </c>
      <c r="B152" s="143">
        <v>1035</v>
      </c>
      <c r="C152" s="21" t="s">
        <v>225</v>
      </c>
      <c r="D152" s="13" t="s">
        <v>1232</v>
      </c>
      <c r="F152" s="21" t="s">
        <v>642</v>
      </c>
      <c r="G152" t="s">
        <v>23</v>
      </c>
      <c r="H152" s="14">
        <v>46054</v>
      </c>
      <c r="I152" s="14">
        <v>46081</v>
      </c>
      <c r="J152" s="13" t="s">
        <v>24</v>
      </c>
      <c r="L152" s="2">
        <v>1995.57</v>
      </c>
      <c r="M152" s="2">
        <v>4977.8500000000004</v>
      </c>
      <c r="N152" s="2">
        <v>0</v>
      </c>
      <c r="O152" s="2">
        <v>4977.8500000000004</v>
      </c>
      <c r="P152" s="3">
        <v>0</v>
      </c>
      <c r="Q152" s="3"/>
      <c r="R152" s="2">
        <v>2196.37</v>
      </c>
      <c r="S152" s="3">
        <v>0.54</v>
      </c>
      <c r="T152" s="2">
        <v>6253.01</v>
      </c>
      <c r="U152" s="13" t="s">
        <v>33</v>
      </c>
      <c r="V152" s="13" t="str">
        <f t="shared" ref="V152:Z161" si="15">IF(ISNUMBER(SEARCH(V$1,$U152)),"Yes","No")</f>
        <v>No</v>
      </c>
      <c r="W152" s="13" t="str">
        <f t="shared" si="15"/>
        <v>Yes</v>
      </c>
      <c r="X152" s="13" t="str">
        <f t="shared" si="15"/>
        <v>Yes</v>
      </c>
      <c r="Y152" s="13" t="str">
        <f t="shared" si="15"/>
        <v>No</v>
      </c>
      <c r="Z152" s="13" t="str">
        <f t="shared" si="15"/>
        <v>No</v>
      </c>
      <c r="AA152" s="71">
        <f>+(Table1[[#This Row],[Everyday price]]-Table1[[#This Row],[Promo Price]])/Table1[[#This Row],[Everyday price]]</f>
        <v>0.1984435797665369</v>
      </c>
      <c r="AB152" s="69">
        <v>2.06</v>
      </c>
      <c r="AC152" s="69">
        <v>2.57</v>
      </c>
      <c r="AD152" s="40" t="s">
        <v>1229</v>
      </c>
      <c r="AE152" s="5">
        <v>46027</v>
      </c>
      <c r="AF152" s="5">
        <v>46068</v>
      </c>
      <c r="AG152" s="20">
        <v>7465</v>
      </c>
      <c r="AH152" s="6">
        <v>8493</v>
      </c>
      <c r="AI152" s="11">
        <f>Table1[[#This Row],[Incremental Units]]/Table1[[#This Row],[Base Units]]</f>
        <v>1.1377093101138647</v>
      </c>
      <c r="AJ152" s="11" t="str">
        <f>IF(AND(ISNUMBER(Table1[[#This Row],[Lift  ]]),ISNUMBER(Table1[[#This Row],[Plan lift, %]]),Table1[[#This Row],[Plan lift, %]]&lt;&gt;0),Table1[[#This Row],[Lift  ]]-Table1[[#This Row],[Plan lift, %]],"")</f>
        <v/>
      </c>
      <c r="AK152" s="116"/>
      <c r="AL152" s="71" t="s">
        <v>1400</v>
      </c>
      <c r="AM152" s="4" t="s">
        <v>1562</v>
      </c>
    </row>
    <row r="153" spans="1:39" x14ac:dyDescent="0.35">
      <c r="A153" t="s">
        <v>224</v>
      </c>
      <c r="B153" s="143">
        <v>1036</v>
      </c>
      <c r="C153" s="21" t="s">
        <v>225</v>
      </c>
      <c r="D153" s="13" t="s">
        <v>1232</v>
      </c>
      <c r="F153" s="21" t="s">
        <v>226</v>
      </c>
      <c r="G153" t="s">
        <v>23</v>
      </c>
      <c r="H153" s="14">
        <v>46143</v>
      </c>
      <c r="I153" s="14">
        <v>46172</v>
      </c>
      <c r="J153" s="13" t="s">
        <v>24</v>
      </c>
      <c r="L153" s="2">
        <v>1403.05</v>
      </c>
      <c r="M153" s="2">
        <v>4515.26</v>
      </c>
      <c r="N153" s="2">
        <v>0</v>
      </c>
      <c r="O153" s="2">
        <v>4515.26</v>
      </c>
      <c r="P153" s="3">
        <v>0</v>
      </c>
      <c r="Q153" s="3"/>
      <c r="R153" s="2">
        <v>7235.16</v>
      </c>
      <c r="S153" s="3">
        <v>1.43</v>
      </c>
      <c r="T153" s="2">
        <v>12287.43</v>
      </c>
      <c r="U153" s="13" t="s">
        <v>33</v>
      </c>
      <c r="V153" s="13" t="str">
        <f t="shared" si="15"/>
        <v>No</v>
      </c>
      <c r="W153" s="13" t="str">
        <f t="shared" si="15"/>
        <v>Yes</v>
      </c>
      <c r="X153" s="13" t="str">
        <f t="shared" si="15"/>
        <v>Yes</v>
      </c>
      <c r="Y153" s="13" t="str">
        <f t="shared" si="15"/>
        <v>No</v>
      </c>
      <c r="Z153" s="13" t="str">
        <f t="shared" si="15"/>
        <v>No</v>
      </c>
      <c r="AA153" s="71">
        <f>+(Table1[[#This Row],[Everyday price]]-Table1[[#This Row],[Promo Price]])/Table1[[#This Row],[Everyday price]]</f>
        <v>0.26164874551971323</v>
      </c>
      <c r="AB153" s="69">
        <v>2.06</v>
      </c>
      <c r="AC153" s="69">
        <v>2.79</v>
      </c>
      <c r="AD153" s="41" t="s">
        <v>1257</v>
      </c>
      <c r="AE153" s="5">
        <v>46139</v>
      </c>
      <c r="AF153" s="5">
        <v>46180</v>
      </c>
      <c r="AG153" s="20">
        <v>8951</v>
      </c>
      <c r="AH153" s="6">
        <v>12195</v>
      </c>
      <c r="AI153" s="11">
        <f>Table1[[#This Row],[Incremental Units]]/Table1[[#This Row],[Base Units]]</f>
        <v>1.3624176069712881</v>
      </c>
      <c r="AJ153" s="116" t="str">
        <f>IF(AND(ISNUMBER(Table1[[#This Row],[Lift  ]]),ISNUMBER(Table1[[#This Row],[Plan lift, %]]),Table1[[#This Row],[Plan lift, %]]&lt;&gt;0),Table1[[#This Row],[Lift  ]]-Table1[[#This Row],[Plan lift, %]],"")</f>
        <v/>
      </c>
      <c r="AK153" s="116"/>
      <c r="AL153" s="13" t="s">
        <v>1434</v>
      </c>
      <c r="AM153" s="4" t="s">
        <v>1562</v>
      </c>
    </row>
    <row r="154" spans="1:39" x14ac:dyDescent="0.35">
      <c r="A154" t="s">
        <v>621</v>
      </c>
      <c r="B154" s="12">
        <v>1034</v>
      </c>
      <c r="C154" s="21" t="s">
        <v>225</v>
      </c>
      <c r="D154" s="13" t="s">
        <v>1232</v>
      </c>
      <c r="F154" s="21" t="s">
        <v>622</v>
      </c>
      <c r="G154" t="s">
        <v>60</v>
      </c>
      <c r="H154" s="14">
        <v>46235</v>
      </c>
      <c r="I154" s="14">
        <v>46264</v>
      </c>
      <c r="J154" s="13" t="s">
        <v>24</v>
      </c>
      <c r="L154" s="2">
        <v>1403.05</v>
      </c>
      <c r="M154" s="2">
        <v>4515.26</v>
      </c>
      <c r="N154" s="2">
        <v>0</v>
      </c>
      <c r="O154" s="2">
        <v>4515.26</v>
      </c>
      <c r="P154" s="3">
        <v>0</v>
      </c>
      <c r="Q154" s="3"/>
      <c r="R154" s="2">
        <v>0</v>
      </c>
      <c r="S154" s="3">
        <v>0</v>
      </c>
      <c r="T154" s="2">
        <v>0</v>
      </c>
      <c r="U154" s="13" t="s">
        <v>33</v>
      </c>
      <c r="V154" s="13" t="str">
        <f t="shared" si="15"/>
        <v>No</v>
      </c>
      <c r="W154" s="13" t="str">
        <f t="shared" si="15"/>
        <v>Yes</v>
      </c>
      <c r="X154" s="13" t="str">
        <f t="shared" si="15"/>
        <v>Yes</v>
      </c>
      <c r="Y154" s="13" t="str">
        <f t="shared" si="15"/>
        <v>No</v>
      </c>
      <c r="Z154" s="13" t="str">
        <f t="shared" si="15"/>
        <v>No</v>
      </c>
      <c r="AA154" s="71" t="e">
        <f>+(Table1[[#This Row],[Everyday price]]-Table1[[#This Row],[Promo Price]])/Table1[[#This Row],[Everyday price]]</f>
        <v>#DIV/0!</v>
      </c>
      <c r="AC154" s="69"/>
      <c r="AH154" s="6"/>
      <c r="AI154" s="11"/>
      <c r="AJ154" s="116" t="str">
        <f>IF(AND(ISNUMBER(Table1[[#This Row],[Lift  ]]),ISNUMBER(Table1[[#This Row],[Plan lift, %]]),Table1[[#This Row],[Plan lift, %]]&lt;&gt;0),Table1[[#This Row],[Lift  ]]-Table1[[#This Row],[Plan lift, %]],"")</f>
        <v/>
      </c>
      <c r="AK154" s="116"/>
    </row>
    <row r="155" spans="1:39" x14ac:dyDescent="0.35">
      <c r="A155" t="s">
        <v>392</v>
      </c>
      <c r="B155" s="12" t="s">
        <v>1709</v>
      </c>
      <c r="C155" s="21" t="s">
        <v>393</v>
      </c>
      <c r="D155" s="13" t="s">
        <v>1231</v>
      </c>
      <c r="E155" t="s">
        <v>394</v>
      </c>
      <c r="F155" t="s">
        <v>395</v>
      </c>
      <c r="G155" t="s">
        <v>23</v>
      </c>
      <c r="H155" s="1">
        <v>46054</v>
      </c>
      <c r="I155" s="1">
        <v>46083</v>
      </c>
      <c r="J155" s="13" t="s">
        <v>29</v>
      </c>
      <c r="L155" s="2">
        <v>35453.1</v>
      </c>
      <c r="M155" s="2">
        <v>11817.7</v>
      </c>
      <c r="N155" s="2">
        <v>5908.85</v>
      </c>
      <c r="O155" s="2">
        <v>17726.55</v>
      </c>
      <c r="P155" s="3">
        <v>0.5</v>
      </c>
      <c r="Q155" s="3">
        <v>-0.08</v>
      </c>
      <c r="R155" s="2">
        <v>22832.3</v>
      </c>
      <c r="S155" s="3">
        <v>0.04</v>
      </c>
      <c r="T155" s="2">
        <v>648900</v>
      </c>
      <c r="U155" t="s">
        <v>281</v>
      </c>
      <c r="V155" s="13" t="str">
        <f t="shared" si="15"/>
        <v>No</v>
      </c>
      <c r="W155" s="13" t="str">
        <f t="shared" si="15"/>
        <v>No</v>
      </c>
      <c r="X155" s="13" t="str">
        <f t="shared" si="15"/>
        <v>No</v>
      </c>
      <c r="Y155" s="13" t="str">
        <f t="shared" si="15"/>
        <v>No</v>
      </c>
      <c r="Z155" s="13" t="str">
        <f t="shared" si="15"/>
        <v>No</v>
      </c>
      <c r="AA155" s="71" t="e">
        <f>+(Table1[[#This Row],[Everyday price]]-Table1[[#This Row],[Promo Price]])/Table1[[#This Row],[Everyday price]]</f>
        <v>#DIV/0!</v>
      </c>
      <c r="AC155" s="69"/>
      <c r="AD155" s="13"/>
      <c r="AH155" s="6"/>
      <c r="AJ155" s="116" t="str">
        <f>IF(AND(ISNUMBER(Table1[[#This Row],[Lift  ]]),ISNUMBER(Table1[[#This Row],[Plan lift, %]]),Table1[[#This Row],[Plan lift, %]]&lt;&gt;0),Table1[[#This Row],[Lift  ]]-Table1[[#This Row],[Plan lift, %]],"")</f>
        <v/>
      </c>
      <c r="AK155" s="116"/>
    </row>
    <row r="156" spans="1:39" x14ac:dyDescent="0.35">
      <c r="A156" t="s">
        <v>392</v>
      </c>
      <c r="B156" s="12" t="s">
        <v>1710</v>
      </c>
      <c r="C156" s="21" t="s">
        <v>393</v>
      </c>
      <c r="D156" s="13" t="s">
        <v>1231</v>
      </c>
      <c r="E156" t="s">
        <v>394</v>
      </c>
      <c r="F156" t="s">
        <v>395</v>
      </c>
      <c r="G156" t="s">
        <v>23</v>
      </c>
      <c r="H156" s="1">
        <v>46054</v>
      </c>
      <c r="I156" s="1">
        <v>46083</v>
      </c>
      <c r="J156" s="13" t="s">
        <v>88</v>
      </c>
      <c r="L156" s="2">
        <v>0</v>
      </c>
      <c r="M156" s="2">
        <v>0</v>
      </c>
      <c r="N156" s="2">
        <v>0</v>
      </c>
      <c r="O156" s="2">
        <v>0</v>
      </c>
      <c r="P156" s="3">
        <v>0.5</v>
      </c>
      <c r="Q156" s="3">
        <v>-0.08</v>
      </c>
      <c r="R156" s="2">
        <v>0</v>
      </c>
      <c r="S156" s="3">
        <v>0</v>
      </c>
      <c r="T156" s="2">
        <v>0</v>
      </c>
      <c r="U156" t="s">
        <v>281</v>
      </c>
      <c r="V156" s="13" t="str">
        <f t="shared" si="15"/>
        <v>No</v>
      </c>
      <c r="W156" s="13" t="str">
        <f t="shared" si="15"/>
        <v>No</v>
      </c>
      <c r="X156" s="13" t="str">
        <f t="shared" si="15"/>
        <v>No</v>
      </c>
      <c r="Y156" s="13" t="str">
        <f t="shared" si="15"/>
        <v>No</v>
      </c>
      <c r="Z156" s="13" t="str">
        <f t="shared" si="15"/>
        <v>No</v>
      </c>
      <c r="AA156" s="71" t="e">
        <f>+(Table1[[#This Row],[Everyday price]]-Table1[[#This Row],[Promo Price]])/Table1[[#This Row],[Everyday price]]</f>
        <v>#DIV/0!</v>
      </c>
      <c r="AC156" s="69"/>
      <c r="AD156" s="13"/>
      <c r="AH156" s="6"/>
      <c r="AJ156" s="116" t="str">
        <f>IF(AND(ISNUMBER(Table1[[#This Row],[Lift  ]]),ISNUMBER(Table1[[#This Row],[Plan lift, %]]),Table1[[#This Row],[Plan lift, %]]&lt;&gt;0),Table1[[#This Row],[Lift  ]]-Table1[[#This Row],[Plan lift, %]],"")</f>
        <v/>
      </c>
      <c r="AK156" s="116"/>
    </row>
    <row r="157" spans="1:39" x14ac:dyDescent="0.35">
      <c r="A157" t="s">
        <v>744</v>
      </c>
      <c r="B157" s="12" t="s">
        <v>1711</v>
      </c>
      <c r="C157" s="21" t="s">
        <v>393</v>
      </c>
      <c r="D157" s="13" t="s">
        <v>1231</v>
      </c>
      <c r="E157" t="s">
        <v>394</v>
      </c>
      <c r="F157" t="s">
        <v>745</v>
      </c>
      <c r="G157" t="s">
        <v>60</v>
      </c>
      <c r="H157" s="1">
        <v>46231</v>
      </c>
      <c r="I157" s="1">
        <v>46265</v>
      </c>
      <c r="J157" s="13" t="s">
        <v>29</v>
      </c>
      <c r="L157" s="2">
        <v>111226.5</v>
      </c>
      <c r="M157" s="2">
        <v>19800</v>
      </c>
      <c r="N157" s="2">
        <v>14850</v>
      </c>
      <c r="O157" s="2">
        <v>34650</v>
      </c>
      <c r="P157" s="3">
        <v>0.75</v>
      </c>
      <c r="Q157" s="3">
        <v>-0.1</v>
      </c>
      <c r="R157" s="2">
        <v>0</v>
      </c>
      <c r="S157" s="3">
        <v>0</v>
      </c>
      <c r="T157" s="2">
        <v>0</v>
      </c>
      <c r="U157" t="s">
        <v>261</v>
      </c>
      <c r="V157" s="13" t="str">
        <f t="shared" si="15"/>
        <v>Yes</v>
      </c>
      <c r="W157" s="13" t="str">
        <f t="shared" si="15"/>
        <v>No</v>
      </c>
      <c r="X157" s="13" t="str">
        <f t="shared" si="15"/>
        <v>No</v>
      </c>
      <c r="Y157" s="13" t="str">
        <f t="shared" si="15"/>
        <v>No</v>
      </c>
      <c r="Z157" s="13" t="str">
        <f t="shared" si="15"/>
        <v>No</v>
      </c>
      <c r="AA157" s="71" t="e">
        <f>+(Table1[[#This Row],[Everyday price]]-Table1[[#This Row],[Promo Price]])/Table1[[#This Row],[Everyday price]]</f>
        <v>#DIV/0!</v>
      </c>
      <c r="AC157" s="69"/>
      <c r="AD157" s="13"/>
      <c r="AH157" s="6"/>
      <c r="AJ157" s="116" t="str">
        <f>IF(AND(ISNUMBER(Table1[[#This Row],[Lift  ]]),ISNUMBER(Table1[[#This Row],[Plan lift, %]]),Table1[[#This Row],[Plan lift, %]]&lt;&gt;0),Table1[[#This Row],[Lift  ]]-Table1[[#This Row],[Plan lift, %]],"")</f>
        <v/>
      </c>
      <c r="AK157" s="116"/>
    </row>
    <row r="158" spans="1:39" x14ac:dyDescent="0.35">
      <c r="A158" t="s">
        <v>744</v>
      </c>
      <c r="B158" s="12" t="s">
        <v>1712</v>
      </c>
      <c r="C158" s="21" t="s">
        <v>393</v>
      </c>
      <c r="D158" s="13" t="s">
        <v>1231</v>
      </c>
      <c r="E158" t="s">
        <v>394</v>
      </c>
      <c r="F158" t="s">
        <v>745</v>
      </c>
      <c r="G158" t="s">
        <v>60</v>
      </c>
      <c r="H158" s="1">
        <v>46231</v>
      </c>
      <c r="I158" s="1">
        <v>46265</v>
      </c>
      <c r="J158" s="13" t="s">
        <v>88</v>
      </c>
      <c r="L158" s="2">
        <v>5775</v>
      </c>
      <c r="M158" s="2">
        <v>13200</v>
      </c>
      <c r="N158" s="2">
        <v>9900</v>
      </c>
      <c r="O158" s="2">
        <v>23100</v>
      </c>
      <c r="P158" s="3">
        <v>0.75</v>
      </c>
      <c r="Q158" s="3">
        <v>-0.1</v>
      </c>
      <c r="R158" s="2">
        <v>0</v>
      </c>
      <c r="S158" s="3">
        <v>0</v>
      </c>
      <c r="T158" s="2">
        <v>0</v>
      </c>
      <c r="U158" t="s">
        <v>261</v>
      </c>
      <c r="V158" s="13" t="str">
        <f t="shared" si="15"/>
        <v>Yes</v>
      </c>
      <c r="W158" s="13" t="str">
        <f t="shared" si="15"/>
        <v>No</v>
      </c>
      <c r="X158" s="13" t="str">
        <f t="shared" si="15"/>
        <v>No</v>
      </c>
      <c r="Y158" s="13" t="str">
        <f t="shared" si="15"/>
        <v>No</v>
      </c>
      <c r="Z158" s="13" t="str">
        <f t="shared" si="15"/>
        <v>No</v>
      </c>
      <c r="AA158" s="71" t="e">
        <f>+(Table1[[#This Row],[Everyday price]]-Table1[[#This Row],[Promo Price]])/Table1[[#This Row],[Everyday price]]</f>
        <v>#DIV/0!</v>
      </c>
      <c r="AC158" s="69"/>
      <c r="AD158" s="13"/>
      <c r="AH158" s="6"/>
      <c r="AJ158" s="116" t="str">
        <f>IF(AND(ISNUMBER(Table1[[#This Row],[Lift  ]]),ISNUMBER(Table1[[#This Row],[Plan lift, %]]),Table1[[#This Row],[Plan lift, %]]&lt;&gt;0),Table1[[#This Row],[Lift  ]]-Table1[[#This Row],[Plan lift, %]],"")</f>
        <v/>
      </c>
      <c r="AK158" s="116"/>
    </row>
    <row r="159" spans="1:39" x14ac:dyDescent="0.35">
      <c r="A159" t="s">
        <v>715</v>
      </c>
      <c r="B159" s="12">
        <v>1442</v>
      </c>
      <c r="C159" s="21" t="s">
        <v>393</v>
      </c>
      <c r="D159" s="13" t="s">
        <v>1231</v>
      </c>
      <c r="E159" t="s">
        <v>394</v>
      </c>
      <c r="F159" t="s">
        <v>716</v>
      </c>
      <c r="G159" t="s">
        <v>44</v>
      </c>
      <c r="H159" s="1">
        <v>46294</v>
      </c>
      <c r="I159" s="1">
        <v>46327</v>
      </c>
      <c r="J159" s="13" t="s">
        <v>29</v>
      </c>
      <c r="L159" s="2">
        <v>134640.04</v>
      </c>
      <c r="M159" s="2">
        <v>19234.29</v>
      </c>
      <c r="N159" s="2">
        <v>14425.72</v>
      </c>
      <c r="O159" s="2">
        <v>33660.01</v>
      </c>
      <c r="P159" s="3">
        <v>0.75</v>
      </c>
      <c r="Q159" s="3">
        <v>0.22</v>
      </c>
      <c r="R159" s="2">
        <v>0</v>
      </c>
      <c r="S159" s="3">
        <v>0</v>
      </c>
      <c r="T159" s="2">
        <v>0</v>
      </c>
      <c r="U159" t="s">
        <v>261</v>
      </c>
      <c r="V159" s="13" t="str">
        <f t="shared" si="15"/>
        <v>Yes</v>
      </c>
      <c r="W159" s="13" t="str">
        <f t="shared" si="15"/>
        <v>No</v>
      </c>
      <c r="X159" s="13" t="str">
        <f t="shared" si="15"/>
        <v>No</v>
      </c>
      <c r="Y159" s="13" t="str">
        <f t="shared" si="15"/>
        <v>No</v>
      </c>
      <c r="Z159" s="13" t="str">
        <f t="shared" si="15"/>
        <v>No</v>
      </c>
      <c r="AA159" s="71" t="e">
        <f>+(Table1[[#This Row],[Everyday price]]-Table1[[#This Row],[Promo Price]])/Table1[[#This Row],[Everyday price]]</f>
        <v>#DIV/0!</v>
      </c>
      <c r="AC159" s="69"/>
      <c r="AD159" s="13"/>
      <c r="AH159" s="6"/>
      <c r="AJ159" s="116" t="str">
        <f>IF(AND(ISNUMBER(Table1[[#This Row],[Lift  ]]),ISNUMBER(Table1[[#This Row],[Plan lift, %]]),Table1[[#This Row],[Plan lift, %]]&lt;&gt;0),Table1[[#This Row],[Lift  ]]-Table1[[#This Row],[Plan lift, %]],"")</f>
        <v/>
      </c>
      <c r="AK159" s="116"/>
    </row>
    <row r="160" spans="1:39" x14ac:dyDescent="0.35">
      <c r="A160" t="s">
        <v>942</v>
      </c>
      <c r="B160" s="12">
        <v>1162</v>
      </c>
      <c r="C160" s="21" t="s">
        <v>35</v>
      </c>
      <c r="D160" s="13" t="s">
        <v>1232</v>
      </c>
      <c r="F160" s="21" t="s">
        <v>943</v>
      </c>
      <c r="G160" t="s">
        <v>23</v>
      </c>
      <c r="H160" s="14">
        <v>46023</v>
      </c>
      <c r="I160" s="14">
        <v>46053</v>
      </c>
      <c r="J160" s="13" t="s">
        <v>24</v>
      </c>
      <c r="L160" s="2">
        <v>2613</v>
      </c>
      <c r="M160" s="2">
        <v>3240</v>
      </c>
      <c r="N160" s="2">
        <v>486</v>
      </c>
      <c r="O160" s="2">
        <v>3726</v>
      </c>
      <c r="P160" s="3">
        <v>0.15</v>
      </c>
      <c r="Q160" s="3"/>
      <c r="R160" s="2">
        <v>0</v>
      </c>
      <c r="S160" s="3">
        <v>0</v>
      </c>
      <c r="T160" s="2">
        <v>0</v>
      </c>
      <c r="U160" s="13" t="s">
        <v>33</v>
      </c>
      <c r="V160" s="13" t="str">
        <f t="shared" si="15"/>
        <v>No</v>
      </c>
      <c r="W160" s="13" t="str">
        <f t="shared" si="15"/>
        <v>Yes</v>
      </c>
      <c r="X160" s="13" t="str">
        <f t="shared" si="15"/>
        <v>Yes</v>
      </c>
      <c r="Y160" s="13" t="str">
        <f t="shared" si="15"/>
        <v>No</v>
      </c>
      <c r="Z160" s="13" t="str">
        <f t="shared" si="15"/>
        <v>No</v>
      </c>
      <c r="AA160" s="71" t="e">
        <f>+(Table1[[#This Row],[Everyday price]]-Table1[[#This Row],[Promo Price]])/Table1[[#This Row],[Everyday price]]</f>
        <v>#DIV/0!</v>
      </c>
      <c r="AC160" s="69"/>
      <c r="AH160" s="6"/>
      <c r="AJ160" s="116" t="str">
        <f>IF(AND(ISNUMBER(Table1[[#This Row],[Lift  ]]),ISNUMBER(Table1[[#This Row],[Plan lift, %]]),Table1[[#This Row],[Plan lift, %]]&lt;&gt;0),Table1[[#This Row],[Lift  ]]-Table1[[#This Row],[Plan lift, %]],"")</f>
        <v/>
      </c>
      <c r="AK160" s="116"/>
    </row>
    <row r="161" spans="1:39" x14ac:dyDescent="0.35">
      <c r="A161" t="s">
        <v>34</v>
      </c>
      <c r="B161" s="12">
        <v>1163</v>
      </c>
      <c r="C161" s="21" t="s">
        <v>35</v>
      </c>
      <c r="D161" s="13" t="s">
        <v>1232</v>
      </c>
      <c r="F161" s="21" t="s">
        <v>36</v>
      </c>
      <c r="G161" t="s">
        <v>23</v>
      </c>
      <c r="H161" s="14">
        <v>46054</v>
      </c>
      <c r="I161" s="14">
        <v>46081</v>
      </c>
      <c r="J161" s="13" t="s">
        <v>24</v>
      </c>
      <c r="L161" s="2">
        <v>1932</v>
      </c>
      <c r="M161" s="2">
        <v>3360</v>
      </c>
      <c r="N161" s="2">
        <v>504</v>
      </c>
      <c r="O161" s="2">
        <v>3864</v>
      </c>
      <c r="P161" s="3">
        <v>0.15</v>
      </c>
      <c r="Q161" s="3"/>
      <c r="R161" s="2">
        <v>0</v>
      </c>
      <c r="S161" s="3">
        <v>0</v>
      </c>
      <c r="T161" s="2">
        <v>0</v>
      </c>
      <c r="U161" s="13" t="s">
        <v>25</v>
      </c>
      <c r="V161" s="13" t="str">
        <f t="shared" si="15"/>
        <v>No</v>
      </c>
      <c r="W161" s="13" t="str">
        <f t="shared" si="15"/>
        <v>Yes</v>
      </c>
      <c r="X161" s="13" t="str">
        <f t="shared" si="15"/>
        <v>No</v>
      </c>
      <c r="Y161" s="13" t="str">
        <f t="shared" si="15"/>
        <v>No</v>
      </c>
      <c r="Z161" s="13" t="str">
        <f t="shared" si="15"/>
        <v>No</v>
      </c>
      <c r="AA161" s="71" t="e">
        <f>+(Table1[[#This Row],[Everyday price]]-Table1[[#This Row],[Promo Price]])/Table1[[#This Row],[Everyday price]]</f>
        <v>#DIV/0!</v>
      </c>
      <c r="AC161" s="69"/>
      <c r="AH161" s="6"/>
      <c r="AJ161" s="116" t="str">
        <f>IF(AND(ISNUMBER(Table1[[#This Row],[Lift  ]]),ISNUMBER(Table1[[#This Row],[Plan lift, %]]),Table1[[#This Row],[Plan lift, %]]&lt;&gt;0),Table1[[#This Row],[Lift  ]]-Table1[[#This Row],[Plan lift, %]],"")</f>
        <v/>
      </c>
      <c r="AK161" s="116"/>
    </row>
    <row r="162" spans="1:39" x14ac:dyDescent="0.35">
      <c r="A162" t="s">
        <v>967</v>
      </c>
      <c r="B162" s="12">
        <v>1164</v>
      </c>
      <c r="C162" s="21" t="s">
        <v>35</v>
      </c>
      <c r="D162" s="13" t="s">
        <v>1232</v>
      </c>
      <c r="F162" s="21" t="s">
        <v>968</v>
      </c>
      <c r="G162" t="s">
        <v>23</v>
      </c>
      <c r="H162" s="14">
        <v>46174</v>
      </c>
      <c r="I162" s="14">
        <v>46203</v>
      </c>
      <c r="J162" s="13" t="s">
        <v>24</v>
      </c>
      <c r="L162" s="2">
        <v>2070</v>
      </c>
      <c r="M162" s="2">
        <v>3600</v>
      </c>
      <c r="N162" s="2">
        <v>540</v>
      </c>
      <c r="O162" s="2">
        <v>4140</v>
      </c>
      <c r="P162" s="3">
        <v>0.15</v>
      </c>
      <c r="Q162" s="3"/>
      <c r="R162" s="2">
        <v>0</v>
      </c>
      <c r="S162" s="3">
        <v>0</v>
      </c>
      <c r="T162" s="2">
        <v>0</v>
      </c>
      <c r="U162" s="13" t="s">
        <v>25</v>
      </c>
      <c r="V162" s="13" t="str">
        <f t="shared" ref="V162:Z171" si="16">IF(ISNUMBER(SEARCH(V$1,$U162)),"Yes","No")</f>
        <v>No</v>
      </c>
      <c r="W162" s="13" t="str">
        <f t="shared" si="16"/>
        <v>Yes</v>
      </c>
      <c r="X162" s="13" t="str">
        <f t="shared" si="16"/>
        <v>No</v>
      </c>
      <c r="Y162" s="13" t="str">
        <f t="shared" si="16"/>
        <v>No</v>
      </c>
      <c r="Z162" s="13" t="str">
        <f t="shared" si="16"/>
        <v>No</v>
      </c>
      <c r="AA162" s="71" t="e">
        <f>+(Table1[[#This Row],[Everyday price]]-Table1[[#This Row],[Promo Price]])/Table1[[#This Row],[Everyday price]]</f>
        <v>#DIV/0!</v>
      </c>
      <c r="AC162" s="69"/>
      <c r="AH162" s="6"/>
      <c r="AJ162" s="116" t="str">
        <f>IF(AND(ISNUMBER(Table1[[#This Row],[Lift  ]]),ISNUMBER(Table1[[#This Row],[Plan lift, %]]),Table1[[#This Row],[Plan lift, %]]&lt;&gt;0),Table1[[#This Row],[Lift  ]]-Table1[[#This Row],[Plan lift, %]],"")</f>
        <v/>
      </c>
      <c r="AK162" s="116"/>
    </row>
    <row r="163" spans="1:39" x14ac:dyDescent="0.35">
      <c r="A163" t="s">
        <v>893</v>
      </c>
      <c r="B163" s="12">
        <v>1165</v>
      </c>
      <c r="C163" s="21" t="s">
        <v>35</v>
      </c>
      <c r="D163" s="13" t="s">
        <v>1232</v>
      </c>
      <c r="F163" s="21" t="s">
        <v>894</v>
      </c>
      <c r="G163" t="s">
        <v>23</v>
      </c>
      <c r="H163" s="14">
        <v>46204</v>
      </c>
      <c r="I163" s="14">
        <v>46234</v>
      </c>
      <c r="J163" s="13" t="s">
        <v>24</v>
      </c>
      <c r="L163" s="2">
        <v>2889</v>
      </c>
      <c r="M163" s="2">
        <v>3720</v>
      </c>
      <c r="N163" s="2">
        <v>558</v>
      </c>
      <c r="O163" s="2">
        <v>4278</v>
      </c>
      <c r="P163" s="3">
        <v>0.15</v>
      </c>
      <c r="Q163" s="3"/>
      <c r="R163" s="2">
        <v>0</v>
      </c>
      <c r="S163" s="3">
        <v>0</v>
      </c>
      <c r="T163" s="2">
        <v>0</v>
      </c>
      <c r="U163" s="13" t="s">
        <v>33</v>
      </c>
      <c r="V163" s="13" t="str">
        <f t="shared" si="16"/>
        <v>No</v>
      </c>
      <c r="W163" s="13" t="str">
        <f t="shared" si="16"/>
        <v>Yes</v>
      </c>
      <c r="X163" s="13" t="str">
        <f t="shared" si="16"/>
        <v>Yes</v>
      </c>
      <c r="Y163" s="13" t="str">
        <f t="shared" si="16"/>
        <v>No</v>
      </c>
      <c r="Z163" s="13" t="str">
        <f t="shared" si="16"/>
        <v>No</v>
      </c>
      <c r="AA163" s="71" t="e">
        <f>+(Table1[[#This Row],[Everyday price]]-Table1[[#This Row],[Promo Price]])/Table1[[#This Row],[Everyday price]]</f>
        <v>#DIV/0!</v>
      </c>
      <c r="AC163" s="69"/>
      <c r="AH163" s="6"/>
      <c r="AJ163" s="116" t="str">
        <f>IF(AND(ISNUMBER(Table1[[#This Row],[Lift  ]]),ISNUMBER(Table1[[#This Row],[Plan lift, %]]),Table1[[#This Row],[Plan lift, %]]&lt;&gt;0),Table1[[#This Row],[Lift  ]]-Table1[[#This Row],[Plan lift, %]],"")</f>
        <v/>
      </c>
      <c r="AK163" s="116"/>
    </row>
    <row r="164" spans="1:39" x14ac:dyDescent="0.35">
      <c r="A164" t="s">
        <v>358</v>
      </c>
      <c r="B164" s="12">
        <v>1166</v>
      </c>
      <c r="C164" s="21" t="s">
        <v>35</v>
      </c>
      <c r="D164" s="13" t="s">
        <v>1232</v>
      </c>
      <c r="F164" s="21" t="s">
        <v>359</v>
      </c>
      <c r="G164" t="s">
        <v>44</v>
      </c>
      <c r="H164" s="14">
        <v>46266</v>
      </c>
      <c r="I164" s="14">
        <v>46295</v>
      </c>
      <c r="J164" s="13" t="s">
        <v>24</v>
      </c>
      <c r="L164" s="2">
        <v>2820</v>
      </c>
      <c r="M164" s="2">
        <v>3600</v>
      </c>
      <c r="N164" s="2">
        <v>540</v>
      </c>
      <c r="O164" s="2">
        <v>4140</v>
      </c>
      <c r="P164" s="3">
        <v>0.15</v>
      </c>
      <c r="Q164" s="3"/>
      <c r="R164" s="2">
        <v>0</v>
      </c>
      <c r="S164" s="3">
        <v>0</v>
      </c>
      <c r="T164" s="2">
        <v>0</v>
      </c>
      <c r="U164" s="13" t="s">
        <v>33</v>
      </c>
      <c r="V164" s="13" t="str">
        <f t="shared" si="16"/>
        <v>No</v>
      </c>
      <c r="W164" s="13" t="str">
        <f t="shared" si="16"/>
        <v>Yes</v>
      </c>
      <c r="X164" s="13" t="str">
        <f t="shared" si="16"/>
        <v>Yes</v>
      </c>
      <c r="Y164" s="13" t="str">
        <f t="shared" si="16"/>
        <v>No</v>
      </c>
      <c r="Z164" s="13" t="str">
        <f t="shared" si="16"/>
        <v>No</v>
      </c>
      <c r="AA164" s="71" t="e">
        <f>+(Table1[[#This Row],[Everyday price]]-Table1[[#This Row],[Promo Price]])/Table1[[#This Row],[Everyday price]]</f>
        <v>#DIV/0!</v>
      </c>
      <c r="AC164" s="69"/>
      <c r="AH164" s="6"/>
      <c r="AJ164" s="116" t="str">
        <f>IF(AND(ISNUMBER(Table1[[#This Row],[Lift  ]]),ISNUMBER(Table1[[#This Row],[Plan lift, %]]),Table1[[#This Row],[Plan lift, %]]&lt;&gt;0),Table1[[#This Row],[Lift  ]]-Table1[[#This Row],[Plan lift, %]],"")</f>
        <v/>
      </c>
      <c r="AK164" s="116"/>
    </row>
    <row r="165" spans="1:39" x14ac:dyDescent="0.35">
      <c r="A165" t="s">
        <v>1043</v>
      </c>
      <c r="B165" s="12">
        <v>1167</v>
      </c>
      <c r="C165" s="21" t="s">
        <v>35</v>
      </c>
      <c r="D165" s="13" t="s">
        <v>1232</v>
      </c>
      <c r="F165" s="21" t="s">
        <v>1044</v>
      </c>
      <c r="G165" t="s">
        <v>44</v>
      </c>
      <c r="H165" s="14">
        <v>46296</v>
      </c>
      <c r="I165" s="14">
        <v>46326</v>
      </c>
      <c r="J165" s="13" t="s">
        <v>24</v>
      </c>
      <c r="L165" s="2">
        <v>2139</v>
      </c>
      <c r="M165" s="2">
        <v>3720</v>
      </c>
      <c r="N165" s="2">
        <v>558</v>
      </c>
      <c r="O165" s="2">
        <v>4278</v>
      </c>
      <c r="P165" s="3">
        <v>0.15</v>
      </c>
      <c r="Q165" s="3"/>
      <c r="R165" s="2">
        <v>0</v>
      </c>
      <c r="S165" s="3">
        <v>0</v>
      </c>
      <c r="T165" s="2">
        <v>0</v>
      </c>
      <c r="U165" s="13" t="s">
        <v>25</v>
      </c>
      <c r="V165" s="13" t="str">
        <f t="shared" si="16"/>
        <v>No</v>
      </c>
      <c r="W165" s="13" t="str">
        <f t="shared" si="16"/>
        <v>Yes</v>
      </c>
      <c r="X165" s="13" t="str">
        <f t="shared" si="16"/>
        <v>No</v>
      </c>
      <c r="Y165" s="13" t="str">
        <f t="shared" si="16"/>
        <v>No</v>
      </c>
      <c r="Z165" s="13" t="str">
        <f t="shared" si="16"/>
        <v>No</v>
      </c>
      <c r="AA165" s="71" t="e">
        <f>+(Table1[[#This Row],[Everyday price]]-Table1[[#This Row],[Promo Price]])/Table1[[#This Row],[Everyday price]]</f>
        <v>#DIV/0!</v>
      </c>
      <c r="AC165" s="69"/>
      <c r="AH165" s="6"/>
      <c r="AJ165" s="116" t="str">
        <f>IF(AND(ISNUMBER(Table1[[#This Row],[Lift  ]]),ISNUMBER(Table1[[#This Row],[Plan lift, %]]),Table1[[#This Row],[Plan lift, %]]&lt;&gt;0),Table1[[#This Row],[Lift  ]]-Table1[[#This Row],[Plan lift, %]],"")</f>
        <v/>
      </c>
      <c r="AK165" s="116"/>
    </row>
    <row r="166" spans="1:39" x14ac:dyDescent="0.35">
      <c r="A166" t="s">
        <v>449</v>
      </c>
      <c r="B166" s="12">
        <v>1537</v>
      </c>
      <c r="C166" s="21" t="s">
        <v>450</v>
      </c>
      <c r="D166" s="13" t="s">
        <v>1232</v>
      </c>
      <c r="F166" s="21" t="s">
        <v>451</v>
      </c>
      <c r="G166" t="s">
        <v>23</v>
      </c>
      <c r="H166" s="14">
        <v>46139</v>
      </c>
      <c r="I166" s="14">
        <v>46167</v>
      </c>
      <c r="J166" s="13" t="s">
        <v>24</v>
      </c>
      <c r="L166" s="2">
        <v>1507.3</v>
      </c>
      <c r="M166" s="2">
        <v>2009.71</v>
      </c>
      <c r="N166" s="2">
        <v>1004.85</v>
      </c>
      <c r="O166" s="2">
        <v>3014.56</v>
      </c>
      <c r="P166" s="3">
        <v>0.5</v>
      </c>
      <c r="Q166" s="3"/>
      <c r="R166" s="2">
        <v>0</v>
      </c>
      <c r="S166" s="3">
        <v>0</v>
      </c>
      <c r="T166" s="2">
        <v>725.26</v>
      </c>
      <c r="U166" s="13" t="s">
        <v>25</v>
      </c>
      <c r="V166" s="13" t="str">
        <f t="shared" si="16"/>
        <v>No</v>
      </c>
      <c r="W166" s="13" t="str">
        <f t="shared" si="16"/>
        <v>Yes</v>
      </c>
      <c r="X166" s="13" t="str">
        <f t="shared" si="16"/>
        <v>No</v>
      </c>
      <c r="Y166" s="13" t="str">
        <f t="shared" si="16"/>
        <v>No</v>
      </c>
      <c r="Z166" s="13" t="str">
        <f t="shared" si="16"/>
        <v>No</v>
      </c>
      <c r="AA166" s="71" t="e">
        <f>+(Table1[[#This Row],[Everyday price]]-Table1[[#This Row],[Promo Price]])/Table1[[#This Row],[Everyday price]]</f>
        <v>#DIV/0!</v>
      </c>
      <c r="AC166" s="69"/>
      <c r="AH166" s="6"/>
      <c r="AJ166" s="116" t="str">
        <f>IF(AND(ISNUMBER(Table1[[#This Row],[Lift  ]]),ISNUMBER(Table1[[#This Row],[Plan lift, %]]),Table1[[#This Row],[Plan lift, %]]&lt;&gt;0),Table1[[#This Row],[Lift  ]]-Table1[[#This Row],[Plan lift, %]],"")</f>
        <v/>
      </c>
      <c r="AK166" s="116"/>
    </row>
    <row r="167" spans="1:39" x14ac:dyDescent="0.35">
      <c r="A167" t="s">
        <v>568</v>
      </c>
      <c r="B167" s="82" t="s">
        <v>1446</v>
      </c>
      <c r="C167" s="21" t="s">
        <v>159</v>
      </c>
      <c r="D167" s="13" t="s">
        <v>1232</v>
      </c>
      <c r="F167" s="21" t="s">
        <v>569</v>
      </c>
      <c r="G167" t="s">
        <v>23</v>
      </c>
      <c r="H167" s="14">
        <v>46054</v>
      </c>
      <c r="I167" s="14">
        <v>46081</v>
      </c>
      <c r="J167" s="13" t="s">
        <v>24</v>
      </c>
      <c r="L167" s="2">
        <v>1612.58</v>
      </c>
      <c r="M167" s="2">
        <v>3794.31</v>
      </c>
      <c r="N167" s="2">
        <v>948.57</v>
      </c>
      <c r="O167" s="2">
        <v>4742.88</v>
      </c>
      <c r="P167" s="3">
        <v>0.25</v>
      </c>
      <c r="Q167" s="3"/>
      <c r="R167" s="2">
        <v>122.17</v>
      </c>
      <c r="S167" s="3">
        <v>0.13</v>
      </c>
      <c r="T167" s="2">
        <v>1043.54</v>
      </c>
      <c r="U167" s="13" t="s">
        <v>25</v>
      </c>
      <c r="V167" s="13" t="str">
        <f t="shared" si="16"/>
        <v>No</v>
      </c>
      <c r="W167" s="13" t="str">
        <f t="shared" si="16"/>
        <v>Yes</v>
      </c>
      <c r="X167" s="13" t="str">
        <f t="shared" si="16"/>
        <v>No</v>
      </c>
      <c r="Y167" s="13" t="str">
        <f t="shared" si="16"/>
        <v>No</v>
      </c>
      <c r="Z167" s="13" t="str">
        <f t="shared" si="16"/>
        <v>No</v>
      </c>
      <c r="AA167" s="71">
        <f>+(Table1[[#This Row],[Everyday price]]-Table1[[#This Row],[Promo Price]])/Table1[[#This Row],[Everyday price]]</f>
        <v>0.2297297297297298</v>
      </c>
      <c r="AB167" s="69">
        <v>2.2799999999999998</v>
      </c>
      <c r="AC167" s="69">
        <v>2.96</v>
      </c>
      <c r="AD167" s="41" t="s">
        <v>1257</v>
      </c>
      <c r="AE167" s="5">
        <v>46048</v>
      </c>
      <c r="AF167" s="5">
        <v>46110</v>
      </c>
      <c r="AG167" s="20">
        <v>6873</v>
      </c>
      <c r="AH167" s="6">
        <v>2283</v>
      </c>
      <c r="AI167" s="11">
        <f>Table1[[#This Row],[Incremental Units]]/Table1[[#This Row],[Base Units]]</f>
        <v>0.3321693583587953</v>
      </c>
      <c r="AJ167" s="11">
        <f>IF(AND(ISNUMBER(Table1[[#This Row],[Lift  ]]),ISNUMBER(Table1[[#This Row],[Plan lift, %]]),Table1[[#This Row],[Plan lift, %]]&lt;&gt;0),Table1[[#This Row],[Lift  ]]-Table1[[#This Row],[Plan lift, %]],"")</f>
        <v>8.2169358358795297E-2</v>
      </c>
      <c r="AK167" s="116"/>
      <c r="AL167" s="13" t="s">
        <v>1434</v>
      </c>
      <c r="AM167" t="s">
        <v>1448</v>
      </c>
    </row>
    <row r="168" spans="1:39" x14ac:dyDescent="0.35">
      <c r="A168" t="s">
        <v>568</v>
      </c>
      <c r="B168" s="82" t="s">
        <v>1447</v>
      </c>
      <c r="C168" s="21" t="s">
        <v>159</v>
      </c>
      <c r="D168" s="13" t="s">
        <v>1232</v>
      </c>
      <c r="F168" s="21" t="s">
        <v>569</v>
      </c>
      <c r="G168" t="s">
        <v>23</v>
      </c>
      <c r="H168" s="14">
        <v>46054</v>
      </c>
      <c r="I168" s="14">
        <v>46081</v>
      </c>
      <c r="J168" s="13" t="s">
        <v>29</v>
      </c>
      <c r="L168" s="2">
        <v>870.56</v>
      </c>
      <c r="M168" s="2">
        <v>696.45</v>
      </c>
      <c r="N168" s="2">
        <v>174.11</v>
      </c>
      <c r="O168" s="2">
        <v>870.56</v>
      </c>
      <c r="P168" s="3">
        <v>0.25</v>
      </c>
      <c r="Q168" s="3"/>
      <c r="R168" s="2">
        <v>13.21</v>
      </c>
      <c r="S168" s="3">
        <v>0.13</v>
      </c>
      <c r="T168" s="2">
        <v>115.78999999999999</v>
      </c>
      <c r="U168" s="13" t="s">
        <v>25</v>
      </c>
      <c r="V168" s="13" t="str">
        <f t="shared" si="16"/>
        <v>No</v>
      </c>
      <c r="W168" s="13" t="str">
        <f t="shared" si="16"/>
        <v>Yes</v>
      </c>
      <c r="X168" s="13" t="str">
        <f t="shared" si="16"/>
        <v>No</v>
      </c>
      <c r="Y168" s="13" t="str">
        <f t="shared" si="16"/>
        <v>No</v>
      </c>
      <c r="Z168" s="13" t="str">
        <f t="shared" si="16"/>
        <v>No</v>
      </c>
      <c r="AA168" s="71">
        <f>+(Table1[[#This Row],[Everyday price]]-Table1[[#This Row],[Promo Price]])/Table1[[#This Row],[Everyday price]]</f>
        <v>8.1952920662598183E-2</v>
      </c>
      <c r="AB168" s="69">
        <v>10.53</v>
      </c>
      <c r="AC168" s="69">
        <v>11.47</v>
      </c>
      <c r="AD168" s="41" t="s">
        <v>1257</v>
      </c>
      <c r="AE168" s="5">
        <v>46048</v>
      </c>
      <c r="AF168" s="5">
        <v>46075</v>
      </c>
      <c r="AG168" s="20">
        <v>527</v>
      </c>
      <c r="AH168" s="6">
        <v>114</v>
      </c>
      <c r="AI168" s="11">
        <f>Table1[[#This Row],[Incremental Units]]/Table1[[#This Row],[Base Units]]</f>
        <v>0.21631878557874762</v>
      </c>
      <c r="AJ168" s="11">
        <f>IF(AND(ISNUMBER(Table1[[#This Row],[Lift  ]]),ISNUMBER(Table1[[#This Row],[Plan lift, %]]),Table1[[#This Row],[Plan lift, %]]&lt;&gt;0),Table1[[#This Row],[Lift  ]]-Table1[[#This Row],[Plan lift, %]],"")</f>
        <v>-3.3681214421252381E-2</v>
      </c>
      <c r="AK168" s="116"/>
      <c r="AL168" s="13" t="s">
        <v>1434</v>
      </c>
    </row>
    <row r="169" spans="1:39" x14ac:dyDescent="0.35">
      <c r="A169" t="s">
        <v>1129</v>
      </c>
      <c r="B169" s="12">
        <v>1440</v>
      </c>
      <c r="C169" s="21" t="s">
        <v>159</v>
      </c>
      <c r="D169" s="13" t="s">
        <v>1232</v>
      </c>
      <c r="F169" s="21" t="s">
        <v>1130</v>
      </c>
      <c r="G169" t="s">
        <v>23</v>
      </c>
      <c r="H169" s="14">
        <v>46143</v>
      </c>
      <c r="I169" s="14">
        <v>46173</v>
      </c>
      <c r="J169" s="13" t="s">
        <v>151</v>
      </c>
      <c r="L169" s="2">
        <v>0</v>
      </c>
      <c r="M169" s="2">
        <v>0</v>
      </c>
      <c r="N169" s="2">
        <v>0</v>
      </c>
      <c r="O169" s="2">
        <v>0</v>
      </c>
      <c r="P169" s="3">
        <v>0</v>
      </c>
      <c r="Q169" s="3"/>
      <c r="R169" s="2">
        <v>0</v>
      </c>
      <c r="S169" s="3">
        <v>0</v>
      </c>
      <c r="T169" s="2">
        <v>0</v>
      </c>
      <c r="U169" s="13" t="s">
        <v>152</v>
      </c>
      <c r="V169" s="13" t="str">
        <f t="shared" si="16"/>
        <v>No</v>
      </c>
      <c r="W169" s="13" t="str">
        <f t="shared" si="16"/>
        <v>No</v>
      </c>
      <c r="X169" s="13" t="str">
        <f t="shared" si="16"/>
        <v>No</v>
      </c>
      <c r="Y169" s="13" t="str">
        <f t="shared" si="16"/>
        <v>No</v>
      </c>
      <c r="Z169" s="13" t="str">
        <f t="shared" si="16"/>
        <v>No</v>
      </c>
      <c r="AA169" s="71" t="e">
        <f>+(Table1[[#This Row],[Everyday price]]-Table1[[#This Row],[Promo Price]])/Table1[[#This Row],[Everyday price]]</f>
        <v>#DIV/0!</v>
      </c>
      <c r="AC169" s="69"/>
      <c r="AH169" s="6"/>
      <c r="AJ169" s="116" t="str">
        <f>IF(AND(ISNUMBER(Table1[[#This Row],[Lift  ]]),ISNUMBER(Table1[[#This Row],[Plan lift, %]]),Table1[[#This Row],[Plan lift, %]]&lt;&gt;0),Table1[[#This Row],[Lift  ]]-Table1[[#This Row],[Plan lift, %]],"")</f>
        <v/>
      </c>
      <c r="AK169" s="116"/>
    </row>
    <row r="170" spans="1:39" x14ac:dyDescent="0.35">
      <c r="A170" t="s">
        <v>158</v>
      </c>
      <c r="B170" s="82" t="s">
        <v>1449</v>
      </c>
      <c r="C170" s="21" t="s">
        <v>159</v>
      </c>
      <c r="D170" s="13" t="s">
        <v>1232</v>
      </c>
      <c r="F170" s="21" t="s">
        <v>160</v>
      </c>
      <c r="G170" t="s">
        <v>23</v>
      </c>
      <c r="H170" s="14">
        <v>46143</v>
      </c>
      <c r="I170" s="14">
        <v>46173</v>
      </c>
      <c r="J170" s="13" t="s">
        <v>24</v>
      </c>
      <c r="L170" s="2">
        <v>1212.29</v>
      </c>
      <c r="M170" s="2">
        <v>2852.44</v>
      </c>
      <c r="N170" s="2">
        <v>713.12</v>
      </c>
      <c r="O170" s="2">
        <v>3565.56</v>
      </c>
      <c r="P170" s="3">
        <v>0.25</v>
      </c>
      <c r="Q170" s="3"/>
      <c r="R170" s="2">
        <v>33.21</v>
      </c>
      <c r="S170" s="3">
        <v>7.0000000000000007E-2</v>
      </c>
      <c r="T170" s="2">
        <v>485.25</v>
      </c>
      <c r="U170" s="13" t="s">
        <v>25</v>
      </c>
      <c r="V170" s="13" t="str">
        <f t="shared" si="16"/>
        <v>No</v>
      </c>
      <c r="W170" s="13" t="str">
        <f t="shared" si="16"/>
        <v>Yes</v>
      </c>
      <c r="X170" s="13" t="str">
        <f t="shared" si="16"/>
        <v>No</v>
      </c>
      <c r="Y170" s="13" t="str">
        <f t="shared" si="16"/>
        <v>No</v>
      </c>
      <c r="Z170" s="13" t="str">
        <f t="shared" si="16"/>
        <v>No</v>
      </c>
      <c r="AA170" s="71">
        <f>+(Table1[[#This Row],[Everyday price]]-Table1[[#This Row],[Promo Price]])/Table1[[#This Row],[Everyday price]]</f>
        <v>3.9007092198581519E-2</v>
      </c>
      <c r="AB170" s="69">
        <v>2.71</v>
      </c>
      <c r="AC170" s="69">
        <v>2.82</v>
      </c>
      <c r="AD170" s="41" t="s">
        <v>1257</v>
      </c>
      <c r="AE170" s="5">
        <v>46139</v>
      </c>
      <c r="AF170" s="5">
        <v>46152</v>
      </c>
      <c r="AG170" s="20">
        <v>1126</v>
      </c>
      <c r="AH170" s="6">
        <v>138</v>
      </c>
      <c r="AI170" s="11">
        <f>Table1[[#This Row],[Incremental Units]]/Table1[[#This Row],[Base Units]]</f>
        <v>0.12255772646536411</v>
      </c>
      <c r="AJ170" s="11">
        <f>IF(AND(ISNUMBER(Table1[[#This Row],[Lift  ]]),ISNUMBER(Table1[[#This Row],[Plan lift, %]]),Table1[[#This Row],[Plan lift, %]]&lt;&gt;0),Table1[[#This Row],[Lift  ]]-Table1[[#This Row],[Plan lift, %]],"")</f>
        <v>-0.12744227353463589</v>
      </c>
      <c r="AK170" s="116"/>
      <c r="AL170" s="13" t="s">
        <v>1434</v>
      </c>
    </row>
    <row r="171" spans="1:39" x14ac:dyDescent="0.35">
      <c r="A171" t="s">
        <v>158</v>
      </c>
      <c r="B171" s="82" t="s">
        <v>1450</v>
      </c>
      <c r="C171" s="21" t="s">
        <v>159</v>
      </c>
      <c r="D171" s="13" t="s">
        <v>1232</v>
      </c>
      <c r="F171" s="21" t="s">
        <v>160</v>
      </c>
      <c r="G171" t="s">
        <v>23</v>
      </c>
      <c r="H171" s="14">
        <v>46143</v>
      </c>
      <c r="I171" s="14">
        <v>46173</v>
      </c>
      <c r="J171" s="13" t="s">
        <v>29</v>
      </c>
      <c r="L171" s="2">
        <v>848.63</v>
      </c>
      <c r="M171" s="2">
        <v>678.9</v>
      </c>
      <c r="N171" s="2">
        <v>169.73</v>
      </c>
      <c r="O171" s="2">
        <v>848.63</v>
      </c>
      <c r="P171" s="3">
        <v>0.25</v>
      </c>
      <c r="Q171" s="3"/>
      <c r="R171" s="2">
        <v>18.739999999999998</v>
      </c>
      <c r="S171" s="3">
        <v>0.13</v>
      </c>
      <c r="T171" s="2">
        <v>159.12</v>
      </c>
      <c r="U171" s="13" t="s">
        <v>25</v>
      </c>
      <c r="V171" s="13" t="str">
        <f t="shared" si="16"/>
        <v>No</v>
      </c>
      <c r="W171" s="13" t="str">
        <f t="shared" si="16"/>
        <v>Yes</v>
      </c>
      <c r="X171" s="13" t="str">
        <f t="shared" si="16"/>
        <v>No</v>
      </c>
      <c r="Y171" s="13" t="str">
        <f t="shared" si="16"/>
        <v>No</v>
      </c>
      <c r="Z171" s="13" t="str">
        <f t="shared" si="16"/>
        <v>No</v>
      </c>
      <c r="AA171" s="71">
        <f>+(Table1[[#This Row],[Everyday price]]-Table1[[#This Row],[Promo Price]])/Table1[[#This Row],[Everyday price]]</f>
        <v>9.0081892629663346E-2</v>
      </c>
      <c r="AB171" s="69">
        <v>10</v>
      </c>
      <c r="AC171" s="69">
        <v>10.99</v>
      </c>
      <c r="AD171" s="41" t="s">
        <v>1257</v>
      </c>
      <c r="AE171" s="5">
        <v>46139</v>
      </c>
      <c r="AF171" s="5">
        <v>46152</v>
      </c>
      <c r="AG171" s="20">
        <v>314</v>
      </c>
      <c r="AH171" s="6">
        <v>74</v>
      </c>
      <c r="AI171" s="11">
        <f>Table1[[#This Row],[Incremental Units]]/Table1[[#This Row],[Base Units]]</f>
        <v>0.2356687898089172</v>
      </c>
      <c r="AJ171" s="11">
        <f>IF(AND(ISNUMBER(Table1[[#This Row],[Lift  ]]),ISNUMBER(Table1[[#This Row],[Plan lift, %]]),Table1[[#This Row],[Plan lift, %]]&lt;&gt;0),Table1[[#This Row],[Lift  ]]-Table1[[#This Row],[Plan lift, %]],"")</f>
        <v>-1.4331210191082799E-2</v>
      </c>
      <c r="AK171" s="116"/>
      <c r="AL171" s="13" t="s">
        <v>1434</v>
      </c>
    </row>
    <row r="172" spans="1:39" x14ac:dyDescent="0.35">
      <c r="A172" t="s">
        <v>599</v>
      </c>
      <c r="B172" s="12" t="s">
        <v>1452</v>
      </c>
      <c r="C172" s="21" t="s">
        <v>159</v>
      </c>
      <c r="D172" s="13" t="s">
        <v>1232</v>
      </c>
      <c r="F172" s="21" t="s">
        <v>600</v>
      </c>
      <c r="G172" t="s">
        <v>23</v>
      </c>
      <c r="H172" s="14">
        <v>46204</v>
      </c>
      <c r="I172" s="14">
        <v>46234</v>
      </c>
      <c r="J172" s="13" t="s">
        <v>24</v>
      </c>
      <c r="L172" s="2">
        <v>1212.29</v>
      </c>
      <c r="M172" s="2">
        <v>2852.44</v>
      </c>
      <c r="N172" s="2">
        <v>713.12</v>
      </c>
      <c r="O172" s="2">
        <v>3565.56</v>
      </c>
      <c r="P172" s="3">
        <v>0.25</v>
      </c>
      <c r="Q172" s="3"/>
      <c r="R172" s="2">
        <v>-0.01</v>
      </c>
      <c r="S172" s="3">
        <v>0</v>
      </c>
      <c r="T172" s="2">
        <v>143.91</v>
      </c>
      <c r="U172" s="13" t="s">
        <v>25</v>
      </c>
      <c r="V172" s="13" t="str">
        <f t="shared" ref="V172:Z181" si="17">IF(ISNUMBER(SEARCH(V$1,$U172)),"Yes","No")</f>
        <v>No</v>
      </c>
      <c r="W172" s="13" t="str">
        <f t="shared" si="17"/>
        <v>Yes</v>
      </c>
      <c r="X172" s="13" t="str">
        <f t="shared" si="17"/>
        <v>No</v>
      </c>
      <c r="Y172" s="13" t="str">
        <f t="shared" si="17"/>
        <v>No</v>
      </c>
      <c r="Z172" s="13" t="str">
        <f t="shared" si="17"/>
        <v>No</v>
      </c>
      <c r="AA172" s="71" t="e">
        <f>+(Table1[[#This Row],[Everyday price]]-Table1[[#This Row],[Promo Price]])/Table1[[#This Row],[Everyday price]]</f>
        <v>#DIV/0!</v>
      </c>
      <c r="AC172" s="69"/>
      <c r="AH172" s="6"/>
      <c r="AJ172" s="116" t="str">
        <f>IF(AND(ISNUMBER(Table1[[#This Row],[Lift  ]]),ISNUMBER(Table1[[#This Row],[Plan lift, %]]),Table1[[#This Row],[Plan lift, %]]&lt;&gt;0),Table1[[#This Row],[Lift  ]]-Table1[[#This Row],[Plan lift, %]],"")</f>
        <v/>
      </c>
      <c r="AK172" s="116"/>
      <c r="AM172" t="s">
        <v>1454</v>
      </c>
    </row>
    <row r="173" spans="1:39" x14ac:dyDescent="0.35">
      <c r="A173" t="s">
        <v>599</v>
      </c>
      <c r="B173" s="12" t="s">
        <v>1453</v>
      </c>
      <c r="C173" s="21" t="s">
        <v>159</v>
      </c>
      <c r="D173" s="13" t="s">
        <v>1232</v>
      </c>
      <c r="F173" s="21" t="s">
        <v>600</v>
      </c>
      <c r="G173" t="s">
        <v>23</v>
      </c>
      <c r="H173" s="14">
        <v>46204</v>
      </c>
      <c r="I173" s="14">
        <v>46234</v>
      </c>
      <c r="J173" s="13" t="s">
        <v>29</v>
      </c>
      <c r="L173" s="2">
        <v>848.63</v>
      </c>
      <c r="M173" s="2">
        <v>678.9</v>
      </c>
      <c r="N173" s="2">
        <v>169.73</v>
      </c>
      <c r="O173" s="2">
        <v>848.63</v>
      </c>
      <c r="P173" s="3">
        <v>0.25</v>
      </c>
      <c r="Q173" s="3"/>
      <c r="R173" s="2">
        <v>0</v>
      </c>
      <c r="S173" s="3">
        <v>0</v>
      </c>
      <c r="T173" s="2">
        <v>36.6</v>
      </c>
      <c r="U173" s="13" t="s">
        <v>25</v>
      </c>
      <c r="V173" s="13" t="str">
        <f t="shared" si="17"/>
        <v>No</v>
      </c>
      <c r="W173" s="13" t="str">
        <f t="shared" si="17"/>
        <v>Yes</v>
      </c>
      <c r="X173" s="13" t="str">
        <f t="shared" si="17"/>
        <v>No</v>
      </c>
      <c r="Y173" s="13" t="str">
        <f t="shared" si="17"/>
        <v>No</v>
      </c>
      <c r="Z173" s="13" t="str">
        <f t="shared" si="17"/>
        <v>No</v>
      </c>
      <c r="AA173" s="71" t="e">
        <f>+(Table1[[#This Row],[Everyday price]]-Table1[[#This Row],[Promo Price]])/Table1[[#This Row],[Everyday price]]</f>
        <v>#DIV/0!</v>
      </c>
      <c r="AC173" s="69"/>
      <c r="AH173" s="6"/>
      <c r="AJ173" s="116" t="str">
        <f>IF(AND(ISNUMBER(Table1[[#This Row],[Lift  ]]),ISNUMBER(Table1[[#This Row],[Plan lift, %]]),Table1[[#This Row],[Plan lift, %]]&lt;&gt;0),Table1[[#This Row],[Lift  ]]-Table1[[#This Row],[Plan lift, %]],"")</f>
        <v/>
      </c>
      <c r="AK173" s="116"/>
      <c r="AM173" t="s">
        <v>1454</v>
      </c>
    </row>
    <row r="174" spans="1:39" x14ac:dyDescent="0.35">
      <c r="A174" t="s">
        <v>728</v>
      </c>
      <c r="B174" s="12" t="s">
        <v>1713</v>
      </c>
      <c r="C174" s="21" t="s">
        <v>159</v>
      </c>
      <c r="D174" s="13" t="s">
        <v>1232</v>
      </c>
      <c r="F174" s="21" t="s">
        <v>729</v>
      </c>
      <c r="G174" t="s">
        <v>44</v>
      </c>
      <c r="H174" s="14">
        <v>46266</v>
      </c>
      <c r="I174" s="14">
        <v>46295</v>
      </c>
      <c r="J174" s="13" t="s">
        <v>24</v>
      </c>
      <c r="L174" s="2">
        <v>1173.17</v>
      </c>
      <c r="M174" s="2">
        <v>2760.42</v>
      </c>
      <c r="N174" s="2">
        <v>690.1</v>
      </c>
      <c r="O174" s="2">
        <v>3450.52</v>
      </c>
      <c r="P174" s="3">
        <v>0.25</v>
      </c>
      <c r="Q174" s="3"/>
      <c r="R174" s="2">
        <v>0</v>
      </c>
      <c r="S174" s="3">
        <v>0</v>
      </c>
      <c r="T174" s="2">
        <v>0</v>
      </c>
      <c r="U174" s="13" t="s">
        <v>25</v>
      </c>
      <c r="V174" s="13" t="str">
        <f t="shared" si="17"/>
        <v>No</v>
      </c>
      <c r="W174" s="13" t="str">
        <f t="shared" si="17"/>
        <v>Yes</v>
      </c>
      <c r="X174" s="13" t="str">
        <f t="shared" si="17"/>
        <v>No</v>
      </c>
      <c r="Y174" s="13" t="str">
        <f t="shared" si="17"/>
        <v>No</v>
      </c>
      <c r="Z174" s="13" t="str">
        <f t="shared" si="17"/>
        <v>No</v>
      </c>
      <c r="AA174" s="71" t="e">
        <f>+(Table1[[#This Row],[Everyday price]]-Table1[[#This Row],[Promo Price]])/Table1[[#This Row],[Everyday price]]</f>
        <v>#DIV/0!</v>
      </c>
      <c r="AC174" s="69"/>
      <c r="AH174" s="6"/>
      <c r="AJ174" s="116" t="str">
        <f>IF(AND(ISNUMBER(Table1[[#This Row],[Lift  ]]),ISNUMBER(Table1[[#This Row],[Plan lift, %]]),Table1[[#This Row],[Plan lift, %]]&lt;&gt;0),Table1[[#This Row],[Lift  ]]-Table1[[#This Row],[Plan lift, %]],"")</f>
        <v/>
      </c>
      <c r="AK174" s="116"/>
    </row>
    <row r="175" spans="1:39" x14ac:dyDescent="0.35">
      <c r="A175" t="s">
        <v>728</v>
      </c>
      <c r="B175" s="12" t="s">
        <v>1714</v>
      </c>
      <c r="C175" s="21" t="s">
        <v>159</v>
      </c>
      <c r="D175" s="13" t="s">
        <v>1232</v>
      </c>
      <c r="F175" s="21" t="s">
        <v>729</v>
      </c>
      <c r="G175" t="s">
        <v>44</v>
      </c>
      <c r="H175" s="14">
        <v>46266</v>
      </c>
      <c r="I175" s="14">
        <v>46295</v>
      </c>
      <c r="J175" s="13" t="s">
        <v>29</v>
      </c>
      <c r="L175" s="2">
        <v>821.25</v>
      </c>
      <c r="M175" s="2">
        <v>657</v>
      </c>
      <c r="N175" s="2">
        <v>164.25</v>
      </c>
      <c r="O175" s="2">
        <v>821.25</v>
      </c>
      <c r="P175" s="3">
        <v>0.25</v>
      </c>
      <c r="Q175" s="3"/>
      <c r="R175" s="2">
        <v>0</v>
      </c>
      <c r="S175" s="3">
        <v>0</v>
      </c>
      <c r="T175" s="2">
        <v>0</v>
      </c>
      <c r="U175" s="13" t="s">
        <v>25</v>
      </c>
      <c r="V175" s="13" t="str">
        <f t="shared" si="17"/>
        <v>No</v>
      </c>
      <c r="W175" s="13" t="str">
        <f t="shared" si="17"/>
        <v>Yes</v>
      </c>
      <c r="X175" s="13" t="str">
        <f t="shared" si="17"/>
        <v>No</v>
      </c>
      <c r="Y175" s="13" t="str">
        <f t="shared" si="17"/>
        <v>No</v>
      </c>
      <c r="Z175" s="13" t="str">
        <f t="shared" si="17"/>
        <v>No</v>
      </c>
      <c r="AA175" s="71" t="e">
        <f>+(Table1[[#This Row],[Everyday price]]-Table1[[#This Row],[Promo Price]])/Table1[[#This Row],[Everyday price]]</f>
        <v>#DIV/0!</v>
      </c>
      <c r="AC175" s="69"/>
      <c r="AH175" s="6"/>
      <c r="AJ175" s="116" t="str">
        <f>IF(AND(ISNUMBER(Table1[[#This Row],[Lift  ]]),ISNUMBER(Table1[[#This Row],[Plan lift, %]]),Table1[[#This Row],[Plan lift, %]]&lt;&gt;0),Table1[[#This Row],[Lift  ]]-Table1[[#This Row],[Plan lift, %]],"")</f>
        <v/>
      </c>
      <c r="AK175" s="116"/>
    </row>
    <row r="176" spans="1:39" x14ac:dyDescent="0.35">
      <c r="A176" t="s">
        <v>940</v>
      </c>
      <c r="B176" s="13">
        <v>1225</v>
      </c>
      <c r="C176" s="21" t="s">
        <v>145</v>
      </c>
      <c r="D176" s="13" t="s">
        <v>1230</v>
      </c>
      <c r="E176" t="s">
        <v>146</v>
      </c>
      <c r="F176" t="s">
        <v>941</v>
      </c>
      <c r="G176" t="s">
        <v>23</v>
      </c>
      <c r="H176" s="1">
        <v>46023</v>
      </c>
      <c r="I176" s="1">
        <v>46053</v>
      </c>
      <c r="J176" s="13" t="s">
        <v>24</v>
      </c>
      <c r="L176" s="2">
        <v>38118.019999999997</v>
      </c>
      <c r="M176" s="2">
        <v>64900.87</v>
      </c>
      <c r="N176" s="2">
        <v>9735.14</v>
      </c>
      <c r="O176" s="2">
        <v>74636.009999999995</v>
      </c>
      <c r="P176" s="3">
        <v>0.15</v>
      </c>
      <c r="Q176" s="3"/>
      <c r="R176" s="2">
        <v>0</v>
      </c>
      <c r="S176" s="3">
        <v>0</v>
      </c>
      <c r="T176" s="2">
        <v>0</v>
      </c>
      <c r="U176" t="s">
        <v>33</v>
      </c>
      <c r="V176" s="13" t="str">
        <f t="shared" si="17"/>
        <v>No</v>
      </c>
      <c r="W176" s="13" t="str">
        <f t="shared" si="17"/>
        <v>Yes</v>
      </c>
      <c r="X176" s="13" t="str">
        <f t="shared" si="17"/>
        <v>Yes</v>
      </c>
      <c r="Y176" s="13" t="str">
        <f t="shared" si="17"/>
        <v>No</v>
      </c>
      <c r="Z176" s="13" t="str">
        <f t="shared" si="17"/>
        <v>No</v>
      </c>
      <c r="AA176" s="71" t="e">
        <f>+(Table1[[#This Row],[Everyday price]]-Table1[[#This Row],[Promo Price]])/Table1[[#This Row],[Everyday price]]</f>
        <v>#DIV/0!</v>
      </c>
      <c r="AC176" s="69"/>
      <c r="AD176" s="13"/>
      <c r="AH176" s="6"/>
      <c r="AJ176" s="116" t="str">
        <f>IF(AND(ISNUMBER(Table1[[#This Row],[Lift  ]]),ISNUMBER(Table1[[#This Row],[Plan lift, %]]),Table1[[#This Row],[Plan lift, %]]&lt;&gt;0),Table1[[#This Row],[Lift  ]]-Table1[[#This Row],[Plan lift, %]],"")</f>
        <v/>
      </c>
      <c r="AK176" s="116"/>
    </row>
    <row r="177" spans="1:39" x14ac:dyDescent="0.35">
      <c r="A177" t="s">
        <v>1048</v>
      </c>
      <c r="B177" s="13">
        <v>1226</v>
      </c>
      <c r="C177" s="21" t="s">
        <v>145</v>
      </c>
      <c r="D177" s="13" t="s">
        <v>1230</v>
      </c>
      <c r="E177" t="s">
        <v>146</v>
      </c>
      <c r="F177" t="s">
        <v>1049</v>
      </c>
      <c r="G177" t="s">
        <v>23</v>
      </c>
      <c r="H177" s="1">
        <v>46054</v>
      </c>
      <c r="I177" s="1">
        <v>46081</v>
      </c>
      <c r="J177" s="13" t="s">
        <v>24</v>
      </c>
      <c r="L177" s="2">
        <v>33704.26</v>
      </c>
      <c r="M177" s="2">
        <v>57224.800000000003</v>
      </c>
      <c r="N177" s="2">
        <v>8583.7199999999993</v>
      </c>
      <c r="O177" s="2">
        <v>65808.52</v>
      </c>
      <c r="P177" s="3">
        <v>0.15</v>
      </c>
      <c r="Q177" s="3"/>
      <c r="R177" s="2">
        <v>0</v>
      </c>
      <c r="S177" s="3">
        <v>0</v>
      </c>
      <c r="T177" s="2">
        <v>0</v>
      </c>
      <c r="U177" t="s">
        <v>33</v>
      </c>
      <c r="V177" s="13" t="str">
        <f t="shared" si="17"/>
        <v>No</v>
      </c>
      <c r="W177" s="13" t="str">
        <f t="shared" si="17"/>
        <v>Yes</v>
      </c>
      <c r="X177" s="13" t="str">
        <f t="shared" si="17"/>
        <v>Yes</v>
      </c>
      <c r="Y177" s="13" t="str">
        <f t="shared" si="17"/>
        <v>No</v>
      </c>
      <c r="Z177" s="13" t="str">
        <f t="shared" si="17"/>
        <v>No</v>
      </c>
      <c r="AA177" s="71" t="e">
        <f>+(Table1[[#This Row],[Everyday price]]-Table1[[#This Row],[Promo Price]])/Table1[[#This Row],[Everyday price]]</f>
        <v>#DIV/0!</v>
      </c>
      <c r="AC177" s="69"/>
      <c r="AD177" s="13"/>
      <c r="AH177" s="6"/>
      <c r="AJ177" s="116" t="str">
        <f>IF(AND(ISNUMBER(Table1[[#This Row],[Lift  ]]),ISNUMBER(Table1[[#This Row],[Plan lift, %]]),Table1[[#This Row],[Plan lift, %]]&lt;&gt;0),Table1[[#This Row],[Lift  ]]-Table1[[#This Row],[Plan lift, %]],"")</f>
        <v/>
      </c>
      <c r="AK177" s="116"/>
    </row>
    <row r="178" spans="1:39" x14ac:dyDescent="0.35">
      <c r="A178" t="s">
        <v>496</v>
      </c>
      <c r="B178" s="13">
        <v>1227</v>
      </c>
      <c r="C178" s="21" t="s">
        <v>145</v>
      </c>
      <c r="D178" s="13" t="s">
        <v>1230</v>
      </c>
      <c r="E178" t="s">
        <v>146</v>
      </c>
      <c r="F178" t="s">
        <v>497</v>
      </c>
      <c r="G178" t="s">
        <v>23</v>
      </c>
      <c r="H178" s="1">
        <v>46143</v>
      </c>
      <c r="I178" s="1">
        <v>46173</v>
      </c>
      <c r="J178" s="13" t="s">
        <v>24</v>
      </c>
      <c r="L178" s="2">
        <v>37229.72</v>
      </c>
      <c r="M178" s="2">
        <v>63356.03</v>
      </c>
      <c r="N178" s="2">
        <v>9503.4</v>
      </c>
      <c r="O178" s="2">
        <v>72859.429999999993</v>
      </c>
      <c r="P178" s="3">
        <v>0.15</v>
      </c>
      <c r="Q178" s="3"/>
      <c r="R178" s="2">
        <v>0</v>
      </c>
      <c r="S178" s="3">
        <v>0</v>
      </c>
      <c r="T178" s="2">
        <v>0</v>
      </c>
      <c r="U178" t="s">
        <v>33</v>
      </c>
      <c r="V178" s="13" t="str">
        <f t="shared" si="17"/>
        <v>No</v>
      </c>
      <c r="W178" s="13" t="str">
        <f t="shared" si="17"/>
        <v>Yes</v>
      </c>
      <c r="X178" s="13" t="str">
        <f t="shared" si="17"/>
        <v>Yes</v>
      </c>
      <c r="Y178" s="13" t="str">
        <f t="shared" si="17"/>
        <v>No</v>
      </c>
      <c r="Z178" s="13" t="str">
        <f t="shared" si="17"/>
        <v>No</v>
      </c>
      <c r="AA178" s="71" t="e">
        <f>+(Table1[[#This Row],[Everyday price]]-Table1[[#This Row],[Promo Price]])/Table1[[#This Row],[Everyday price]]</f>
        <v>#DIV/0!</v>
      </c>
      <c r="AC178" s="69"/>
      <c r="AD178" s="13"/>
      <c r="AH178" s="6"/>
      <c r="AJ178" s="116" t="str">
        <f>IF(AND(ISNUMBER(Table1[[#This Row],[Lift  ]]),ISNUMBER(Table1[[#This Row],[Plan lift, %]]),Table1[[#This Row],[Plan lift, %]]&lt;&gt;0),Table1[[#This Row],[Lift  ]]-Table1[[#This Row],[Plan lift, %]],"")</f>
        <v/>
      </c>
      <c r="AK178" s="116"/>
    </row>
    <row r="179" spans="1:39" x14ac:dyDescent="0.35">
      <c r="A179" t="s">
        <v>282</v>
      </c>
      <c r="B179" s="13">
        <v>1228</v>
      </c>
      <c r="C179" s="21" t="s">
        <v>145</v>
      </c>
      <c r="D179" s="13" t="s">
        <v>1230</v>
      </c>
      <c r="E179" t="s">
        <v>146</v>
      </c>
      <c r="F179" t="s">
        <v>283</v>
      </c>
      <c r="G179" t="s">
        <v>23</v>
      </c>
      <c r="H179" s="1">
        <v>46174</v>
      </c>
      <c r="I179" s="1">
        <v>46203</v>
      </c>
      <c r="J179" s="13" t="s">
        <v>24</v>
      </c>
      <c r="L179" s="2">
        <v>36054.559999999998</v>
      </c>
      <c r="M179" s="2">
        <v>61312.29</v>
      </c>
      <c r="N179" s="2">
        <v>9196.84</v>
      </c>
      <c r="O179" s="2">
        <v>70509.13</v>
      </c>
      <c r="P179" s="3">
        <v>0.15</v>
      </c>
      <c r="Q179" s="3"/>
      <c r="R179" s="2">
        <v>0</v>
      </c>
      <c r="S179" s="3">
        <v>0</v>
      </c>
      <c r="T179" s="2">
        <v>0</v>
      </c>
      <c r="U179" t="s">
        <v>33</v>
      </c>
      <c r="V179" s="13" t="str">
        <f t="shared" si="17"/>
        <v>No</v>
      </c>
      <c r="W179" s="13" t="str">
        <f t="shared" si="17"/>
        <v>Yes</v>
      </c>
      <c r="X179" s="13" t="str">
        <f t="shared" si="17"/>
        <v>Yes</v>
      </c>
      <c r="Y179" s="13" t="str">
        <f t="shared" si="17"/>
        <v>No</v>
      </c>
      <c r="Z179" s="13" t="str">
        <f t="shared" si="17"/>
        <v>No</v>
      </c>
      <c r="AA179" s="71" t="e">
        <f>+(Table1[[#This Row],[Everyday price]]-Table1[[#This Row],[Promo Price]])/Table1[[#This Row],[Everyday price]]</f>
        <v>#DIV/0!</v>
      </c>
      <c r="AC179" s="69"/>
      <c r="AD179" s="13"/>
      <c r="AH179" s="6"/>
      <c r="AJ179" s="116" t="str">
        <f>IF(AND(ISNUMBER(Table1[[#This Row],[Lift  ]]),ISNUMBER(Table1[[#This Row],[Plan lift, %]]),Table1[[#This Row],[Plan lift, %]]&lt;&gt;0),Table1[[#This Row],[Lift  ]]-Table1[[#This Row],[Plan lift, %]],"")</f>
        <v/>
      </c>
      <c r="AK179" s="116"/>
    </row>
    <row r="180" spans="1:39" x14ac:dyDescent="0.35">
      <c r="A180" t="s">
        <v>964</v>
      </c>
      <c r="B180" s="12">
        <v>1229</v>
      </c>
      <c r="C180" s="21" t="s">
        <v>145</v>
      </c>
      <c r="D180" s="13" t="s">
        <v>1230</v>
      </c>
      <c r="E180" t="s">
        <v>146</v>
      </c>
      <c r="F180" t="s">
        <v>965</v>
      </c>
      <c r="G180" t="s">
        <v>44</v>
      </c>
      <c r="H180" s="1">
        <v>46266</v>
      </c>
      <c r="I180" s="1">
        <v>46295</v>
      </c>
      <c r="J180" s="13" t="s">
        <v>24</v>
      </c>
      <c r="L180" s="2">
        <v>36054.559999999998</v>
      </c>
      <c r="M180" s="2">
        <v>61312.29</v>
      </c>
      <c r="N180" s="2">
        <v>9196.84</v>
      </c>
      <c r="O180" s="2">
        <v>70509.13</v>
      </c>
      <c r="P180" s="3">
        <v>0.15</v>
      </c>
      <c r="Q180" s="3"/>
      <c r="R180" s="2">
        <v>0</v>
      </c>
      <c r="S180" s="3">
        <v>0</v>
      </c>
      <c r="T180" s="2">
        <v>0</v>
      </c>
      <c r="U180" t="s">
        <v>33</v>
      </c>
      <c r="V180" s="13" t="str">
        <f t="shared" si="17"/>
        <v>No</v>
      </c>
      <c r="W180" s="13" t="str">
        <f t="shared" si="17"/>
        <v>Yes</v>
      </c>
      <c r="X180" s="13" t="str">
        <f t="shared" si="17"/>
        <v>Yes</v>
      </c>
      <c r="Y180" s="13" t="str">
        <f t="shared" si="17"/>
        <v>No</v>
      </c>
      <c r="Z180" s="13" t="str">
        <f t="shared" si="17"/>
        <v>No</v>
      </c>
      <c r="AA180" s="71" t="e">
        <f>+(Table1[[#This Row],[Everyday price]]-Table1[[#This Row],[Promo Price]])/Table1[[#This Row],[Everyday price]]</f>
        <v>#DIV/0!</v>
      </c>
      <c r="AC180" s="69"/>
      <c r="AD180" s="13"/>
      <c r="AH180" s="6"/>
      <c r="AJ180" s="116" t="str">
        <f>IF(AND(ISNUMBER(Table1[[#This Row],[Lift  ]]),ISNUMBER(Table1[[#This Row],[Plan lift, %]]),Table1[[#This Row],[Plan lift, %]]&lt;&gt;0),Table1[[#This Row],[Lift  ]]-Table1[[#This Row],[Plan lift, %]],"")</f>
        <v/>
      </c>
      <c r="AK180" s="116"/>
    </row>
    <row r="181" spans="1:39" x14ac:dyDescent="0.35">
      <c r="A181" t="s">
        <v>144</v>
      </c>
      <c r="B181" s="12">
        <v>1230</v>
      </c>
      <c r="C181" s="21" t="s">
        <v>145</v>
      </c>
      <c r="D181" s="13" t="s">
        <v>1230</v>
      </c>
      <c r="E181" t="s">
        <v>146</v>
      </c>
      <c r="F181" t="s">
        <v>147</v>
      </c>
      <c r="G181" t="s">
        <v>44</v>
      </c>
      <c r="H181" s="1">
        <v>46296</v>
      </c>
      <c r="I181" s="1">
        <v>46326</v>
      </c>
      <c r="J181" s="13" t="s">
        <v>24</v>
      </c>
      <c r="L181" s="2">
        <v>37229.72</v>
      </c>
      <c r="M181" s="2">
        <v>63356.03</v>
      </c>
      <c r="N181" s="2">
        <v>9503.4</v>
      </c>
      <c r="O181" s="2">
        <v>72859.429999999993</v>
      </c>
      <c r="P181" s="3">
        <v>0.15</v>
      </c>
      <c r="Q181" s="3"/>
      <c r="R181" s="2">
        <v>0</v>
      </c>
      <c r="S181" s="3">
        <v>0</v>
      </c>
      <c r="T181" s="2">
        <v>0</v>
      </c>
      <c r="U181" t="s">
        <v>33</v>
      </c>
      <c r="V181" s="13" t="str">
        <f t="shared" si="17"/>
        <v>No</v>
      </c>
      <c r="W181" s="13" t="str">
        <f t="shared" si="17"/>
        <v>Yes</v>
      </c>
      <c r="X181" s="13" t="str">
        <f t="shared" si="17"/>
        <v>Yes</v>
      </c>
      <c r="Y181" s="13" t="str">
        <f t="shared" si="17"/>
        <v>No</v>
      </c>
      <c r="Z181" s="13" t="str">
        <f t="shared" si="17"/>
        <v>No</v>
      </c>
      <c r="AA181" s="71" t="e">
        <f>+(Table1[[#This Row],[Everyday price]]-Table1[[#This Row],[Promo Price]])/Table1[[#This Row],[Everyday price]]</f>
        <v>#DIV/0!</v>
      </c>
      <c r="AC181" s="69"/>
      <c r="AD181" s="13"/>
      <c r="AH181" s="6"/>
      <c r="AJ181" s="116" t="str">
        <f>IF(AND(ISNUMBER(Table1[[#This Row],[Lift  ]]),ISNUMBER(Table1[[#This Row],[Plan lift, %]]),Table1[[#This Row],[Plan lift, %]]&lt;&gt;0),Table1[[#This Row],[Lift  ]]-Table1[[#This Row],[Plan lift, %]],"")</f>
        <v/>
      </c>
      <c r="AK181" s="116"/>
    </row>
    <row r="182" spans="1:39" x14ac:dyDescent="0.35">
      <c r="A182" t="s">
        <v>997</v>
      </c>
      <c r="B182" s="12">
        <v>1231</v>
      </c>
      <c r="C182" s="21" t="s">
        <v>38</v>
      </c>
      <c r="D182" s="13" t="s">
        <v>1230</v>
      </c>
      <c r="E182" t="s">
        <v>39</v>
      </c>
      <c r="F182" t="s">
        <v>998</v>
      </c>
      <c r="G182" t="s">
        <v>23</v>
      </c>
      <c r="H182" s="1">
        <v>46023</v>
      </c>
      <c r="I182" s="1">
        <v>46053</v>
      </c>
      <c r="J182" s="13" t="s">
        <v>24</v>
      </c>
      <c r="L182" s="2">
        <v>9185.5300000000007</v>
      </c>
      <c r="M182" s="2">
        <v>15107.81</v>
      </c>
      <c r="N182" s="2">
        <v>9064.66</v>
      </c>
      <c r="O182" s="2">
        <v>24172.47</v>
      </c>
      <c r="P182" s="3">
        <v>0.6</v>
      </c>
      <c r="Q182" s="3"/>
      <c r="R182" s="2">
        <v>292712.76</v>
      </c>
      <c r="S182" s="3">
        <v>19.68</v>
      </c>
      <c r="T182" s="2">
        <v>307584</v>
      </c>
      <c r="U182" t="s">
        <v>25</v>
      </c>
      <c r="V182" s="13" t="str">
        <f t="shared" ref="V182:Z191" si="18">IF(ISNUMBER(SEARCH(V$1,$U182)),"Yes","No")</f>
        <v>No</v>
      </c>
      <c r="W182" s="13" t="str">
        <f t="shared" si="18"/>
        <v>Yes</v>
      </c>
      <c r="X182" s="13" t="str">
        <f t="shared" si="18"/>
        <v>No</v>
      </c>
      <c r="Y182" s="13" t="str">
        <f t="shared" si="18"/>
        <v>No</v>
      </c>
      <c r="Z182" s="13" t="str">
        <f t="shared" si="18"/>
        <v>No</v>
      </c>
      <c r="AA182" s="71" t="e">
        <f>+(Table1[[#This Row],[Everyday price]]-Table1[[#This Row],[Promo Price]])/Table1[[#This Row],[Everyday price]]</f>
        <v>#DIV/0!</v>
      </c>
      <c r="AC182" s="69"/>
      <c r="AD182" s="13"/>
      <c r="AH182" s="6"/>
      <c r="AJ182" s="116" t="str">
        <f>IF(AND(ISNUMBER(Table1[[#This Row],[Lift  ]]),ISNUMBER(Table1[[#This Row],[Plan lift, %]]),Table1[[#This Row],[Plan lift, %]]&lt;&gt;0),Table1[[#This Row],[Lift  ]]-Table1[[#This Row],[Plan lift, %]],"")</f>
        <v/>
      </c>
      <c r="AK182" s="116"/>
    </row>
    <row r="183" spans="1:39" x14ac:dyDescent="0.35">
      <c r="A183" t="s">
        <v>333</v>
      </c>
      <c r="B183" s="12">
        <v>1235</v>
      </c>
      <c r="C183" s="21" t="s">
        <v>38</v>
      </c>
      <c r="D183" s="13" t="s">
        <v>1230</v>
      </c>
      <c r="E183" t="s">
        <v>39</v>
      </c>
      <c r="F183" t="s">
        <v>334</v>
      </c>
      <c r="G183" t="s">
        <v>23</v>
      </c>
      <c r="H183" s="1">
        <v>46054</v>
      </c>
      <c r="I183" s="1">
        <v>46081</v>
      </c>
      <c r="J183" s="13" t="s">
        <v>29</v>
      </c>
      <c r="L183" s="2">
        <v>9317.5300000000007</v>
      </c>
      <c r="M183" s="2">
        <v>8959.17</v>
      </c>
      <c r="N183" s="2">
        <v>2687.76</v>
      </c>
      <c r="O183" s="2">
        <v>11646.93</v>
      </c>
      <c r="P183" s="3">
        <v>0.3</v>
      </c>
      <c r="Q183" s="3"/>
      <c r="R183" s="2">
        <v>-331.05</v>
      </c>
      <c r="S183" s="3">
        <v>-0.13</v>
      </c>
      <c r="T183" s="2">
        <v>2304</v>
      </c>
      <c r="U183" t="s">
        <v>25</v>
      </c>
      <c r="V183" s="13" t="str">
        <f t="shared" si="18"/>
        <v>No</v>
      </c>
      <c r="W183" s="13" t="str">
        <f t="shared" si="18"/>
        <v>Yes</v>
      </c>
      <c r="X183" s="13" t="str">
        <f t="shared" si="18"/>
        <v>No</v>
      </c>
      <c r="Y183" s="13" t="str">
        <f t="shared" si="18"/>
        <v>No</v>
      </c>
      <c r="Z183" s="13" t="str">
        <f t="shared" si="18"/>
        <v>No</v>
      </c>
      <c r="AA183" s="71" t="e">
        <f>+(Table1[[#This Row],[Everyday price]]-Table1[[#This Row],[Promo Price]])/Table1[[#This Row],[Everyday price]]</f>
        <v>#DIV/0!</v>
      </c>
      <c r="AC183" s="69"/>
      <c r="AD183" s="13"/>
      <c r="AH183" s="6"/>
      <c r="AJ183" s="116" t="str">
        <f>IF(AND(ISNUMBER(Table1[[#This Row],[Lift  ]]),ISNUMBER(Table1[[#This Row],[Plan lift, %]]),Table1[[#This Row],[Plan lift, %]]&lt;&gt;0),Table1[[#This Row],[Lift  ]]-Table1[[#This Row],[Plan lift, %]],"")</f>
        <v/>
      </c>
      <c r="AK183" s="116"/>
    </row>
    <row r="184" spans="1:39" x14ac:dyDescent="0.35">
      <c r="A184" t="s">
        <v>37</v>
      </c>
      <c r="B184" s="12">
        <v>1232</v>
      </c>
      <c r="C184" s="21" t="s">
        <v>38</v>
      </c>
      <c r="D184" s="13" t="s">
        <v>1230</v>
      </c>
      <c r="E184" t="s">
        <v>39</v>
      </c>
      <c r="F184" t="s">
        <v>40</v>
      </c>
      <c r="G184" t="s">
        <v>23</v>
      </c>
      <c r="H184" s="1">
        <v>46113</v>
      </c>
      <c r="I184" s="1">
        <v>46142</v>
      </c>
      <c r="J184" s="13" t="s">
        <v>24</v>
      </c>
      <c r="L184" s="2">
        <v>4326.3</v>
      </c>
      <c r="M184" s="2">
        <v>14046.42</v>
      </c>
      <c r="N184" s="2">
        <v>5618.58</v>
      </c>
      <c r="O184" s="2">
        <v>19665</v>
      </c>
      <c r="P184" s="3">
        <v>0.4</v>
      </c>
      <c r="Q184" s="3"/>
      <c r="R184" s="2">
        <v>48272.79</v>
      </c>
      <c r="S184" s="3">
        <v>6.87</v>
      </c>
      <c r="T184" s="2">
        <v>55296</v>
      </c>
      <c r="U184" t="s">
        <v>25</v>
      </c>
      <c r="V184" s="13" t="str">
        <f t="shared" si="18"/>
        <v>No</v>
      </c>
      <c r="W184" s="13" t="str">
        <f t="shared" si="18"/>
        <v>Yes</v>
      </c>
      <c r="X184" s="13" t="str">
        <f t="shared" si="18"/>
        <v>No</v>
      </c>
      <c r="Y184" s="13" t="str">
        <f t="shared" si="18"/>
        <v>No</v>
      </c>
      <c r="Z184" s="13" t="str">
        <f t="shared" si="18"/>
        <v>No</v>
      </c>
      <c r="AA184" s="71" t="e">
        <f>+(Table1[[#This Row],[Everyday price]]-Table1[[#This Row],[Promo Price]])/Table1[[#This Row],[Everyday price]]</f>
        <v>#DIV/0!</v>
      </c>
      <c r="AC184" s="69"/>
      <c r="AD184" s="13"/>
      <c r="AH184" s="6"/>
      <c r="AJ184" s="116" t="str">
        <f>IF(AND(ISNUMBER(Table1[[#This Row],[Lift  ]]),ISNUMBER(Table1[[#This Row],[Plan lift, %]]),Table1[[#This Row],[Plan lift, %]]&lt;&gt;0),Table1[[#This Row],[Lift  ]]-Table1[[#This Row],[Plan lift, %]],"")</f>
        <v/>
      </c>
      <c r="AK184" s="116"/>
    </row>
    <row r="185" spans="1:39" x14ac:dyDescent="0.35">
      <c r="A185" t="s">
        <v>682</v>
      </c>
      <c r="B185" s="12">
        <v>1236</v>
      </c>
      <c r="C185" s="21" t="s">
        <v>38</v>
      </c>
      <c r="D185" s="13" t="s">
        <v>1230</v>
      </c>
      <c r="E185" t="s">
        <v>39</v>
      </c>
      <c r="F185" t="s">
        <v>683</v>
      </c>
      <c r="G185" t="s">
        <v>23</v>
      </c>
      <c r="H185" s="1">
        <v>46174</v>
      </c>
      <c r="I185" s="1">
        <v>46203</v>
      </c>
      <c r="J185" s="13" t="s">
        <v>29</v>
      </c>
      <c r="L185" s="2">
        <v>8524.2999999999993</v>
      </c>
      <c r="M185" s="2">
        <v>8196.44</v>
      </c>
      <c r="N185" s="2">
        <v>2458.94</v>
      </c>
      <c r="O185" s="2">
        <v>10655.38</v>
      </c>
      <c r="P185" s="3">
        <v>0.3</v>
      </c>
      <c r="Q185" s="3"/>
      <c r="R185" s="2">
        <v>-1713.44</v>
      </c>
      <c r="S185" s="3">
        <v>-0.36</v>
      </c>
      <c r="T185" s="2">
        <v>3108</v>
      </c>
      <c r="U185" t="s">
        <v>25</v>
      </c>
      <c r="V185" s="13" t="str">
        <f t="shared" si="18"/>
        <v>No</v>
      </c>
      <c r="W185" s="13" t="str">
        <f t="shared" si="18"/>
        <v>Yes</v>
      </c>
      <c r="X185" s="13" t="str">
        <f t="shared" si="18"/>
        <v>No</v>
      </c>
      <c r="Y185" s="13" t="str">
        <f t="shared" si="18"/>
        <v>No</v>
      </c>
      <c r="Z185" s="13" t="str">
        <f t="shared" si="18"/>
        <v>No</v>
      </c>
      <c r="AA185" s="71" t="e">
        <f>+(Table1[[#This Row],[Everyday price]]-Table1[[#This Row],[Promo Price]])/Table1[[#This Row],[Everyday price]]</f>
        <v>#DIV/0!</v>
      </c>
      <c r="AC185" s="69"/>
      <c r="AD185" s="13"/>
      <c r="AH185" s="6"/>
      <c r="AJ185" s="116" t="str">
        <f>IF(AND(ISNUMBER(Table1[[#This Row],[Lift  ]]),ISNUMBER(Table1[[#This Row],[Plan lift, %]]),Table1[[#This Row],[Plan lift, %]]&lt;&gt;0),Table1[[#This Row],[Lift  ]]-Table1[[#This Row],[Plan lift, %]],"")</f>
        <v/>
      </c>
      <c r="AK185" s="116"/>
    </row>
    <row r="186" spans="1:39" x14ac:dyDescent="0.35">
      <c r="A186" t="s">
        <v>1034</v>
      </c>
      <c r="B186" s="12">
        <v>1233</v>
      </c>
      <c r="C186" s="21" t="s">
        <v>38</v>
      </c>
      <c r="D186" s="13" t="s">
        <v>1230</v>
      </c>
      <c r="E186" t="s">
        <v>39</v>
      </c>
      <c r="F186" t="s">
        <v>1035</v>
      </c>
      <c r="G186" t="s">
        <v>23</v>
      </c>
      <c r="H186" s="1">
        <v>46204</v>
      </c>
      <c r="I186" s="1">
        <v>46234</v>
      </c>
      <c r="J186" s="13" t="s">
        <v>24</v>
      </c>
      <c r="L186" s="2">
        <v>9236.85</v>
      </c>
      <c r="M186" s="2">
        <v>17362.52</v>
      </c>
      <c r="N186" s="2">
        <v>6944.98</v>
      </c>
      <c r="O186" s="2">
        <v>24307.5</v>
      </c>
      <c r="P186" s="3">
        <v>0.4</v>
      </c>
      <c r="Q186" s="3"/>
      <c r="R186" s="2">
        <v>-2080.7199999999998</v>
      </c>
      <c r="S186" s="3">
        <v>-0.42</v>
      </c>
      <c r="T186" s="2">
        <v>2880</v>
      </c>
      <c r="U186" t="s">
        <v>25</v>
      </c>
      <c r="V186" s="13" t="str">
        <f t="shared" si="18"/>
        <v>No</v>
      </c>
      <c r="W186" s="13" t="str">
        <f t="shared" si="18"/>
        <v>Yes</v>
      </c>
      <c r="X186" s="13" t="str">
        <f t="shared" si="18"/>
        <v>No</v>
      </c>
      <c r="Y186" s="13" t="str">
        <f t="shared" si="18"/>
        <v>No</v>
      </c>
      <c r="Z186" s="13" t="str">
        <f t="shared" si="18"/>
        <v>No</v>
      </c>
      <c r="AA186" s="71" t="e">
        <f>+(Table1[[#This Row],[Everyday price]]-Table1[[#This Row],[Promo Price]])/Table1[[#This Row],[Everyday price]]</f>
        <v>#DIV/0!</v>
      </c>
      <c r="AC186" s="69"/>
      <c r="AD186" s="13"/>
      <c r="AH186" s="6"/>
      <c r="AJ186" s="116" t="str">
        <f>IF(AND(ISNUMBER(Table1[[#This Row],[Lift  ]]),ISNUMBER(Table1[[#This Row],[Plan lift, %]]),Table1[[#This Row],[Plan lift, %]]&lt;&gt;0),Table1[[#This Row],[Lift  ]]-Table1[[#This Row],[Plan lift, %]],"")</f>
        <v/>
      </c>
      <c r="AK186" s="116"/>
    </row>
    <row r="187" spans="1:39" x14ac:dyDescent="0.35">
      <c r="A187" t="s">
        <v>913</v>
      </c>
      <c r="B187" s="12">
        <v>1237</v>
      </c>
      <c r="C187" s="21" t="s">
        <v>38</v>
      </c>
      <c r="D187" s="13" t="s">
        <v>1230</v>
      </c>
      <c r="E187" t="s">
        <v>39</v>
      </c>
      <c r="F187" t="s">
        <v>914</v>
      </c>
      <c r="G187" t="s">
        <v>44</v>
      </c>
      <c r="H187" s="1">
        <v>46266</v>
      </c>
      <c r="I187" s="1">
        <v>46295</v>
      </c>
      <c r="J187" s="13" t="s">
        <v>29</v>
      </c>
      <c r="L187" s="2">
        <v>8524.2999999999993</v>
      </c>
      <c r="M187" s="2">
        <v>8196.44</v>
      </c>
      <c r="N187" s="2">
        <v>2458.94</v>
      </c>
      <c r="O187" s="2">
        <v>10655.38</v>
      </c>
      <c r="P187" s="3">
        <v>0.3</v>
      </c>
      <c r="Q187" s="3"/>
      <c r="R187" s="2">
        <v>0</v>
      </c>
      <c r="S187" s="3">
        <v>0</v>
      </c>
      <c r="T187" s="2">
        <v>0</v>
      </c>
      <c r="U187" t="s">
        <v>25</v>
      </c>
      <c r="V187" s="13" t="str">
        <f t="shared" si="18"/>
        <v>No</v>
      </c>
      <c r="W187" s="13" t="str">
        <f t="shared" si="18"/>
        <v>Yes</v>
      </c>
      <c r="X187" s="13" t="str">
        <f t="shared" si="18"/>
        <v>No</v>
      </c>
      <c r="Y187" s="13" t="str">
        <f t="shared" si="18"/>
        <v>No</v>
      </c>
      <c r="Z187" s="13" t="str">
        <f t="shared" si="18"/>
        <v>No</v>
      </c>
      <c r="AA187" s="71" t="e">
        <f>+(Table1[[#This Row],[Everyday price]]-Table1[[#This Row],[Promo Price]])/Table1[[#This Row],[Everyday price]]</f>
        <v>#DIV/0!</v>
      </c>
      <c r="AC187" s="69"/>
      <c r="AD187" s="13"/>
      <c r="AH187" s="6"/>
      <c r="AJ187" s="116" t="str">
        <f>IF(AND(ISNUMBER(Table1[[#This Row],[Lift  ]]),ISNUMBER(Table1[[#This Row],[Plan lift, %]]),Table1[[#This Row],[Plan lift, %]]&lt;&gt;0),Table1[[#This Row],[Lift  ]]-Table1[[#This Row],[Plan lift, %]],"")</f>
        <v/>
      </c>
      <c r="AK187" s="116"/>
    </row>
    <row r="188" spans="1:39" x14ac:dyDescent="0.35">
      <c r="A188" t="s">
        <v>545</v>
      </c>
      <c r="B188" s="12">
        <v>1234</v>
      </c>
      <c r="C188" s="21" t="s">
        <v>38</v>
      </c>
      <c r="D188" s="13" t="s">
        <v>1230</v>
      </c>
      <c r="E188" t="s">
        <v>39</v>
      </c>
      <c r="F188" t="s">
        <v>546</v>
      </c>
      <c r="G188" t="s">
        <v>44</v>
      </c>
      <c r="H188" s="1">
        <v>46296</v>
      </c>
      <c r="I188" s="1">
        <v>46326</v>
      </c>
      <c r="J188" s="13" t="s">
        <v>24</v>
      </c>
      <c r="L188" s="2">
        <v>4618.32</v>
      </c>
      <c r="M188" s="2">
        <v>14994.66</v>
      </c>
      <c r="N188" s="2">
        <v>5997.84</v>
      </c>
      <c r="O188" s="2">
        <v>20992.5</v>
      </c>
      <c r="P188" s="3">
        <v>0.4</v>
      </c>
      <c r="Q188" s="3"/>
      <c r="R188" s="2">
        <v>0</v>
      </c>
      <c r="S188" s="3">
        <v>0</v>
      </c>
      <c r="T188" s="2">
        <v>0</v>
      </c>
      <c r="U188" t="s">
        <v>25</v>
      </c>
      <c r="V188" s="13" t="str">
        <f t="shared" si="18"/>
        <v>No</v>
      </c>
      <c r="W188" s="13" t="str">
        <f t="shared" si="18"/>
        <v>Yes</v>
      </c>
      <c r="X188" s="13" t="str">
        <f t="shared" si="18"/>
        <v>No</v>
      </c>
      <c r="Y188" s="13" t="str">
        <f t="shared" si="18"/>
        <v>No</v>
      </c>
      <c r="Z188" s="13" t="str">
        <f t="shared" si="18"/>
        <v>No</v>
      </c>
      <c r="AA188" s="71" t="e">
        <f>+(Table1[[#This Row],[Everyday price]]-Table1[[#This Row],[Promo Price]])/Table1[[#This Row],[Everyday price]]</f>
        <v>#DIV/0!</v>
      </c>
      <c r="AC188" s="69"/>
      <c r="AD188" s="13"/>
      <c r="AH188" s="6"/>
      <c r="AJ188" s="116" t="str">
        <f>IF(AND(ISNUMBER(Table1[[#This Row],[Lift  ]]),ISNUMBER(Table1[[#This Row],[Plan lift, %]]),Table1[[#This Row],[Plan lift, %]]&lt;&gt;0),Table1[[#This Row],[Lift  ]]-Table1[[#This Row],[Plan lift, %]],"")</f>
        <v/>
      </c>
      <c r="AK188" s="116"/>
    </row>
    <row r="189" spans="1:39" x14ac:dyDescent="0.35">
      <c r="A189" t="s">
        <v>288</v>
      </c>
      <c r="B189" s="82">
        <v>1238</v>
      </c>
      <c r="C189" s="21" t="s">
        <v>156</v>
      </c>
      <c r="D189" s="13" t="s">
        <v>1230</v>
      </c>
      <c r="F189" t="s">
        <v>289</v>
      </c>
      <c r="G189" t="s">
        <v>23</v>
      </c>
      <c r="H189" s="1">
        <v>46082</v>
      </c>
      <c r="I189" s="1">
        <v>46111</v>
      </c>
      <c r="J189" s="13" t="s">
        <v>24</v>
      </c>
      <c r="L189" s="2">
        <v>157267.24</v>
      </c>
      <c r="M189" s="2">
        <v>203778.77</v>
      </c>
      <c r="N189" s="2">
        <v>40755.75</v>
      </c>
      <c r="O189" s="2">
        <v>244534.52</v>
      </c>
      <c r="P189" s="3">
        <v>0.2</v>
      </c>
      <c r="Q189" s="3"/>
      <c r="R189" s="2">
        <v>21503.86</v>
      </c>
      <c r="S189" s="3">
        <v>0.35</v>
      </c>
      <c r="T189" s="2">
        <v>83619.149999999994</v>
      </c>
      <c r="U189" t="s">
        <v>33</v>
      </c>
      <c r="V189" s="13" t="str">
        <f t="shared" si="18"/>
        <v>No</v>
      </c>
      <c r="W189" s="13" t="str">
        <f t="shared" si="18"/>
        <v>Yes</v>
      </c>
      <c r="X189" s="13" t="str">
        <f t="shared" si="18"/>
        <v>Yes</v>
      </c>
      <c r="Y189" s="13" t="str">
        <f t="shared" si="18"/>
        <v>No</v>
      </c>
      <c r="Z189" s="13" t="str">
        <f t="shared" si="18"/>
        <v>No</v>
      </c>
      <c r="AA189" s="71">
        <f>+(Table1[[#This Row],[Everyday price]]-Table1[[#This Row],[Promo Price]])/Table1[[#This Row],[Everyday price]]</f>
        <v>0.14714714714714722</v>
      </c>
      <c r="AB189" s="69">
        <v>2.84</v>
      </c>
      <c r="AC189" s="69">
        <v>3.33</v>
      </c>
      <c r="AD189" s="15" t="s">
        <v>1256</v>
      </c>
      <c r="AE189" s="5">
        <v>46083</v>
      </c>
      <c r="AF189" s="5">
        <v>46110</v>
      </c>
      <c r="AG189" s="20">
        <v>58232</v>
      </c>
      <c r="AH189" s="6">
        <v>20676</v>
      </c>
      <c r="AI189" s="11">
        <v>0.35506250858634431</v>
      </c>
      <c r="AJ189" s="11">
        <f>IF(AND(ISNUMBER(Table1[[#This Row],[Lift  ]]),ISNUMBER(Table1[[#This Row],[Plan lift, %]]),Table1[[#This Row],[Plan lift, %]]&lt;&gt;0),Table1[[#This Row],[Lift  ]]-Table1[[#This Row],[Plan lift, %]],"")</f>
        <v>0.15506250858634429</v>
      </c>
      <c r="AK189" s="11"/>
      <c r="AL189" s="71" t="s">
        <v>1400</v>
      </c>
    </row>
    <row r="190" spans="1:39" x14ac:dyDescent="0.35">
      <c r="A190" t="s">
        <v>1060</v>
      </c>
      <c r="B190" s="82">
        <v>1239</v>
      </c>
      <c r="C190" s="21" t="s">
        <v>156</v>
      </c>
      <c r="D190" s="13" t="s">
        <v>1230</v>
      </c>
      <c r="F190" t="s">
        <v>1061</v>
      </c>
      <c r="G190" t="s">
        <v>23</v>
      </c>
      <c r="H190" s="1">
        <v>46113</v>
      </c>
      <c r="I190" s="1">
        <v>46142</v>
      </c>
      <c r="J190" s="13" t="s">
        <v>24</v>
      </c>
      <c r="L190" s="2">
        <v>143016.07999999999</v>
      </c>
      <c r="M190" s="2">
        <v>238360.11</v>
      </c>
      <c r="N190" s="2">
        <v>47672.03</v>
      </c>
      <c r="O190" s="2">
        <v>286032.14</v>
      </c>
      <c r="P190" s="3">
        <v>0.2</v>
      </c>
      <c r="Q190" s="3"/>
      <c r="R190" s="2">
        <v>24408.6</v>
      </c>
      <c r="S190" s="3">
        <v>0.35</v>
      </c>
      <c r="T190" s="2">
        <v>94536.320000000007</v>
      </c>
      <c r="U190" t="s">
        <v>25</v>
      </c>
      <c r="V190" s="13" t="str">
        <f t="shared" si="18"/>
        <v>No</v>
      </c>
      <c r="W190" s="13" t="str">
        <f t="shared" si="18"/>
        <v>Yes</v>
      </c>
      <c r="X190" s="13" t="str">
        <f t="shared" si="18"/>
        <v>No</v>
      </c>
      <c r="Y190" s="13" t="str">
        <f t="shared" si="18"/>
        <v>No</v>
      </c>
      <c r="Z190" s="13" t="str">
        <f t="shared" si="18"/>
        <v>No</v>
      </c>
      <c r="AA190" s="71">
        <f>+(Table1[[#This Row],[Everyday price]]-Table1[[#This Row],[Promo Price]])/Table1[[#This Row],[Everyday price]]</f>
        <v>0.14634146341463414</v>
      </c>
      <c r="AB190" s="69">
        <v>2.8</v>
      </c>
      <c r="AC190" s="69">
        <v>3.28</v>
      </c>
      <c r="AD190" s="15" t="s">
        <v>1256</v>
      </c>
      <c r="AE190" s="5">
        <v>46111</v>
      </c>
      <c r="AF190" s="5">
        <v>46145</v>
      </c>
      <c r="AG190" s="20">
        <v>81953</v>
      </c>
      <c r="AH190" s="6">
        <v>28387</v>
      </c>
      <c r="AI190" s="11">
        <v>0.34638146254560542</v>
      </c>
      <c r="AJ190" s="11">
        <f>IF(AND(ISNUMBER(Table1[[#This Row],[Lift  ]]),ISNUMBER(Table1[[#This Row],[Plan lift, %]]),Table1[[#This Row],[Plan lift, %]]&lt;&gt;0),Table1[[#This Row],[Lift  ]]-Table1[[#This Row],[Plan lift, %]],"")</f>
        <v>0.14638146254560541</v>
      </c>
      <c r="AK190" s="11"/>
      <c r="AL190" s="71" t="s">
        <v>1400</v>
      </c>
      <c r="AM190" s="4" t="s">
        <v>1285</v>
      </c>
    </row>
    <row r="191" spans="1:39" x14ac:dyDescent="0.35">
      <c r="A191" t="s">
        <v>504</v>
      </c>
      <c r="B191" s="12">
        <v>1240</v>
      </c>
      <c r="C191" s="21" t="s">
        <v>156</v>
      </c>
      <c r="D191" s="13" t="s">
        <v>1230</v>
      </c>
      <c r="F191" t="s">
        <v>505</v>
      </c>
      <c r="G191" t="s">
        <v>44</v>
      </c>
      <c r="H191" s="1">
        <v>46266</v>
      </c>
      <c r="I191" s="1">
        <v>46295</v>
      </c>
      <c r="J191" s="13" t="s">
        <v>24</v>
      </c>
      <c r="L191" s="2">
        <v>82471.48</v>
      </c>
      <c r="M191" s="2">
        <v>196360.71</v>
      </c>
      <c r="N191" s="2">
        <v>39272.14</v>
      </c>
      <c r="O191" s="2">
        <v>235632.85</v>
      </c>
      <c r="P191" s="3">
        <v>0.2</v>
      </c>
      <c r="Q191" s="3"/>
      <c r="R191" s="2">
        <v>0</v>
      </c>
      <c r="S191" s="3">
        <v>0</v>
      </c>
      <c r="T191" s="2">
        <v>0</v>
      </c>
      <c r="U191" t="s">
        <v>25</v>
      </c>
      <c r="V191" s="13" t="str">
        <f t="shared" si="18"/>
        <v>No</v>
      </c>
      <c r="W191" s="13" t="str">
        <f t="shared" si="18"/>
        <v>Yes</v>
      </c>
      <c r="X191" s="13" t="str">
        <f t="shared" si="18"/>
        <v>No</v>
      </c>
      <c r="Y191" s="13" t="str">
        <f t="shared" si="18"/>
        <v>No</v>
      </c>
      <c r="Z191" s="13" t="str">
        <f t="shared" si="18"/>
        <v>No</v>
      </c>
      <c r="AA191" s="71" t="e">
        <f>+(Table1[[#This Row],[Everyday price]]-Table1[[#This Row],[Promo Price]])/Table1[[#This Row],[Everyday price]]</f>
        <v>#DIV/0!</v>
      </c>
      <c r="AC191" s="69"/>
      <c r="AD191" s="13"/>
      <c r="AH191" s="6"/>
      <c r="AJ191" s="116" t="str">
        <f>IF(AND(ISNUMBER(Table1[[#This Row],[Lift  ]]),ISNUMBER(Table1[[#This Row],[Plan lift, %]]),Table1[[#This Row],[Plan lift, %]]&lt;&gt;0),Table1[[#This Row],[Lift  ]]-Table1[[#This Row],[Plan lift, %]],"")</f>
        <v/>
      </c>
      <c r="AK191" s="116"/>
    </row>
    <row r="192" spans="1:39" x14ac:dyDescent="0.35">
      <c r="A192" t="s">
        <v>155</v>
      </c>
      <c r="B192" s="12">
        <v>1241</v>
      </c>
      <c r="C192" s="21" t="s">
        <v>156</v>
      </c>
      <c r="D192" s="13" t="s">
        <v>1230</v>
      </c>
      <c r="F192" t="s">
        <v>157</v>
      </c>
      <c r="G192" t="s">
        <v>44</v>
      </c>
      <c r="H192" s="1">
        <v>46296</v>
      </c>
      <c r="I192" s="1">
        <v>46326</v>
      </c>
      <c r="J192" s="13" t="s">
        <v>24</v>
      </c>
      <c r="L192" s="2">
        <v>106869.3</v>
      </c>
      <c r="M192" s="2">
        <v>254450.73</v>
      </c>
      <c r="N192" s="2">
        <v>50890.14</v>
      </c>
      <c r="O192" s="2">
        <v>305340.87</v>
      </c>
      <c r="P192" s="3">
        <v>0.2</v>
      </c>
      <c r="Q192" s="3"/>
      <c r="R192" s="2">
        <v>0</v>
      </c>
      <c r="S192" s="3">
        <v>0</v>
      </c>
      <c r="T192" s="2">
        <v>0</v>
      </c>
      <c r="U192" t="s">
        <v>25</v>
      </c>
      <c r="V192" s="13" t="str">
        <f t="shared" ref="V192:Z201" si="19">IF(ISNUMBER(SEARCH(V$1,$U192)),"Yes","No")</f>
        <v>No</v>
      </c>
      <c r="W192" s="13" t="str">
        <f t="shared" si="19"/>
        <v>Yes</v>
      </c>
      <c r="X192" s="13" t="str">
        <f t="shared" si="19"/>
        <v>No</v>
      </c>
      <c r="Y192" s="13" t="str">
        <f t="shared" si="19"/>
        <v>No</v>
      </c>
      <c r="Z192" s="13" t="str">
        <f t="shared" si="19"/>
        <v>No</v>
      </c>
      <c r="AA192" s="71" t="e">
        <f>+(Table1[[#This Row],[Everyday price]]-Table1[[#This Row],[Promo Price]])/Table1[[#This Row],[Everyday price]]</f>
        <v>#DIV/0!</v>
      </c>
      <c r="AC192" s="69"/>
      <c r="AD192" s="13"/>
      <c r="AH192" s="6"/>
      <c r="AJ192" s="116" t="str">
        <f>IF(AND(ISNUMBER(Table1[[#This Row],[Lift  ]]),ISNUMBER(Table1[[#This Row],[Plan lift, %]]),Table1[[#This Row],[Plan lift, %]]&lt;&gt;0),Table1[[#This Row],[Lift  ]]-Table1[[#This Row],[Plan lift, %]],"")</f>
        <v/>
      </c>
      <c r="AK192" s="116"/>
    </row>
    <row r="193" spans="1:39" x14ac:dyDescent="0.35">
      <c r="A193" t="s">
        <v>277</v>
      </c>
      <c r="B193" s="12" t="s">
        <v>1715</v>
      </c>
      <c r="C193" s="21" t="s">
        <v>278</v>
      </c>
      <c r="D193" s="13" t="s">
        <v>1231</v>
      </c>
      <c r="E193" t="s">
        <v>279</v>
      </c>
      <c r="F193" t="s">
        <v>280</v>
      </c>
      <c r="G193" t="s">
        <v>23</v>
      </c>
      <c r="H193" s="1">
        <v>46041</v>
      </c>
      <c r="I193" s="1">
        <v>46068</v>
      </c>
      <c r="J193" s="13" t="s">
        <v>88</v>
      </c>
      <c r="L193" s="2">
        <v>34125</v>
      </c>
      <c r="M193" s="2">
        <v>13650</v>
      </c>
      <c r="N193" s="2">
        <v>3412.5</v>
      </c>
      <c r="O193" s="2">
        <v>17062.5</v>
      </c>
      <c r="P193" s="3">
        <v>0.25</v>
      </c>
      <c r="Q193" s="3">
        <v>0.23</v>
      </c>
      <c r="R193" s="2">
        <v>0</v>
      </c>
      <c r="S193" s="3">
        <v>0</v>
      </c>
      <c r="T193" s="2">
        <v>0</v>
      </c>
      <c r="U193" t="s">
        <v>281</v>
      </c>
      <c r="V193" s="13" t="str">
        <f t="shared" si="19"/>
        <v>No</v>
      </c>
      <c r="W193" s="13" t="str">
        <f t="shared" si="19"/>
        <v>No</v>
      </c>
      <c r="X193" s="13" t="str">
        <f t="shared" si="19"/>
        <v>No</v>
      </c>
      <c r="Y193" s="13" t="str">
        <f t="shared" si="19"/>
        <v>No</v>
      </c>
      <c r="Z193" s="13" t="str">
        <f t="shared" si="19"/>
        <v>No</v>
      </c>
      <c r="AA193" s="71" t="e">
        <f>+(Table1[[#This Row],[Everyday price]]-Table1[[#This Row],[Promo Price]])/Table1[[#This Row],[Everyday price]]</f>
        <v>#DIV/0!</v>
      </c>
      <c r="AC193" s="69"/>
      <c r="AD193" s="13"/>
      <c r="AH193" s="6"/>
      <c r="AJ193" s="116" t="str">
        <f>IF(AND(ISNUMBER(Table1[[#This Row],[Lift  ]]),ISNUMBER(Table1[[#This Row],[Plan lift, %]]),Table1[[#This Row],[Plan lift, %]]&lt;&gt;0),Table1[[#This Row],[Lift  ]]-Table1[[#This Row],[Plan lift, %]],"")</f>
        <v/>
      </c>
      <c r="AK193" s="116"/>
    </row>
    <row r="194" spans="1:39" x14ac:dyDescent="0.35">
      <c r="A194" t="s">
        <v>277</v>
      </c>
      <c r="B194" s="12" t="s">
        <v>1715</v>
      </c>
      <c r="C194" s="21" t="s">
        <v>278</v>
      </c>
      <c r="D194" s="13" t="s">
        <v>1231</v>
      </c>
      <c r="E194" t="s">
        <v>279</v>
      </c>
      <c r="F194" t="s">
        <v>280</v>
      </c>
      <c r="G194" t="s">
        <v>23</v>
      </c>
      <c r="H194" s="1">
        <v>46041</v>
      </c>
      <c r="I194" s="1">
        <v>46068</v>
      </c>
      <c r="J194" s="13" t="s">
        <v>88</v>
      </c>
      <c r="L194" s="2">
        <v>2308031.2400000002</v>
      </c>
      <c r="M194" s="2">
        <v>923212.5</v>
      </c>
      <c r="N194" s="2">
        <v>230803.12</v>
      </c>
      <c r="O194" s="2">
        <v>1154015.6200000001</v>
      </c>
      <c r="P194" s="3">
        <v>0.25</v>
      </c>
      <c r="Q194" s="3">
        <v>0.23</v>
      </c>
      <c r="R194" s="2">
        <v>41737.5</v>
      </c>
      <c r="S194" s="3">
        <v>0.04</v>
      </c>
      <c r="T194" s="2">
        <v>974400</v>
      </c>
      <c r="U194" t="s">
        <v>281</v>
      </c>
      <c r="V194" s="13" t="str">
        <f t="shared" si="19"/>
        <v>No</v>
      </c>
      <c r="W194" s="13" t="str">
        <f t="shared" si="19"/>
        <v>No</v>
      </c>
      <c r="X194" s="13" t="str">
        <f t="shared" si="19"/>
        <v>No</v>
      </c>
      <c r="Y194" s="13" t="str">
        <f t="shared" si="19"/>
        <v>No</v>
      </c>
      <c r="Z194" s="13" t="str">
        <f t="shared" si="19"/>
        <v>No</v>
      </c>
      <c r="AA194" s="71" t="e">
        <f>+(Table1[[#This Row],[Everyday price]]-Table1[[#This Row],[Promo Price]])/Table1[[#This Row],[Everyday price]]</f>
        <v>#DIV/0!</v>
      </c>
      <c r="AC194" s="69"/>
      <c r="AD194" s="13"/>
      <c r="AH194" s="6"/>
      <c r="AJ194" s="116" t="str">
        <f>IF(AND(ISNUMBER(Table1[[#This Row],[Lift  ]]),ISNUMBER(Table1[[#This Row],[Plan lift, %]]),Table1[[#This Row],[Plan lift, %]]&lt;&gt;0),Table1[[#This Row],[Lift  ]]-Table1[[#This Row],[Plan lift, %]],"")</f>
        <v/>
      </c>
      <c r="AK194" s="116"/>
    </row>
    <row r="195" spans="1:39" x14ac:dyDescent="0.35">
      <c r="A195" t="s">
        <v>989</v>
      </c>
      <c r="B195" s="82">
        <v>1042</v>
      </c>
      <c r="C195" s="21" t="s">
        <v>42</v>
      </c>
      <c r="D195" s="13" t="s">
        <v>1234</v>
      </c>
      <c r="F195" s="21" t="s">
        <v>990</v>
      </c>
      <c r="G195" t="s">
        <v>23</v>
      </c>
      <c r="H195" s="14">
        <v>46023</v>
      </c>
      <c r="I195" s="14">
        <v>46036</v>
      </c>
      <c r="J195" s="13" t="s">
        <v>24</v>
      </c>
      <c r="L195" s="2">
        <v>11719.52</v>
      </c>
      <c r="M195" s="2">
        <v>22537.54</v>
      </c>
      <c r="N195" s="2">
        <v>6761.26</v>
      </c>
      <c r="O195" s="2">
        <v>29298.799999999999</v>
      </c>
      <c r="P195" s="3">
        <v>0.3</v>
      </c>
      <c r="Q195" s="3"/>
      <c r="R195" s="2">
        <v>4995.22</v>
      </c>
      <c r="S195" s="3">
        <v>0.55000000000000004</v>
      </c>
      <c r="T195" s="2">
        <v>14107.38</v>
      </c>
      <c r="U195" s="13" t="s">
        <v>25</v>
      </c>
      <c r="V195" s="13" t="str">
        <f t="shared" si="19"/>
        <v>No</v>
      </c>
      <c r="W195" s="13" t="str">
        <f t="shared" si="19"/>
        <v>Yes</v>
      </c>
      <c r="X195" s="13" t="str">
        <f t="shared" si="19"/>
        <v>No</v>
      </c>
      <c r="Y195" s="13" t="str">
        <f t="shared" si="19"/>
        <v>No</v>
      </c>
      <c r="Z195" s="13" t="str">
        <f t="shared" si="19"/>
        <v>No</v>
      </c>
      <c r="AA195" s="71">
        <f>+(Table1[[#This Row],[Everyday price]]-Table1[[#This Row],[Promo Price]])/Table1[[#This Row],[Everyday price]]</f>
        <v>0.11711711711711716</v>
      </c>
      <c r="AB195" s="69">
        <v>2.94</v>
      </c>
      <c r="AC195" s="69">
        <v>3.33</v>
      </c>
      <c r="AD195" s="40" t="s">
        <v>1229</v>
      </c>
      <c r="AE195" s="5">
        <v>46023</v>
      </c>
      <c r="AF195" s="5">
        <v>46033</v>
      </c>
      <c r="AG195" s="20">
        <v>8303</v>
      </c>
      <c r="AH195" s="6">
        <v>5300</v>
      </c>
      <c r="AI195" s="11">
        <f>Table1[[#This Row],[Incremental Units]]/Table1[[#This Row],[Base Units]]</f>
        <v>0.63832349753101292</v>
      </c>
      <c r="AJ195" s="11">
        <f>IF(AND(ISNUMBER(Table1[[#This Row],[Lift  ]]),ISNUMBER(Table1[[#This Row],[Plan lift, %]]),Table1[[#This Row],[Plan lift, %]]&lt;&gt;0),Table1[[#This Row],[Lift  ]]-Table1[[#This Row],[Plan lift, %]],"")</f>
        <v>0.33832349753101293</v>
      </c>
      <c r="AK195" s="11"/>
      <c r="AL195" s="71" t="s">
        <v>1400</v>
      </c>
    </row>
    <row r="196" spans="1:39" x14ac:dyDescent="0.35">
      <c r="A196" t="s">
        <v>603</v>
      </c>
      <c r="B196" s="82">
        <v>1041</v>
      </c>
      <c r="C196" s="21" t="s">
        <v>42</v>
      </c>
      <c r="D196" s="13" t="s">
        <v>1234</v>
      </c>
      <c r="F196" s="21" t="s">
        <v>604</v>
      </c>
      <c r="G196" t="s">
        <v>23</v>
      </c>
      <c r="H196" s="14">
        <v>46037</v>
      </c>
      <c r="I196" s="14">
        <v>46052</v>
      </c>
      <c r="J196" s="13" t="s">
        <v>29</v>
      </c>
      <c r="L196" s="2">
        <v>11870.83</v>
      </c>
      <c r="M196" s="2">
        <v>8175.5</v>
      </c>
      <c r="N196" s="2">
        <v>1635.1</v>
      </c>
      <c r="O196" s="2">
        <v>9810.6</v>
      </c>
      <c r="P196" s="3">
        <v>0.2</v>
      </c>
      <c r="Q196" s="3"/>
      <c r="R196" s="2">
        <v>638.19000000000005</v>
      </c>
      <c r="S196" s="3">
        <v>0.16</v>
      </c>
      <c r="T196" s="2">
        <v>4714.32</v>
      </c>
      <c r="U196" s="13" t="s">
        <v>25</v>
      </c>
      <c r="V196" s="13" t="str">
        <f t="shared" si="19"/>
        <v>No</v>
      </c>
      <c r="W196" s="13" t="str">
        <f t="shared" si="19"/>
        <v>Yes</v>
      </c>
      <c r="X196" s="13" t="str">
        <f t="shared" si="19"/>
        <v>No</v>
      </c>
      <c r="Y196" s="13" t="str">
        <f t="shared" si="19"/>
        <v>No</v>
      </c>
      <c r="Z196" s="13" t="str">
        <f t="shared" si="19"/>
        <v>No</v>
      </c>
      <c r="AA196" s="71">
        <f>+(Table1[[#This Row],[Everyday price]]-Table1[[#This Row],[Promo Price]])/Table1[[#This Row],[Everyday price]]</f>
        <v>7.6999999999999957E-2</v>
      </c>
      <c r="AB196" s="69">
        <v>9.23</v>
      </c>
      <c r="AC196" s="69">
        <v>10</v>
      </c>
      <c r="AD196" s="41" t="s">
        <v>1257</v>
      </c>
      <c r="AE196" s="5">
        <v>46034</v>
      </c>
      <c r="AF196" s="5">
        <v>46047</v>
      </c>
      <c r="AG196" s="20">
        <v>3695</v>
      </c>
      <c r="AH196" s="6">
        <v>817</v>
      </c>
      <c r="AI196" s="11">
        <f>Table1[[#This Row],[Incremental Units]]/Table1[[#This Row],[Base Units]]</f>
        <v>0.22110960757780784</v>
      </c>
      <c r="AJ196" s="11">
        <f>IF(AND(ISNUMBER(Table1[[#This Row],[Lift  ]]),ISNUMBER(Table1[[#This Row],[Plan lift, %]]),Table1[[#This Row],[Plan lift, %]]&lt;&gt;0),Table1[[#This Row],[Lift  ]]-Table1[[#This Row],[Plan lift, %]],"")</f>
        <v>2.1109607577807832E-2</v>
      </c>
      <c r="AK196" s="11"/>
      <c r="AL196" s="71" t="s">
        <v>1400</v>
      </c>
      <c r="AM196" t="s">
        <v>1290</v>
      </c>
    </row>
    <row r="197" spans="1:39" x14ac:dyDescent="0.35">
      <c r="A197" t="s">
        <v>651</v>
      </c>
      <c r="B197" s="82">
        <v>1040</v>
      </c>
      <c r="C197" s="21" t="s">
        <v>42</v>
      </c>
      <c r="D197" s="13" t="s">
        <v>1234</v>
      </c>
      <c r="F197" s="21" t="s">
        <v>652</v>
      </c>
      <c r="G197" t="s">
        <v>23</v>
      </c>
      <c r="H197" s="14">
        <v>46054</v>
      </c>
      <c r="I197" s="14">
        <v>46067</v>
      </c>
      <c r="J197" s="13" t="s">
        <v>24</v>
      </c>
      <c r="L197" s="2">
        <v>5129.5</v>
      </c>
      <c r="M197" s="2">
        <v>17098.349999999999</v>
      </c>
      <c r="N197" s="2">
        <v>3419.67</v>
      </c>
      <c r="O197" s="2">
        <v>20518.02</v>
      </c>
      <c r="P197" s="3">
        <v>0.2</v>
      </c>
      <c r="Q197" s="3"/>
      <c r="R197" s="2">
        <v>2688.66</v>
      </c>
      <c r="S197" s="3">
        <v>0.24</v>
      </c>
      <c r="T197" s="2">
        <v>13664.83</v>
      </c>
      <c r="U197" s="13" t="s">
        <v>25</v>
      </c>
      <c r="V197" s="13" t="str">
        <f t="shared" si="19"/>
        <v>No</v>
      </c>
      <c r="W197" s="13" t="str">
        <f t="shared" si="19"/>
        <v>Yes</v>
      </c>
      <c r="X197" s="13" t="str">
        <f t="shared" si="19"/>
        <v>No</v>
      </c>
      <c r="Y197" s="13" t="str">
        <f t="shared" si="19"/>
        <v>No</v>
      </c>
      <c r="Z197" s="13" t="str">
        <f t="shared" si="19"/>
        <v>No</v>
      </c>
      <c r="AA197" s="71">
        <f>+(Table1[[#This Row],[Everyday price]]-Table1[[#This Row],[Promo Price]])/Table1[[#This Row],[Everyday price]]</f>
        <v>0.11515151515151513</v>
      </c>
      <c r="AB197" s="69">
        <v>2.92</v>
      </c>
      <c r="AC197" s="69">
        <v>3.3</v>
      </c>
      <c r="AD197" s="41" t="s">
        <v>1229</v>
      </c>
      <c r="AE197" s="5">
        <v>46062</v>
      </c>
      <c r="AF197" s="5">
        <v>46068</v>
      </c>
      <c r="AG197" s="20">
        <v>5377</v>
      </c>
      <c r="AH197" s="6">
        <v>3119</v>
      </c>
      <c r="AI197" s="11">
        <f>Table1[[#This Row],[Incremental Units]]/Table1[[#This Row],[Base Units]]</f>
        <v>0.58006323228566115</v>
      </c>
      <c r="AJ197" s="11">
        <f>IF(AND(ISNUMBER(Table1[[#This Row],[Lift  ]]),ISNUMBER(Table1[[#This Row],[Plan lift, %]]),Table1[[#This Row],[Plan lift, %]]&lt;&gt;0),Table1[[#This Row],[Lift  ]]-Table1[[#This Row],[Plan lift, %]],"")</f>
        <v>0.38006323228566113</v>
      </c>
      <c r="AK197" s="11"/>
      <c r="AL197" s="71" t="s">
        <v>1400</v>
      </c>
      <c r="AM197" t="s">
        <v>1288</v>
      </c>
    </row>
    <row r="198" spans="1:39" x14ac:dyDescent="0.35">
      <c r="A198" t="s">
        <v>222</v>
      </c>
      <c r="B198" s="82">
        <v>1039</v>
      </c>
      <c r="C198" s="21" t="s">
        <v>42</v>
      </c>
      <c r="D198" s="13" t="s">
        <v>1234</v>
      </c>
      <c r="F198" s="21" t="s">
        <v>223</v>
      </c>
      <c r="G198" t="s">
        <v>23</v>
      </c>
      <c r="H198" s="14">
        <v>46068</v>
      </c>
      <c r="I198" s="14">
        <v>46081</v>
      </c>
      <c r="J198" s="13" t="s">
        <v>29</v>
      </c>
      <c r="L198" s="2">
        <v>4652.12</v>
      </c>
      <c r="M198" s="2">
        <v>6461.28</v>
      </c>
      <c r="N198" s="2">
        <v>1292.25</v>
      </c>
      <c r="O198" s="2">
        <v>7753.53</v>
      </c>
      <c r="P198" s="3">
        <v>0.2</v>
      </c>
      <c r="Q198" s="3"/>
      <c r="R198" s="2">
        <v>420.41</v>
      </c>
      <c r="S198" s="3">
        <v>0.11</v>
      </c>
      <c r="T198" s="2">
        <v>4280.62</v>
      </c>
      <c r="U198" s="13" t="s">
        <v>25</v>
      </c>
      <c r="V198" s="13" t="str">
        <f t="shared" si="19"/>
        <v>No</v>
      </c>
      <c r="W198" s="13" t="str">
        <f t="shared" si="19"/>
        <v>Yes</v>
      </c>
      <c r="X198" s="13" t="str">
        <f t="shared" si="19"/>
        <v>No</v>
      </c>
      <c r="Y198" s="13" t="str">
        <f t="shared" si="19"/>
        <v>No</v>
      </c>
      <c r="Z198" s="13" t="str">
        <f t="shared" si="19"/>
        <v>No</v>
      </c>
      <c r="AA198" s="71">
        <f>+(Table1[[#This Row],[Everyday price]]-Table1[[#This Row],[Promo Price]])/Table1[[#This Row],[Everyday price]]</f>
        <v>4.0991420400381284E-2</v>
      </c>
      <c r="AB198" s="69">
        <v>10.06</v>
      </c>
      <c r="AC198" s="69">
        <v>10.49</v>
      </c>
      <c r="AD198" s="41" t="s">
        <v>1229</v>
      </c>
      <c r="AE198" s="5">
        <v>46069</v>
      </c>
      <c r="AF198" s="5">
        <v>46082</v>
      </c>
      <c r="AG198" s="20">
        <v>3936</v>
      </c>
      <c r="AH198" s="6">
        <v>390</v>
      </c>
      <c r="AI198" s="11">
        <f>Table1[[#This Row],[Incremental Units]]/Table1[[#This Row],[Base Units]]</f>
        <v>9.9085365853658541E-2</v>
      </c>
      <c r="AJ198" s="11">
        <f>IF(AND(ISNUMBER(Table1[[#This Row],[Lift  ]]),ISNUMBER(Table1[[#This Row],[Plan lift, %]]),Table1[[#This Row],[Plan lift, %]]&lt;&gt;0),Table1[[#This Row],[Lift  ]]-Table1[[#This Row],[Plan lift, %]],"")</f>
        <v>-0.10091463414634147</v>
      </c>
      <c r="AK198" s="11"/>
      <c r="AL198" s="71" t="s">
        <v>1400</v>
      </c>
    </row>
    <row r="199" spans="1:39" x14ac:dyDescent="0.35">
      <c r="A199" t="s">
        <v>853</v>
      </c>
      <c r="B199" s="82">
        <v>1046</v>
      </c>
      <c r="C199" s="21" t="s">
        <v>42</v>
      </c>
      <c r="D199" s="13" t="s">
        <v>1234</v>
      </c>
      <c r="F199" s="21" t="s">
        <v>854</v>
      </c>
      <c r="G199" t="s">
        <v>23</v>
      </c>
      <c r="H199" s="14">
        <v>46096</v>
      </c>
      <c r="I199" s="14">
        <v>46111</v>
      </c>
      <c r="J199" s="13" t="s">
        <v>24</v>
      </c>
      <c r="L199" s="2">
        <v>5582.29</v>
      </c>
      <c r="M199" s="2">
        <v>17176.28</v>
      </c>
      <c r="N199" s="2">
        <v>5152.88</v>
      </c>
      <c r="O199" s="2">
        <v>22329.16</v>
      </c>
      <c r="P199" s="3">
        <v>0.3</v>
      </c>
      <c r="Q199" s="3"/>
      <c r="R199" s="2">
        <v>1094.46</v>
      </c>
      <c r="S199" s="3">
        <v>0.09</v>
      </c>
      <c r="T199" s="2">
        <v>13611.93</v>
      </c>
      <c r="U199" s="13" t="s">
        <v>25</v>
      </c>
      <c r="V199" s="13" t="str">
        <f t="shared" si="19"/>
        <v>No</v>
      </c>
      <c r="W199" s="13" t="str">
        <f t="shared" si="19"/>
        <v>Yes</v>
      </c>
      <c r="X199" s="13" t="str">
        <f t="shared" si="19"/>
        <v>No</v>
      </c>
      <c r="Y199" s="13" t="str">
        <f t="shared" si="19"/>
        <v>No</v>
      </c>
      <c r="Z199" s="13" t="str">
        <f t="shared" si="19"/>
        <v>No</v>
      </c>
      <c r="AA199" s="71">
        <f>+(Table1[[#This Row],[Everyday price]]-Table1[[#This Row],[Promo Price]])/Table1[[#This Row],[Everyday price]]</f>
        <v>0.13017751479289941</v>
      </c>
      <c r="AB199" s="69">
        <v>2.94</v>
      </c>
      <c r="AC199" s="69">
        <v>3.38</v>
      </c>
      <c r="AD199" s="41" t="s">
        <v>1229</v>
      </c>
      <c r="AE199" s="5">
        <v>46083</v>
      </c>
      <c r="AF199" s="5">
        <v>46096</v>
      </c>
      <c r="AG199" s="20">
        <v>8908</v>
      </c>
      <c r="AH199" s="6">
        <v>7295</v>
      </c>
      <c r="AI199" s="11">
        <f>Table1[[#This Row],[Incremental Units]]/Table1[[#This Row],[Base Units]]</f>
        <v>0.81892680736416701</v>
      </c>
      <c r="AJ199" s="11">
        <f>IF(AND(ISNUMBER(Table1[[#This Row],[Lift  ]]),ISNUMBER(Table1[[#This Row],[Plan lift, %]]),Table1[[#This Row],[Plan lift, %]]&lt;&gt;0),Table1[[#This Row],[Lift  ]]-Table1[[#This Row],[Plan lift, %]],"")</f>
        <v>0.51892680736416708</v>
      </c>
      <c r="AK199" s="11"/>
      <c r="AL199" s="71" t="s">
        <v>1400</v>
      </c>
    </row>
    <row r="200" spans="1:39" x14ac:dyDescent="0.35">
      <c r="A200" t="s">
        <v>633</v>
      </c>
      <c r="B200" s="82">
        <v>1037</v>
      </c>
      <c r="C200" s="21" t="s">
        <v>42</v>
      </c>
      <c r="D200" s="13" t="s">
        <v>1234</v>
      </c>
      <c r="F200" s="21" t="s">
        <v>634</v>
      </c>
      <c r="G200" t="s">
        <v>23</v>
      </c>
      <c r="H200" s="14">
        <v>46113</v>
      </c>
      <c r="I200" s="14">
        <v>46127</v>
      </c>
      <c r="J200" s="13" t="s">
        <v>29</v>
      </c>
      <c r="L200" s="2">
        <v>10147.64</v>
      </c>
      <c r="M200" s="2">
        <v>6988.73</v>
      </c>
      <c r="N200" s="2">
        <v>1397.75</v>
      </c>
      <c r="O200" s="2">
        <v>8386.48</v>
      </c>
      <c r="P200" s="3">
        <v>0.2</v>
      </c>
      <c r="Q200" s="3"/>
      <c r="R200" s="2">
        <v>545.58000000000004</v>
      </c>
      <c r="S200" s="3">
        <v>0.15</v>
      </c>
      <c r="T200" s="2">
        <v>4300.76</v>
      </c>
      <c r="U200" s="13" t="s">
        <v>25</v>
      </c>
      <c r="V200" s="13" t="str">
        <f t="shared" si="19"/>
        <v>No</v>
      </c>
      <c r="W200" s="13" t="str">
        <f t="shared" si="19"/>
        <v>Yes</v>
      </c>
      <c r="X200" s="13" t="str">
        <f t="shared" si="19"/>
        <v>No</v>
      </c>
      <c r="Y200" s="13" t="str">
        <f t="shared" si="19"/>
        <v>No</v>
      </c>
      <c r="Z200" s="13" t="str">
        <f t="shared" si="19"/>
        <v>No</v>
      </c>
      <c r="AA200" s="71" t="e">
        <f>+(Table1[[#This Row],[Everyday price]]-Table1[[#This Row],[Promo Price]])/Table1[[#This Row],[Everyday price]]</f>
        <v>#DIV/0!</v>
      </c>
      <c r="AC200" s="69"/>
      <c r="AH200" s="6"/>
      <c r="AI200" s="11"/>
      <c r="AJ200" s="11" t="str">
        <f>IF(AND(ISNUMBER(Table1[[#This Row],[Lift  ]]),ISNUMBER(Table1[[#This Row],[Plan lift, %]]),Table1[[#This Row],[Plan lift, %]]&lt;&gt;0),Table1[[#This Row],[Lift  ]]-Table1[[#This Row],[Plan lift, %]],"")</f>
        <v/>
      </c>
      <c r="AK200" s="11"/>
      <c r="AL200" s="71"/>
    </row>
    <row r="201" spans="1:39" x14ac:dyDescent="0.35">
      <c r="A201" t="s">
        <v>48</v>
      </c>
      <c r="B201" s="82">
        <v>1047</v>
      </c>
      <c r="C201" s="21" t="s">
        <v>42</v>
      </c>
      <c r="D201" s="13" t="s">
        <v>1234</v>
      </c>
      <c r="F201" s="21" t="s">
        <v>49</v>
      </c>
      <c r="G201" t="s">
        <v>23</v>
      </c>
      <c r="H201" s="14">
        <v>46143</v>
      </c>
      <c r="I201" s="14">
        <v>46156</v>
      </c>
      <c r="J201" s="13" t="s">
        <v>29</v>
      </c>
      <c r="L201" s="2">
        <v>5114.96</v>
      </c>
      <c r="M201" s="2">
        <v>7104.11</v>
      </c>
      <c r="N201" s="2">
        <v>1420.82</v>
      </c>
      <c r="O201" s="2">
        <v>8524.93</v>
      </c>
      <c r="P201" s="3">
        <v>0.2</v>
      </c>
      <c r="Q201" s="3"/>
      <c r="R201" s="2">
        <v>245.55</v>
      </c>
      <c r="S201" s="3">
        <v>0.08</v>
      </c>
      <c r="T201" s="2">
        <v>3376.67</v>
      </c>
      <c r="U201" s="13" t="s">
        <v>25</v>
      </c>
      <c r="V201" s="13" t="str">
        <f t="shared" si="19"/>
        <v>No</v>
      </c>
      <c r="W201" s="13" t="str">
        <f t="shared" si="19"/>
        <v>Yes</v>
      </c>
      <c r="X201" s="13" t="str">
        <f t="shared" si="19"/>
        <v>No</v>
      </c>
      <c r="Y201" s="13" t="str">
        <f t="shared" si="19"/>
        <v>No</v>
      </c>
      <c r="Z201" s="13" t="str">
        <f t="shared" si="19"/>
        <v>No</v>
      </c>
      <c r="AA201" s="71" t="e">
        <f>+(Table1[[#This Row],[Everyday price]]-Table1[[#This Row],[Promo Price]])/Table1[[#This Row],[Everyday price]]</f>
        <v>#DIV/0!</v>
      </c>
      <c r="AC201" s="69"/>
      <c r="AE201" s="5"/>
      <c r="AF201" s="5"/>
      <c r="AH201" s="6"/>
      <c r="AI201" s="11"/>
      <c r="AJ201" s="11" t="str">
        <f>IF(AND(ISNUMBER(Table1[[#This Row],[Lift  ]]),ISNUMBER(Table1[[#This Row],[Plan lift, %]]),Table1[[#This Row],[Plan lift, %]]&lt;&gt;0),Table1[[#This Row],[Lift  ]]-Table1[[#This Row],[Plan lift, %]],"")</f>
        <v/>
      </c>
      <c r="AK201" s="11"/>
      <c r="AL201" s="71"/>
    </row>
    <row r="202" spans="1:39" x14ac:dyDescent="0.35">
      <c r="A202" t="s">
        <v>1137</v>
      </c>
      <c r="B202" s="82">
        <v>1048</v>
      </c>
      <c r="C202" s="21" t="s">
        <v>42</v>
      </c>
      <c r="D202" s="13" t="s">
        <v>1234</v>
      </c>
      <c r="F202" s="21" t="s">
        <v>1138</v>
      </c>
      <c r="G202" t="s">
        <v>23</v>
      </c>
      <c r="H202" s="14">
        <v>46143</v>
      </c>
      <c r="I202" s="14">
        <v>46156</v>
      </c>
      <c r="J202" s="13" t="s">
        <v>24</v>
      </c>
      <c r="L202" s="2">
        <v>8955.2099999999991</v>
      </c>
      <c r="M202" s="2">
        <v>18656.669999999998</v>
      </c>
      <c r="N202" s="2">
        <v>3731.34</v>
      </c>
      <c r="O202" s="2">
        <v>22388.01</v>
      </c>
      <c r="P202" s="3">
        <v>0.2</v>
      </c>
      <c r="Q202" s="3"/>
      <c r="R202" s="2">
        <v>1124.3499999999999</v>
      </c>
      <c r="S202" s="3">
        <v>0.13</v>
      </c>
      <c r="T202" s="2">
        <v>10016.370000000001</v>
      </c>
      <c r="U202" s="13" t="s">
        <v>25</v>
      </c>
      <c r="V202" s="13" t="str">
        <f t="shared" ref="V202:Z211" si="20">IF(ISNUMBER(SEARCH(V$1,$U202)),"Yes","No")</f>
        <v>No</v>
      </c>
      <c r="W202" s="13" t="str">
        <f t="shared" si="20"/>
        <v>Yes</v>
      </c>
      <c r="X202" s="13" t="str">
        <f t="shared" si="20"/>
        <v>No</v>
      </c>
      <c r="Y202" s="13" t="str">
        <f t="shared" si="20"/>
        <v>No</v>
      </c>
      <c r="Z202" s="13" t="str">
        <f t="shared" si="20"/>
        <v>No</v>
      </c>
      <c r="AA202" s="71">
        <f>+(Table1[[#This Row],[Everyday price]]-Table1[[#This Row],[Promo Price]])/Table1[[#This Row],[Everyday price]]</f>
        <v>7.3654390934844133E-2</v>
      </c>
      <c r="AB202" s="69">
        <v>3.27</v>
      </c>
      <c r="AC202" s="69">
        <v>3.53</v>
      </c>
      <c r="AD202" s="41" t="s">
        <v>1256</v>
      </c>
      <c r="AE202" s="5">
        <v>46132</v>
      </c>
      <c r="AF202" s="5">
        <v>46145</v>
      </c>
      <c r="AG202" s="20">
        <v>12486</v>
      </c>
      <c r="AH202" s="6">
        <v>8639</v>
      </c>
      <c r="AI202" s="11">
        <f>Table1[[#This Row],[Incremental Units]]/Table1[[#This Row],[Base Units]]</f>
        <v>0.69189492231299055</v>
      </c>
      <c r="AJ202" s="11">
        <f>IF(AND(ISNUMBER(Table1[[#This Row],[Lift  ]]),ISNUMBER(Table1[[#This Row],[Plan lift, %]]),Table1[[#This Row],[Plan lift, %]]&lt;&gt;0),Table1[[#This Row],[Lift  ]]-Table1[[#This Row],[Plan lift, %]],"")</f>
        <v>0.49189492231299053</v>
      </c>
      <c r="AK202" s="11"/>
      <c r="AL202" s="71" t="s">
        <v>1400</v>
      </c>
      <c r="AM202" t="s">
        <v>1289</v>
      </c>
    </row>
    <row r="203" spans="1:39" x14ac:dyDescent="0.35">
      <c r="A203" t="s">
        <v>133</v>
      </c>
      <c r="B203" s="82">
        <v>1045</v>
      </c>
      <c r="C203" s="21" t="s">
        <v>42</v>
      </c>
      <c r="D203" s="13" t="s">
        <v>1234</v>
      </c>
      <c r="F203" s="21" t="s">
        <v>134</v>
      </c>
      <c r="G203" t="s">
        <v>23</v>
      </c>
      <c r="H203" s="14">
        <v>46174</v>
      </c>
      <c r="I203" s="14">
        <v>46187</v>
      </c>
      <c r="J203" s="13" t="s">
        <v>29</v>
      </c>
      <c r="L203" s="2">
        <v>4319.82</v>
      </c>
      <c r="M203" s="2">
        <v>5538.24</v>
      </c>
      <c r="N203" s="2">
        <v>1661.47</v>
      </c>
      <c r="O203" s="2">
        <v>7199.71</v>
      </c>
      <c r="P203" s="3">
        <v>0.3</v>
      </c>
      <c r="Q203" s="3"/>
      <c r="R203" s="2">
        <v>457.4</v>
      </c>
      <c r="S203" s="3">
        <v>0.15</v>
      </c>
      <c r="T203" s="2">
        <v>3487.2</v>
      </c>
      <c r="U203" s="13" t="s">
        <v>25</v>
      </c>
      <c r="V203" s="13" t="str">
        <f t="shared" si="20"/>
        <v>No</v>
      </c>
      <c r="W203" s="13" t="str">
        <f t="shared" si="20"/>
        <v>Yes</v>
      </c>
      <c r="X203" s="13" t="str">
        <f t="shared" si="20"/>
        <v>No</v>
      </c>
      <c r="Y203" s="13" t="str">
        <f t="shared" si="20"/>
        <v>No</v>
      </c>
      <c r="Z203" s="13" t="str">
        <f t="shared" si="20"/>
        <v>No</v>
      </c>
      <c r="AA203" s="71" t="e">
        <f>+(Table1[[#This Row],[Everyday price]]-Table1[[#This Row],[Promo Price]])/Table1[[#This Row],[Everyday price]]</f>
        <v>#DIV/0!</v>
      </c>
      <c r="AC203" s="69"/>
      <c r="AH203" s="6"/>
      <c r="AJ203" s="116" t="str">
        <f>IF(AND(ISNUMBER(Table1[[#This Row],[Lift  ]]),ISNUMBER(Table1[[#This Row],[Plan lift, %]]),Table1[[#This Row],[Plan lift, %]]&lt;&gt;0),Table1[[#This Row],[Lift  ]]-Table1[[#This Row],[Plan lift, %]],"")</f>
        <v/>
      </c>
      <c r="AK203" s="116"/>
    </row>
    <row r="204" spans="1:39" x14ac:dyDescent="0.35">
      <c r="A204" t="s">
        <v>972</v>
      </c>
      <c r="B204" s="12">
        <v>1043</v>
      </c>
      <c r="C204" s="21" t="s">
        <v>42</v>
      </c>
      <c r="D204" s="13" t="s">
        <v>1234</v>
      </c>
      <c r="F204" s="21" t="s">
        <v>973</v>
      </c>
      <c r="G204" t="s">
        <v>23</v>
      </c>
      <c r="H204" s="14">
        <v>46204</v>
      </c>
      <c r="I204" s="14">
        <v>46217</v>
      </c>
      <c r="J204" s="13" t="s">
        <v>29</v>
      </c>
      <c r="L204" s="2">
        <v>9549.31</v>
      </c>
      <c r="M204" s="2">
        <v>6576.66</v>
      </c>
      <c r="N204" s="2">
        <v>1315.33</v>
      </c>
      <c r="O204" s="2">
        <v>7891.99</v>
      </c>
      <c r="P204" s="3">
        <v>0.2</v>
      </c>
      <c r="Q204" s="3"/>
      <c r="R204" s="2">
        <v>318.64999999999998</v>
      </c>
      <c r="S204" s="3">
        <v>0.18</v>
      </c>
      <c r="T204" s="2">
        <v>2051.85</v>
      </c>
      <c r="U204" s="13" t="s">
        <v>25</v>
      </c>
      <c r="V204" s="13" t="str">
        <f t="shared" si="20"/>
        <v>No</v>
      </c>
      <c r="W204" s="13" t="str">
        <f t="shared" si="20"/>
        <v>Yes</v>
      </c>
      <c r="X204" s="13" t="str">
        <f t="shared" si="20"/>
        <v>No</v>
      </c>
      <c r="Y204" s="13" t="str">
        <f t="shared" si="20"/>
        <v>No</v>
      </c>
      <c r="Z204" s="13" t="str">
        <f t="shared" si="20"/>
        <v>No</v>
      </c>
      <c r="AA204" s="71" t="e">
        <f>+(Table1[[#This Row],[Everyday price]]-Table1[[#This Row],[Promo Price]])/Table1[[#This Row],[Everyday price]]</f>
        <v>#DIV/0!</v>
      </c>
      <c r="AC204" s="69"/>
      <c r="AH204" s="6"/>
      <c r="AJ204" s="116" t="str">
        <f>IF(AND(ISNUMBER(Table1[[#This Row],[Lift  ]]),ISNUMBER(Table1[[#This Row],[Plan lift, %]]),Table1[[#This Row],[Plan lift, %]]&lt;&gt;0),Table1[[#This Row],[Lift  ]]-Table1[[#This Row],[Plan lift, %]],"")</f>
        <v/>
      </c>
      <c r="AK204" s="116"/>
    </row>
    <row r="205" spans="1:39" x14ac:dyDescent="0.35">
      <c r="A205" t="s">
        <v>605</v>
      </c>
      <c r="B205" s="12">
        <v>1044</v>
      </c>
      <c r="C205" s="21" t="s">
        <v>42</v>
      </c>
      <c r="D205" s="13" t="s">
        <v>1234</v>
      </c>
      <c r="F205" s="21" t="s">
        <v>606</v>
      </c>
      <c r="G205" t="s">
        <v>23</v>
      </c>
      <c r="H205" s="14">
        <v>46204</v>
      </c>
      <c r="I205" s="14">
        <v>46217</v>
      </c>
      <c r="J205" s="13" t="s">
        <v>24</v>
      </c>
      <c r="L205" s="2">
        <v>5613.24</v>
      </c>
      <c r="M205" s="2">
        <v>17271.5</v>
      </c>
      <c r="N205" s="2">
        <v>5181.46</v>
      </c>
      <c r="O205" s="2">
        <v>22452.959999999999</v>
      </c>
      <c r="P205" s="3">
        <v>0.3</v>
      </c>
      <c r="Q205" s="3"/>
      <c r="R205" s="2">
        <v>2229.09</v>
      </c>
      <c r="S205" s="3">
        <v>0.41</v>
      </c>
      <c r="T205" s="2">
        <v>7664.32</v>
      </c>
      <c r="U205" s="13" t="s">
        <v>25</v>
      </c>
      <c r="V205" s="13" t="str">
        <f t="shared" si="20"/>
        <v>No</v>
      </c>
      <c r="W205" s="13" t="str">
        <f t="shared" si="20"/>
        <v>Yes</v>
      </c>
      <c r="X205" s="13" t="str">
        <f t="shared" si="20"/>
        <v>No</v>
      </c>
      <c r="Y205" s="13" t="str">
        <f t="shared" si="20"/>
        <v>No</v>
      </c>
      <c r="Z205" s="13" t="str">
        <f t="shared" si="20"/>
        <v>No</v>
      </c>
      <c r="AA205" s="71" t="e">
        <f>+(Table1[[#This Row],[Everyday price]]-Table1[[#This Row],[Promo Price]])/Table1[[#This Row],[Everyday price]]</f>
        <v>#DIV/0!</v>
      </c>
      <c r="AC205" s="69"/>
      <c r="AH205" s="6"/>
      <c r="AJ205" s="116" t="str">
        <f>IF(AND(ISNUMBER(Table1[[#This Row],[Lift  ]]),ISNUMBER(Table1[[#This Row],[Plan lift, %]]),Table1[[#This Row],[Plan lift, %]]&lt;&gt;0),Table1[[#This Row],[Lift  ]]-Table1[[#This Row],[Plan lift, %]],"")</f>
        <v/>
      </c>
      <c r="AK205" s="116"/>
    </row>
    <row r="206" spans="1:39" x14ac:dyDescent="0.35">
      <c r="A206" t="s">
        <v>554</v>
      </c>
      <c r="B206" s="12">
        <v>1038</v>
      </c>
      <c r="C206" s="21" t="s">
        <v>42</v>
      </c>
      <c r="D206" s="13" t="s">
        <v>1234</v>
      </c>
      <c r="F206" s="21" t="s">
        <v>555</v>
      </c>
      <c r="G206" t="s">
        <v>60</v>
      </c>
      <c r="H206" s="14">
        <v>46235</v>
      </c>
      <c r="I206" s="14">
        <v>46248</v>
      </c>
      <c r="J206" s="13" t="s">
        <v>24</v>
      </c>
      <c r="L206" s="2">
        <v>9017.5300000000007</v>
      </c>
      <c r="M206" s="2">
        <v>18786.54</v>
      </c>
      <c r="N206" s="2">
        <v>3757.3</v>
      </c>
      <c r="O206" s="2">
        <v>22543.84</v>
      </c>
      <c r="P206" s="3">
        <v>0.2</v>
      </c>
      <c r="Q206" s="3"/>
      <c r="R206" s="2">
        <v>0</v>
      </c>
      <c r="S206" s="3">
        <v>0</v>
      </c>
      <c r="T206" s="2">
        <v>0</v>
      </c>
      <c r="U206" s="13" t="s">
        <v>25</v>
      </c>
      <c r="V206" s="13" t="str">
        <f t="shared" si="20"/>
        <v>No</v>
      </c>
      <c r="W206" s="13" t="str">
        <f t="shared" si="20"/>
        <v>Yes</v>
      </c>
      <c r="X206" s="13" t="str">
        <f t="shared" si="20"/>
        <v>No</v>
      </c>
      <c r="Y206" s="13" t="str">
        <f t="shared" si="20"/>
        <v>No</v>
      </c>
      <c r="Z206" s="13" t="str">
        <f t="shared" si="20"/>
        <v>No</v>
      </c>
      <c r="AA206" s="71" t="e">
        <f>+(Table1[[#This Row],[Everyday price]]-Table1[[#This Row],[Promo Price]])/Table1[[#This Row],[Everyday price]]</f>
        <v>#DIV/0!</v>
      </c>
      <c r="AC206" s="71"/>
      <c r="AH206" s="6"/>
      <c r="AJ206" s="116" t="str">
        <f>IF(AND(ISNUMBER(Table1[[#This Row],[Lift  ]]),ISNUMBER(Table1[[#This Row],[Plan lift, %]]),Table1[[#This Row],[Plan lift, %]]&lt;&gt;0),Table1[[#This Row],[Lift  ]]-Table1[[#This Row],[Plan lift, %]],"")</f>
        <v/>
      </c>
      <c r="AK206" s="116"/>
    </row>
    <row r="207" spans="1:39" x14ac:dyDescent="0.35">
      <c r="A207" t="s">
        <v>80</v>
      </c>
      <c r="B207" s="12">
        <v>1051</v>
      </c>
      <c r="C207" s="21" t="s">
        <v>42</v>
      </c>
      <c r="D207" s="13" t="s">
        <v>1234</v>
      </c>
      <c r="F207" s="21" t="s">
        <v>81</v>
      </c>
      <c r="G207" t="s">
        <v>44</v>
      </c>
      <c r="H207" s="14">
        <v>46266</v>
      </c>
      <c r="I207" s="14">
        <v>46279</v>
      </c>
      <c r="J207" s="13" t="s">
        <v>29</v>
      </c>
      <c r="L207" s="2">
        <v>3987.54</v>
      </c>
      <c r="M207" s="2">
        <v>5538.24</v>
      </c>
      <c r="N207" s="2">
        <v>1107.6500000000001</v>
      </c>
      <c r="O207" s="2">
        <v>6645.89</v>
      </c>
      <c r="P207" s="3">
        <v>0.2</v>
      </c>
      <c r="Q207" s="3"/>
      <c r="R207" s="2">
        <v>0</v>
      </c>
      <c r="S207" s="3">
        <v>0</v>
      </c>
      <c r="T207" s="2">
        <v>0</v>
      </c>
      <c r="U207" s="13" t="s">
        <v>25</v>
      </c>
      <c r="V207" s="13" t="str">
        <f t="shared" si="20"/>
        <v>No</v>
      </c>
      <c r="W207" s="13" t="str">
        <f t="shared" si="20"/>
        <v>Yes</v>
      </c>
      <c r="X207" s="13" t="str">
        <f t="shared" si="20"/>
        <v>No</v>
      </c>
      <c r="Y207" s="13" t="str">
        <f t="shared" si="20"/>
        <v>No</v>
      </c>
      <c r="Z207" s="13" t="str">
        <f t="shared" si="20"/>
        <v>No</v>
      </c>
      <c r="AA207" s="71" t="e">
        <f>+(Table1[[#This Row],[Everyday price]]-Table1[[#This Row],[Promo Price]])/Table1[[#This Row],[Everyday price]]</f>
        <v>#DIV/0!</v>
      </c>
      <c r="AC207" s="71"/>
      <c r="AH207" s="6"/>
      <c r="AJ207" s="116" t="str">
        <f>IF(AND(ISNUMBER(Table1[[#This Row],[Lift  ]]),ISNUMBER(Table1[[#This Row],[Plan lift, %]]),Table1[[#This Row],[Plan lift, %]]&lt;&gt;0),Table1[[#This Row],[Lift  ]]-Table1[[#This Row],[Plan lift, %]],"")</f>
        <v/>
      </c>
      <c r="AK207" s="116"/>
    </row>
    <row r="208" spans="1:39" x14ac:dyDescent="0.35">
      <c r="A208" t="s">
        <v>129</v>
      </c>
      <c r="B208" s="12">
        <v>1052</v>
      </c>
      <c r="C208" s="21" t="s">
        <v>42</v>
      </c>
      <c r="D208" s="13" t="s">
        <v>1234</v>
      </c>
      <c r="F208" s="21" t="s">
        <v>130</v>
      </c>
      <c r="G208" t="s">
        <v>44</v>
      </c>
      <c r="H208" s="14">
        <v>46266</v>
      </c>
      <c r="I208" s="14">
        <v>46279</v>
      </c>
      <c r="J208" s="13" t="s">
        <v>24</v>
      </c>
      <c r="L208" s="2">
        <v>4181.5200000000004</v>
      </c>
      <c r="M208" s="2">
        <v>14544.42</v>
      </c>
      <c r="N208" s="2">
        <v>2181.67</v>
      </c>
      <c r="O208" s="2">
        <v>16726.09</v>
      </c>
      <c r="P208" s="3">
        <v>0.15</v>
      </c>
      <c r="Q208" s="3"/>
      <c r="R208" s="2">
        <v>0</v>
      </c>
      <c r="S208" s="3">
        <v>0</v>
      </c>
      <c r="T208" s="2">
        <v>0</v>
      </c>
      <c r="U208" s="13" t="s">
        <v>25</v>
      </c>
      <c r="V208" s="13" t="str">
        <f t="shared" si="20"/>
        <v>No</v>
      </c>
      <c r="W208" s="13" t="str">
        <f t="shared" si="20"/>
        <v>Yes</v>
      </c>
      <c r="X208" s="13" t="str">
        <f t="shared" si="20"/>
        <v>No</v>
      </c>
      <c r="Y208" s="13" t="str">
        <f t="shared" si="20"/>
        <v>No</v>
      </c>
      <c r="Z208" s="13" t="str">
        <f t="shared" si="20"/>
        <v>No</v>
      </c>
      <c r="AA208" s="71" t="e">
        <f>+(Table1[[#This Row],[Everyday price]]-Table1[[#This Row],[Promo Price]])/Table1[[#This Row],[Everyday price]]</f>
        <v>#DIV/0!</v>
      </c>
      <c r="AC208" s="69"/>
      <c r="AH208" s="6"/>
      <c r="AJ208" s="116" t="str">
        <f>IF(AND(ISNUMBER(Table1[[#This Row],[Lift  ]]),ISNUMBER(Table1[[#This Row],[Plan lift, %]]),Table1[[#This Row],[Plan lift, %]]&lt;&gt;0),Table1[[#This Row],[Lift  ]]-Table1[[#This Row],[Plan lift, %]],"")</f>
        <v/>
      </c>
      <c r="AK208" s="116"/>
    </row>
    <row r="209" spans="1:39" x14ac:dyDescent="0.35">
      <c r="A209" t="s">
        <v>41</v>
      </c>
      <c r="B209" s="12">
        <v>1049</v>
      </c>
      <c r="C209" s="21" t="s">
        <v>42</v>
      </c>
      <c r="D209" s="13" t="s">
        <v>1234</v>
      </c>
      <c r="F209" s="21" t="s">
        <v>43</v>
      </c>
      <c r="G209" t="s">
        <v>44</v>
      </c>
      <c r="H209" s="14">
        <v>46327</v>
      </c>
      <c r="I209" s="14">
        <v>46340</v>
      </c>
      <c r="J209" s="13" t="s">
        <v>29</v>
      </c>
      <c r="L209" s="2">
        <v>4996.2700000000004</v>
      </c>
      <c r="M209" s="2">
        <v>6939.28</v>
      </c>
      <c r="N209" s="2">
        <v>1387.85</v>
      </c>
      <c r="O209" s="2">
        <v>8327.1299999999992</v>
      </c>
      <c r="P209" s="3">
        <v>0.2</v>
      </c>
      <c r="Q209" s="3"/>
      <c r="R209" s="2">
        <v>0</v>
      </c>
      <c r="S209" s="3">
        <v>0</v>
      </c>
      <c r="T209" s="2">
        <v>0</v>
      </c>
      <c r="U209" s="13" t="s">
        <v>25</v>
      </c>
      <c r="V209" s="13" t="str">
        <f t="shared" si="20"/>
        <v>No</v>
      </c>
      <c r="W209" s="13" t="str">
        <f t="shared" si="20"/>
        <v>Yes</v>
      </c>
      <c r="X209" s="13" t="str">
        <f t="shared" si="20"/>
        <v>No</v>
      </c>
      <c r="Y209" s="13" t="str">
        <f t="shared" si="20"/>
        <v>No</v>
      </c>
      <c r="Z209" s="13" t="str">
        <f t="shared" si="20"/>
        <v>No</v>
      </c>
      <c r="AA209" s="71" t="e">
        <f>+(Table1[[#This Row],[Everyday price]]-Table1[[#This Row],[Promo Price]])/Table1[[#This Row],[Everyday price]]</f>
        <v>#DIV/0!</v>
      </c>
      <c r="AC209" s="69"/>
      <c r="AH209" s="6"/>
      <c r="AJ209" s="116" t="str">
        <f>IF(AND(ISNUMBER(Table1[[#This Row],[Lift  ]]),ISNUMBER(Table1[[#This Row],[Plan lift, %]]),Table1[[#This Row],[Plan lift, %]]&lt;&gt;0),Table1[[#This Row],[Lift  ]]-Table1[[#This Row],[Plan lift, %]],"")</f>
        <v/>
      </c>
      <c r="AK209" s="116"/>
    </row>
    <row r="210" spans="1:39" x14ac:dyDescent="0.35">
      <c r="A210" t="s">
        <v>948</v>
      </c>
      <c r="B210" s="12">
        <v>1050</v>
      </c>
      <c r="C210" s="21" t="s">
        <v>42</v>
      </c>
      <c r="D210" s="13" t="s">
        <v>1234</v>
      </c>
      <c r="F210" s="21" t="s">
        <v>949</v>
      </c>
      <c r="G210" t="s">
        <v>44</v>
      </c>
      <c r="H210" s="14">
        <v>46327</v>
      </c>
      <c r="I210" s="14">
        <v>46340</v>
      </c>
      <c r="J210" s="13" t="s">
        <v>24</v>
      </c>
      <c r="L210" s="2">
        <v>5922.73</v>
      </c>
      <c r="M210" s="2">
        <v>18223.79</v>
      </c>
      <c r="N210" s="2">
        <v>5467.14</v>
      </c>
      <c r="O210" s="2">
        <v>23690.93</v>
      </c>
      <c r="P210" s="3">
        <v>0.3</v>
      </c>
      <c r="Q210" s="3"/>
      <c r="R210" s="2">
        <v>0</v>
      </c>
      <c r="S210" s="3">
        <v>0</v>
      </c>
      <c r="T210" s="2">
        <v>0</v>
      </c>
      <c r="U210" s="13" t="s">
        <v>25</v>
      </c>
      <c r="V210" s="13" t="str">
        <f t="shared" si="20"/>
        <v>No</v>
      </c>
      <c r="W210" s="13" t="str">
        <f t="shared" si="20"/>
        <v>Yes</v>
      </c>
      <c r="X210" s="13" t="str">
        <f t="shared" si="20"/>
        <v>No</v>
      </c>
      <c r="Y210" s="13" t="str">
        <f t="shared" si="20"/>
        <v>No</v>
      </c>
      <c r="Z210" s="13" t="str">
        <f t="shared" si="20"/>
        <v>No</v>
      </c>
      <c r="AA210" s="71" t="e">
        <f>+(Table1[[#This Row],[Everyday price]]-Table1[[#This Row],[Promo Price]])/Table1[[#This Row],[Everyday price]]</f>
        <v>#DIV/0!</v>
      </c>
      <c r="AC210" s="69"/>
      <c r="AH210" s="6"/>
      <c r="AJ210" s="116" t="str">
        <f>IF(AND(ISNUMBER(Table1[[#This Row],[Lift  ]]),ISNUMBER(Table1[[#This Row],[Plan lift, %]]),Table1[[#This Row],[Plan lift, %]]&lt;&gt;0),Table1[[#This Row],[Lift  ]]-Table1[[#This Row],[Plan lift, %]],"")</f>
        <v/>
      </c>
      <c r="AK210" s="116"/>
    </row>
    <row r="211" spans="1:39" x14ac:dyDescent="0.35">
      <c r="A211" t="s">
        <v>1208</v>
      </c>
      <c r="B211" s="12">
        <v>1168</v>
      </c>
      <c r="C211" s="21" t="s">
        <v>610</v>
      </c>
      <c r="D211" s="13" t="s">
        <v>1230</v>
      </c>
      <c r="F211" s="21" t="s">
        <v>1209</v>
      </c>
      <c r="G211" t="s">
        <v>23</v>
      </c>
      <c r="H211" s="14">
        <v>46023</v>
      </c>
      <c r="I211" s="14">
        <v>46081</v>
      </c>
      <c r="J211" s="13" t="s">
        <v>24</v>
      </c>
      <c r="L211" s="2">
        <v>5240.2</v>
      </c>
      <c r="M211" s="2">
        <v>9113.4</v>
      </c>
      <c r="N211" s="2">
        <v>1367</v>
      </c>
      <c r="O211" s="2">
        <v>10480.4</v>
      </c>
      <c r="P211" s="3">
        <v>0.15</v>
      </c>
      <c r="Q211" s="3"/>
      <c r="R211" s="2">
        <v>0</v>
      </c>
      <c r="S211" s="3">
        <v>0</v>
      </c>
      <c r="T211" s="2">
        <v>0</v>
      </c>
      <c r="U211" s="13" t="s">
        <v>25</v>
      </c>
      <c r="V211" s="13" t="str">
        <f t="shared" si="20"/>
        <v>No</v>
      </c>
      <c r="W211" s="13" t="str">
        <f t="shared" si="20"/>
        <v>Yes</v>
      </c>
      <c r="X211" s="13" t="str">
        <f t="shared" si="20"/>
        <v>No</v>
      </c>
      <c r="Y211" s="13" t="str">
        <f t="shared" si="20"/>
        <v>No</v>
      </c>
      <c r="Z211" s="13" t="str">
        <f t="shared" si="20"/>
        <v>No</v>
      </c>
      <c r="AA211" s="71" t="e">
        <f>+(Table1[[#This Row],[Everyday price]]-Table1[[#This Row],[Promo Price]])/Table1[[#This Row],[Everyday price]]</f>
        <v>#DIV/0!</v>
      </c>
      <c r="AC211" s="69"/>
      <c r="AH211" s="6"/>
      <c r="AJ211" s="116" t="str">
        <f>IF(AND(ISNUMBER(Table1[[#This Row],[Lift  ]]),ISNUMBER(Table1[[#This Row],[Plan lift, %]]),Table1[[#This Row],[Plan lift, %]]&lt;&gt;0),Table1[[#This Row],[Lift  ]]-Table1[[#This Row],[Plan lift, %]],"")</f>
        <v/>
      </c>
      <c r="AK211" s="116"/>
    </row>
    <row r="212" spans="1:39" x14ac:dyDescent="0.35">
      <c r="A212" t="s">
        <v>609</v>
      </c>
      <c r="B212" s="12">
        <v>1169</v>
      </c>
      <c r="C212" s="21" t="s">
        <v>610</v>
      </c>
      <c r="D212" s="13" t="s">
        <v>1230</v>
      </c>
      <c r="F212" s="21" t="s">
        <v>611</v>
      </c>
      <c r="G212" t="s">
        <v>60</v>
      </c>
      <c r="H212" s="14">
        <v>46204</v>
      </c>
      <c r="I212" s="14">
        <v>46265</v>
      </c>
      <c r="J212" s="13" t="s">
        <v>24</v>
      </c>
      <c r="L212" s="2">
        <v>2815.28</v>
      </c>
      <c r="M212" s="2">
        <v>9792.2999999999993</v>
      </c>
      <c r="N212" s="2">
        <v>1468.84</v>
      </c>
      <c r="O212" s="2">
        <v>11261.14</v>
      </c>
      <c r="P212" s="3">
        <v>0.15</v>
      </c>
      <c r="Q212" s="3"/>
      <c r="R212" s="2">
        <v>0</v>
      </c>
      <c r="S212" s="3">
        <v>0</v>
      </c>
      <c r="T212" s="2">
        <v>0</v>
      </c>
      <c r="U212" s="13" t="s">
        <v>25</v>
      </c>
      <c r="V212" s="13" t="str">
        <f t="shared" ref="V212:Z221" si="21">IF(ISNUMBER(SEARCH(V$1,$U212)),"Yes","No")</f>
        <v>No</v>
      </c>
      <c r="W212" s="13" t="str">
        <f t="shared" si="21"/>
        <v>Yes</v>
      </c>
      <c r="X212" s="13" t="str">
        <f t="shared" si="21"/>
        <v>No</v>
      </c>
      <c r="Y212" s="13" t="str">
        <f t="shared" si="21"/>
        <v>No</v>
      </c>
      <c r="Z212" s="13" t="str">
        <f t="shared" si="21"/>
        <v>No</v>
      </c>
      <c r="AA212" s="71" t="e">
        <f>+(Table1[[#This Row],[Everyday price]]-Table1[[#This Row],[Promo Price]])/Table1[[#This Row],[Everyday price]]</f>
        <v>#DIV/0!</v>
      </c>
      <c r="AC212" s="69"/>
      <c r="AH212" s="6"/>
      <c r="AJ212" s="116" t="str">
        <f>IF(AND(ISNUMBER(Table1[[#This Row],[Lift  ]]),ISNUMBER(Table1[[#This Row],[Plan lift, %]]),Table1[[#This Row],[Plan lift, %]]&lt;&gt;0),Table1[[#This Row],[Lift  ]]-Table1[[#This Row],[Plan lift, %]],"")</f>
        <v/>
      </c>
      <c r="AK212" s="116"/>
    </row>
    <row r="213" spans="1:39" x14ac:dyDescent="0.35">
      <c r="A213" t="s">
        <v>429</v>
      </c>
      <c r="B213" s="82">
        <v>1242</v>
      </c>
      <c r="C213" s="21" t="s">
        <v>63</v>
      </c>
      <c r="D213" s="13" t="s">
        <v>1232</v>
      </c>
      <c r="F213" s="21" t="s">
        <v>430</v>
      </c>
      <c r="G213" t="s">
        <v>23</v>
      </c>
      <c r="H213" s="14">
        <v>46023</v>
      </c>
      <c r="I213" s="14">
        <v>46053</v>
      </c>
      <c r="J213" s="13" t="s">
        <v>24</v>
      </c>
      <c r="L213" s="2">
        <v>6791.02</v>
      </c>
      <c r="M213" s="2">
        <v>5623.72</v>
      </c>
      <c r="N213" s="2">
        <v>1968.3</v>
      </c>
      <c r="O213" s="2">
        <v>7592.02</v>
      </c>
      <c r="P213" s="3">
        <v>0.35</v>
      </c>
      <c r="Q213" s="3"/>
      <c r="R213" s="2">
        <v>2025.68</v>
      </c>
      <c r="S213" s="3">
        <v>0.47</v>
      </c>
      <c r="T213" s="2">
        <v>6381.5999999999995</v>
      </c>
      <c r="U213" s="13" t="s">
        <v>33</v>
      </c>
      <c r="V213" s="13" t="str">
        <f t="shared" si="21"/>
        <v>No</v>
      </c>
      <c r="W213" s="13" t="str">
        <f t="shared" si="21"/>
        <v>Yes</v>
      </c>
      <c r="X213" s="13" t="str">
        <f t="shared" si="21"/>
        <v>Yes</v>
      </c>
      <c r="Y213" s="13" t="str">
        <f t="shared" si="21"/>
        <v>No</v>
      </c>
      <c r="Z213" s="13" t="str">
        <f t="shared" si="21"/>
        <v>No</v>
      </c>
      <c r="AA213" s="71">
        <f>+(Table1[[#This Row],[Everyday price]]-Table1[[#This Row],[Promo Price]])/Table1[[#This Row],[Everyday price]]</f>
        <v>0.23344947735191635</v>
      </c>
      <c r="AB213" s="69">
        <v>2.2000000000000002</v>
      </c>
      <c r="AC213" s="69">
        <v>2.87</v>
      </c>
      <c r="AD213" s="40" t="s">
        <v>1251</v>
      </c>
      <c r="AE213" s="76">
        <v>46020</v>
      </c>
      <c r="AF213" s="77">
        <v>46047</v>
      </c>
      <c r="AG213" s="20">
        <v>5170</v>
      </c>
      <c r="AH213" s="6">
        <v>2655</v>
      </c>
      <c r="AI213" s="11">
        <f>Table1[[#This Row],[Incremental Units]]/Table1[[#This Row],[Base Units]]</f>
        <v>0.51353965183752415</v>
      </c>
      <c r="AJ213" s="11">
        <f>IF(AND(ISNUMBER(Table1[[#This Row],[Lift  ]]),ISNUMBER(Table1[[#This Row],[Plan lift, %]]),Table1[[#This Row],[Plan lift, %]]&lt;&gt;0),Table1[[#This Row],[Lift  ]]-Table1[[#This Row],[Plan lift, %]],"")</f>
        <v>0.16353965183752417</v>
      </c>
      <c r="AK213" s="11"/>
      <c r="AL213" s="71" t="s">
        <v>1400</v>
      </c>
      <c r="AM213" s="4" t="s">
        <v>1301</v>
      </c>
    </row>
    <row r="214" spans="1:39" x14ac:dyDescent="0.35">
      <c r="A214" t="s">
        <v>556</v>
      </c>
      <c r="B214" s="82">
        <v>1246</v>
      </c>
      <c r="C214" s="21" t="s">
        <v>63</v>
      </c>
      <c r="D214" s="13" t="s">
        <v>1232</v>
      </c>
      <c r="F214" s="21" t="s">
        <v>557</v>
      </c>
      <c r="G214" t="s">
        <v>23</v>
      </c>
      <c r="H214" s="14">
        <v>46054</v>
      </c>
      <c r="I214" s="14">
        <v>46081</v>
      </c>
      <c r="J214" s="13" t="s">
        <v>29</v>
      </c>
      <c r="L214" s="2">
        <v>809.72</v>
      </c>
      <c r="M214" s="2">
        <v>864</v>
      </c>
      <c r="N214" s="2">
        <v>172.8</v>
      </c>
      <c r="O214" s="2">
        <v>1036.8</v>
      </c>
      <c r="P214" s="3">
        <v>0.2</v>
      </c>
      <c r="Q214" s="3"/>
      <c r="R214" s="2">
        <v>214.12</v>
      </c>
      <c r="S214" s="3">
        <v>0.32</v>
      </c>
      <c r="T214" s="2">
        <v>878.28999999999985</v>
      </c>
      <c r="U214" s="13" t="s">
        <v>33</v>
      </c>
      <c r="V214" s="13" t="str">
        <f t="shared" si="21"/>
        <v>No</v>
      </c>
      <c r="W214" s="13" t="str">
        <f t="shared" si="21"/>
        <v>Yes</v>
      </c>
      <c r="X214" s="13" t="str">
        <f t="shared" si="21"/>
        <v>Yes</v>
      </c>
      <c r="Y214" s="13" t="str">
        <f t="shared" si="21"/>
        <v>No</v>
      </c>
      <c r="Z214" s="13" t="str">
        <f t="shared" si="21"/>
        <v>No</v>
      </c>
      <c r="AA214" s="71">
        <f>+(Table1[[#This Row],[Everyday price]]-Table1[[#This Row],[Promo Price]])/Table1[[#This Row],[Everyday price]]</f>
        <v>6.8480300187617305E-2</v>
      </c>
      <c r="AB214" s="69">
        <v>9.93</v>
      </c>
      <c r="AC214" s="69">
        <v>10.66</v>
      </c>
      <c r="AD214" s="40" t="s">
        <v>1251</v>
      </c>
      <c r="AE214" s="5">
        <v>46048</v>
      </c>
      <c r="AF214" s="5">
        <v>46075</v>
      </c>
      <c r="AG214" s="20">
        <v>640</v>
      </c>
      <c r="AH214" s="6">
        <v>283</v>
      </c>
      <c r="AI214" s="11">
        <f>Table1[[#This Row],[Incremental Units]]/Table1[[#This Row],[Base Units]]</f>
        <v>0.44218750000000001</v>
      </c>
      <c r="AJ214" s="11">
        <f>IF(AND(ISNUMBER(Table1[[#This Row],[Lift  ]]),ISNUMBER(Table1[[#This Row],[Plan lift, %]]),Table1[[#This Row],[Plan lift, %]]&lt;&gt;0),Table1[[#This Row],[Lift  ]]-Table1[[#This Row],[Plan lift, %]],"")</f>
        <v>0.2421875</v>
      </c>
      <c r="AK214" s="11"/>
      <c r="AL214" s="71" t="s">
        <v>1400</v>
      </c>
    </row>
    <row r="215" spans="1:39" x14ac:dyDescent="0.35">
      <c r="A215" t="s">
        <v>205</v>
      </c>
      <c r="B215" s="82">
        <v>1243</v>
      </c>
      <c r="C215" s="21" t="s">
        <v>63</v>
      </c>
      <c r="D215" s="13" t="s">
        <v>1232</v>
      </c>
      <c r="F215" s="21" t="s">
        <v>206</v>
      </c>
      <c r="G215" t="s">
        <v>23</v>
      </c>
      <c r="H215" s="14">
        <v>46113</v>
      </c>
      <c r="I215" s="14">
        <v>46142</v>
      </c>
      <c r="J215" s="13" t="s">
        <v>24</v>
      </c>
      <c r="L215" s="2">
        <v>2425.7800000000002</v>
      </c>
      <c r="M215" s="2">
        <v>6248.57</v>
      </c>
      <c r="N215" s="2">
        <v>1874.57</v>
      </c>
      <c r="O215" s="2">
        <v>8123.14</v>
      </c>
      <c r="P215" s="3">
        <v>0.3</v>
      </c>
      <c r="Q215" s="3"/>
      <c r="R215" s="2">
        <v>1869.54</v>
      </c>
      <c r="S215" s="3">
        <v>0.5</v>
      </c>
      <c r="T215" s="2">
        <v>5636.86</v>
      </c>
      <c r="U215" s="13" t="s">
        <v>33</v>
      </c>
      <c r="V215" s="13" t="str">
        <f t="shared" si="21"/>
        <v>No</v>
      </c>
      <c r="W215" s="13" t="str">
        <f t="shared" si="21"/>
        <v>Yes</v>
      </c>
      <c r="X215" s="13" t="str">
        <f t="shared" si="21"/>
        <v>Yes</v>
      </c>
      <c r="Y215" s="13" t="str">
        <f t="shared" si="21"/>
        <v>No</v>
      </c>
      <c r="Z215" s="13" t="str">
        <f t="shared" si="21"/>
        <v>No</v>
      </c>
      <c r="AA215" s="71">
        <f>+(Table1[[#This Row],[Everyday price]]-Table1[[#This Row],[Promo Price]])/Table1[[#This Row],[Everyday price]]</f>
        <v>0.13588850174216033</v>
      </c>
      <c r="AB215" s="69">
        <v>2.48</v>
      </c>
      <c r="AC215" s="69">
        <v>2.87</v>
      </c>
      <c r="AD215" s="40" t="s">
        <v>1257</v>
      </c>
      <c r="AE215" s="5">
        <v>46111</v>
      </c>
      <c r="AF215" s="5">
        <v>46138</v>
      </c>
      <c r="AG215" s="20">
        <v>4434</v>
      </c>
      <c r="AH215" s="6">
        <v>2320</v>
      </c>
      <c r="AI215" s="11">
        <f>Table1[[#This Row],[Incremental Units]]/Table1[[#This Row],[Base Units]]</f>
        <v>0.52322958953540821</v>
      </c>
      <c r="AJ215" s="11">
        <f>IF(AND(ISNUMBER(Table1[[#This Row],[Lift  ]]),ISNUMBER(Table1[[#This Row],[Plan lift, %]]),Table1[[#This Row],[Plan lift, %]]&lt;&gt;0),Table1[[#This Row],[Lift  ]]-Table1[[#This Row],[Plan lift, %]],"")</f>
        <v>0.22322958953540822</v>
      </c>
      <c r="AK215" s="11"/>
      <c r="AL215" s="71" t="s">
        <v>1400</v>
      </c>
    </row>
    <row r="216" spans="1:39" x14ac:dyDescent="0.35">
      <c r="A216" t="s">
        <v>930</v>
      </c>
      <c r="B216" s="82">
        <v>1247</v>
      </c>
      <c r="C216" s="21" t="s">
        <v>63</v>
      </c>
      <c r="D216" s="13" t="s">
        <v>1232</v>
      </c>
      <c r="F216" s="21" t="s">
        <v>931</v>
      </c>
      <c r="G216" t="s">
        <v>23</v>
      </c>
      <c r="H216" s="14">
        <v>46143</v>
      </c>
      <c r="I216" s="14">
        <v>46173</v>
      </c>
      <c r="J216" s="13" t="s">
        <v>29</v>
      </c>
      <c r="L216" s="2">
        <v>911.56</v>
      </c>
      <c r="M216" s="2">
        <v>956.56</v>
      </c>
      <c r="N216" s="2">
        <v>334.8</v>
      </c>
      <c r="O216" s="2">
        <v>1291.3599999999999</v>
      </c>
      <c r="P216" s="3">
        <v>0.35</v>
      </c>
      <c r="Q216" s="3"/>
      <c r="R216" s="2">
        <v>185.49</v>
      </c>
      <c r="S216" s="3">
        <v>0.3</v>
      </c>
      <c r="T216" s="2">
        <v>800.71</v>
      </c>
      <c r="U216" s="13" t="s">
        <v>33</v>
      </c>
      <c r="V216" s="13" t="str">
        <f t="shared" si="21"/>
        <v>No</v>
      </c>
      <c r="W216" s="13" t="str">
        <f t="shared" si="21"/>
        <v>Yes</v>
      </c>
      <c r="X216" s="13" t="str">
        <f t="shared" si="21"/>
        <v>Yes</v>
      </c>
      <c r="Y216" s="13" t="str">
        <f t="shared" si="21"/>
        <v>No</v>
      </c>
      <c r="Z216" s="13" t="str">
        <f t="shared" si="21"/>
        <v>No</v>
      </c>
      <c r="AA216" s="71">
        <f>+(Table1[[#This Row],[Everyday price]]-Table1[[#This Row],[Promo Price]])/Table1[[#This Row],[Everyday price]]</f>
        <v>7.5489282385834147E-2</v>
      </c>
      <c r="AB216" s="69">
        <v>9.92</v>
      </c>
      <c r="AC216" s="69">
        <v>10.73</v>
      </c>
      <c r="AD216" s="40" t="s">
        <v>1257</v>
      </c>
      <c r="AE216" s="5">
        <v>46146</v>
      </c>
      <c r="AF216" s="5">
        <v>46173</v>
      </c>
      <c r="AG216" s="20">
        <v>545</v>
      </c>
      <c r="AH216" s="6">
        <v>185</v>
      </c>
      <c r="AI216" s="11">
        <f>Table1[[#This Row],[Incremental Units]]/Table1[[#This Row],[Base Units]]</f>
        <v>0.33944954128440369</v>
      </c>
      <c r="AJ216" s="11">
        <f>IF(AND(ISNUMBER(Table1[[#This Row],[Lift  ]]),ISNUMBER(Table1[[#This Row],[Plan lift, %]]),Table1[[#This Row],[Plan lift, %]]&lt;&gt;0),Table1[[#This Row],[Lift  ]]-Table1[[#This Row],[Plan lift, %]],"")</f>
        <v>-1.0550458715596289E-2</v>
      </c>
      <c r="AK216" s="11"/>
      <c r="AL216" s="71" t="s">
        <v>1400</v>
      </c>
    </row>
    <row r="217" spans="1:39" x14ac:dyDescent="0.35">
      <c r="A217" t="s">
        <v>778</v>
      </c>
      <c r="B217" s="12">
        <v>1244</v>
      </c>
      <c r="C217" s="21" t="s">
        <v>63</v>
      </c>
      <c r="D217" s="13" t="s">
        <v>1232</v>
      </c>
      <c r="F217" s="21" t="s">
        <v>779</v>
      </c>
      <c r="G217" t="s">
        <v>23</v>
      </c>
      <c r="H217" s="14">
        <v>46204</v>
      </c>
      <c r="I217" s="14">
        <v>46234</v>
      </c>
      <c r="J217" s="13" t="s">
        <v>24</v>
      </c>
      <c r="L217" s="2">
        <v>4598.4399999999996</v>
      </c>
      <c r="M217" s="2">
        <v>6456.85</v>
      </c>
      <c r="N217" s="2">
        <v>1937.05</v>
      </c>
      <c r="O217" s="2">
        <v>8393.9</v>
      </c>
      <c r="P217" s="3">
        <v>0.3</v>
      </c>
      <c r="Q217" s="3"/>
      <c r="R217" s="2">
        <v>1229.0999999999999</v>
      </c>
      <c r="S217" s="3">
        <v>1.1399999999999999</v>
      </c>
      <c r="T217" s="2">
        <v>2302.5700000000002</v>
      </c>
      <c r="U217" s="13" t="s">
        <v>33</v>
      </c>
      <c r="V217" s="13" t="str">
        <f t="shared" si="21"/>
        <v>No</v>
      </c>
      <c r="W217" s="13" t="str">
        <f t="shared" si="21"/>
        <v>Yes</v>
      </c>
      <c r="X217" s="13" t="str">
        <f t="shared" si="21"/>
        <v>Yes</v>
      </c>
      <c r="Y217" s="13" t="str">
        <f t="shared" si="21"/>
        <v>No</v>
      </c>
      <c r="Z217" s="13" t="str">
        <f t="shared" si="21"/>
        <v>No</v>
      </c>
      <c r="AA217" s="71" t="e">
        <f>+(Table1[[#This Row],[Everyday price]]-Table1[[#This Row],[Promo Price]])/Table1[[#This Row],[Everyday price]]</f>
        <v>#DIV/0!</v>
      </c>
      <c r="AC217" s="69"/>
      <c r="AH217" s="6"/>
      <c r="AI217" s="11"/>
      <c r="AJ217" s="11" t="str">
        <f>IF(AND(ISNUMBER(Table1[[#This Row],[Lift  ]]),ISNUMBER(Table1[[#This Row],[Plan lift, %]]),Table1[[#This Row],[Plan lift, %]]&lt;&gt;0),Table1[[#This Row],[Lift  ]]-Table1[[#This Row],[Plan lift, %]],"")</f>
        <v/>
      </c>
      <c r="AK217" s="11"/>
      <c r="AL217" s="71"/>
    </row>
    <row r="218" spans="1:39" x14ac:dyDescent="0.35">
      <c r="A218" t="s">
        <v>664</v>
      </c>
      <c r="B218" s="12">
        <v>1248</v>
      </c>
      <c r="C218" s="21" t="s">
        <v>63</v>
      </c>
      <c r="D218" s="13" t="s">
        <v>1232</v>
      </c>
      <c r="F218" s="21" t="s">
        <v>665</v>
      </c>
      <c r="G218" t="s">
        <v>60</v>
      </c>
      <c r="H218" s="14">
        <v>46235</v>
      </c>
      <c r="I218" s="14">
        <v>46248</v>
      </c>
      <c r="J218" s="13" t="s">
        <v>29</v>
      </c>
      <c r="L218" s="2">
        <v>878.84</v>
      </c>
      <c r="M218" s="2">
        <v>432</v>
      </c>
      <c r="N218" s="2">
        <v>172.8</v>
      </c>
      <c r="O218" s="2">
        <v>604.79999999999995</v>
      </c>
      <c r="P218" s="3">
        <v>0.4</v>
      </c>
      <c r="Q218" s="3"/>
      <c r="R218" s="2">
        <v>0</v>
      </c>
      <c r="S218" s="3">
        <v>0</v>
      </c>
      <c r="T218" s="2">
        <v>0</v>
      </c>
      <c r="U218" s="13" t="s">
        <v>33</v>
      </c>
      <c r="V218" s="13" t="str">
        <f t="shared" si="21"/>
        <v>No</v>
      </c>
      <c r="W218" s="13" t="str">
        <f t="shared" si="21"/>
        <v>Yes</v>
      </c>
      <c r="X218" s="13" t="str">
        <f t="shared" si="21"/>
        <v>Yes</v>
      </c>
      <c r="Y218" s="13" t="str">
        <f t="shared" si="21"/>
        <v>No</v>
      </c>
      <c r="Z218" s="13" t="str">
        <f t="shared" si="21"/>
        <v>No</v>
      </c>
      <c r="AA218" s="71" t="e">
        <f>+(Table1[[#This Row],[Everyday price]]-Table1[[#This Row],[Promo Price]])/Table1[[#This Row],[Everyday price]]</f>
        <v>#DIV/0!</v>
      </c>
      <c r="AC218" s="69"/>
      <c r="AH218" s="6"/>
      <c r="AI218" s="11"/>
      <c r="AJ218" s="11" t="str">
        <f>IF(AND(ISNUMBER(Table1[[#This Row],[Lift  ]]),ISNUMBER(Table1[[#This Row],[Plan lift, %]]),Table1[[#This Row],[Plan lift, %]]&lt;&gt;0),Table1[[#This Row],[Lift  ]]-Table1[[#This Row],[Plan lift, %]],"")</f>
        <v/>
      </c>
      <c r="AK218" s="11"/>
      <c r="AL218" s="71"/>
    </row>
    <row r="219" spans="1:39" x14ac:dyDescent="0.35">
      <c r="A219" t="s">
        <v>62</v>
      </c>
      <c r="B219" s="12">
        <v>1245</v>
      </c>
      <c r="C219" s="21" t="s">
        <v>63</v>
      </c>
      <c r="D219" s="13" t="s">
        <v>1232</v>
      </c>
      <c r="F219" s="21" t="s">
        <v>64</v>
      </c>
      <c r="G219" t="s">
        <v>44</v>
      </c>
      <c r="H219" s="14">
        <v>46296</v>
      </c>
      <c r="I219" s="14">
        <v>46326</v>
      </c>
      <c r="J219" s="13" t="s">
        <v>24</v>
      </c>
      <c r="L219" s="2">
        <v>2493.44</v>
      </c>
      <c r="M219" s="2">
        <v>6456.85</v>
      </c>
      <c r="N219" s="2">
        <v>1937.05</v>
      </c>
      <c r="O219" s="2">
        <v>8393.9</v>
      </c>
      <c r="P219" s="3">
        <v>0.3</v>
      </c>
      <c r="Q219" s="3"/>
      <c r="R219" s="2">
        <v>0</v>
      </c>
      <c r="S219" s="3">
        <v>0</v>
      </c>
      <c r="T219" s="2">
        <v>0</v>
      </c>
      <c r="U219" s="13" t="s">
        <v>33</v>
      </c>
      <c r="V219" s="13" t="str">
        <f t="shared" si="21"/>
        <v>No</v>
      </c>
      <c r="W219" s="13" t="str">
        <f t="shared" si="21"/>
        <v>Yes</v>
      </c>
      <c r="X219" s="13" t="str">
        <f t="shared" si="21"/>
        <v>Yes</v>
      </c>
      <c r="Y219" s="13" t="str">
        <f t="shared" si="21"/>
        <v>No</v>
      </c>
      <c r="Z219" s="13" t="str">
        <f t="shared" si="21"/>
        <v>No</v>
      </c>
      <c r="AA219" s="71" t="e">
        <f>+(Table1[[#This Row],[Everyday price]]-Table1[[#This Row],[Promo Price]])/Table1[[#This Row],[Everyday price]]</f>
        <v>#DIV/0!</v>
      </c>
      <c r="AC219" s="71"/>
      <c r="AH219" s="6"/>
      <c r="AI219" s="11"/>
      <c r="AJ219" s="11" t="str">
        <f>IF(AND(ISNUMBER(Table1[[#This Row],[Lift  ]]),ISNUMBER(Table1[[#This Row],[Plan lift, %]]),Table1[[#This Row],[Plan lift, %]]&lt;&gt;0),Table1[[#This Row],[Lift  ]]-Table1[[#This Row],[Plan lift, %]],"")</f>
        <v/>
      </c>
      <c r="AK219" s="11"/>
      <c r="AL219" s="71"/>
    </row>
    <row r="220" spans="1:39" x14ac:dyDescent="0.35">
      <c r="A220" t="s">
        <v>863</v>
      </c>
      <c r="B220" s="12">
        <v>945</v>
      </c>
      <c r="C220" s="21" t="s">
        <v>83</v>
      </c>
      <c r="D220" s="13" t="s">
        <v>1232</v>
      </c>
      <c r="F220" s="21" t="s">
        <v>864</v>
      </c>
      <c r="G220" t="s">
        <v>23</v>
      </c>
      <c r="H220" s="14">
        <v>46054</v>
      </c>
      <c r="I220" s="14">
        <v>46081</v>
      </c>
      <c r="J220" s="13" t="s">
        <v>24</v>
      </c>
      <c r="L220" s="2">
        <v>513.24</v>
      </c>
      <c r="M220" s="2">
        <v>780</v>
      </c>
      <c r="N220" s="2">
        <v>312</v>
      </c>
      <c r="O220" s="2">
        <v>1092</v>
      </c>
      <c r="P220" s="3">
        <v>0.4</v>
      </c>
      <c r="Q220" s="3"/>
      <c r="R220" s="2">
        <v>0</v>
      </c>
      <c r="S220" s="3">
        <v>0</v>
      </c>
      <c r="T220" s="2">
        <v>0</v>
      </c>
      <c r="U220" s="13" t="s">
        <v>25</v>
      </c>
      <c r="V220" s="13" t="str">
        <f t="shared" si="21"/>
        <v>No</v>
      </c>
      <c r="W220" s="13" t="str">
        <f t="shared" si="21"/>
        <v>Yes</v>
      </c>
      <c r="X220" s="13" t="str">
        <f t="shared" si="21"/>
        <v>No</v>
      </c>
      <c r="Y220" s="13" t="str">
        <f t="shared" si="21"/>
        <v>No</v>
      </c>
      <c r="Z220" s="13" t="str">
        <f t="shared" si="21"/>
        <v>No</v>
      </c>
      <c r="AA220" s="71" t="e">
        <f>+(Table1[[#This Row],[Everyday price]]-Table1[[#This Row],[Promo Price]])/Table1[[#This Row],[Everyday price]]</f>
        <v>#DIV/0!</v>
      </c>
      <c r="AC220" s="69"/>
      <c r="AH220" s="6"/>
      <c r="AI220" s="11"/>
      <c r="AJ220" s="11" t="str">
        <f>IF(AND(ISNUMBER(Table1[[#This Row],[Lift  ]]),ISNUMBER(Table1[[#This Row],[Plan lift, %]]),Table1[[#This Row],[Plan lift, %]]&lt;&gt;0),Table1[[#This Row],[Lift  ]]-Table1[[#This Row],[Plan lift, %]],"")</f>
        <v/>
      </c>
      <c r="AK220" s="11"/>
      <c r="AL220" s="71"/>
    </row>
    <row r="221" spans="1:39" x14ac:dyDescent="0.35">
      <c r="A221" t="s">
        <v>1038</v>
      </c>
      <c r="B221" s="12">
        <v>946</v>
      </c>
      <c r="C221" s="21" t="s">
        <v>83</v>
      </c>
      <c r="D221" s="13" t="s">
        <v>1232</v>
      </c>
      <c r="F221" s="21" t="s">
        <v>1039</v>
      </c>
      <c r="G221" t="s">
        <v>23</v>
      </c>
      <c r="H221" s="14">
        <v>46143</v>
      </c>
      <c r="I221" s="14">
        <v>46173</v>
      </c>
      <c r="J221" s="13" t="s">
        <v>24</v>
      </c>
      <c r="L221" s="2">
        <v>527.64</v>
      </c>
      <c r="M221" s="2">
        <v>863.56</v>
      </c>
      <c r="N221" s="2">
        <v>259.06</v>
      </c>
      <c r="O221" s="2">
        <v>1122.6199999999999</v>
      </c>
      <c r="P221" s="3">
        <v>0.3</v>
      </c>
      <c r="Q221" s="3"/>
      <c r="R221" s="2">
        <v>0</v>
      </c>
      <c r="S221" s="3">
        <v>0</v>
      </c>
      <c r="T221" s="2">
        <v>0</v>
      </c>
      <c r="U221" s="13" t="s">
        <v>25</v>
      </c>
      <c r="V221" s="13" t="str">
        <f t="shared" si="21"/>
        <v>No</v>
      </c>
      <c r="W221" s="13" t="str">
        <f t="shared" si="21"/>
        <v>Yes</v>
      </c>
      <c r="X221" s="13" t="str">
        <f t="shared" si="21"/>
        <v>No</v>
      </c>
      <c r="Y221" s="13" t="str">
        <f t="shared" si="21"/>
        <v>No</v>
      </c>
      <c r="Z221" s="13" t="str">
        <f t="shared" si="21"/>
        <v>No</v>
      </c>
      <c r="AA221" s="71" t="e">
        <f>+(Table1[[#This Row],[Everyday price]]-Table1[[#This Row],[Promo Price]])/Table1[[#This Row],[Everyday price]]</f>
        <v>#DIV/0!</v>
      </c>
      <c r="AC221" s="69"/>
      <c r="AH221" s="6"/>
      <c r="AI221" s="11"/>
      <c r="AJ221" s="11" t="str">
        <f>IF(AND(ISNUMBER(Table1[[#This Row],[Lift  ]]),ISNUMBER(Table1[[#This Row],[Plan lift, %]]),Table1[[#This Row],[Plan lift, %]]&lt;&gt;0),Table1[[#This Row],[Lift  ]]-Table1[[#This Row],[Plan lift, %]],"")</f>
        <v/>
      </c>
      <c r="AK221" s="11"/>
      <c r="AL221" s="71"/>
    </row>
    <row r="222" spans="1:39" x14ac:dyDescent="0.35">
      <c r="A222" t="s">
        <v>82</v>
      </c>
      <c r="B222" s="12">
        <v>947</v>
      </c>
      <c r="C222" s="21" t="s">
        <v>83</v>
      </c>
      <c r="D222" s="13" t="s">
        <v>1232</v>
      </c>
      <c r="F222" s="21" t="s">
        <v>84</v>
      </c>
      <c r="G222" t="s">
        <v>23</v>
      </c>
      <c r="H222" s="14">
        <v>46204</v>
      </c>
      <c r="I222" s="14">
        <v>46234</v>
      </c>
      <c r="J222" s="13" t="s">
        <v>24</v>
      </c>
      <c r="L222" s="2">
        <v>527.64</v>
      </c>
      <c r="M222" s="2">
        <v>863.56</v>
      </c>
      <c r="N222" s="2">
        <v>259.06</v>
      </c>
      <c r="O222" s="2">
        <v>1122.6199999999999</v>
      </c>
      <c r="P222" s="3">
        <v>0.3</v>
      </c>
      <c r="Q222" s="3"/>
      <c r="R222" s="2">
        <v>0</v>
      </c>
      <c r="S222" s="3">
        <v>0</v>
      </c>
      <c r="T222" s="2">
        <v>0</v>
      </c>
      <c r="U222" s="13" t="s">
        <v>25</v>
      </c>
      <c r="V222" s="13" t="str">
        <f t="shared" ref="V222:Z231" si="22">IF(ISNUMBER(SEARCH(V$1,$U222)),"Yes","No")</f>
        <v>No</v>
      </c>
      <c r="W222" s="13" t="str">
        <f t="shared" si="22"/>
        <v>Yes</v>
      </c>
      <c r="X222" s="13" t="str">
        <f t="shared" si="22"/>
        <v>No</v>
      </c>
      <c r="Y222" s="13" t="str">
        <f t="shared" si="22"/>
        <v>No</v>
      </c>
      <c r="Z222" s="13" t="str">
        <f t="shared" si="22"/>
        <v>No</v>
      </c>
      <c r="AA222" s="71" t="e">
        <f>+(Table1[[#This Row],[Everyday price]]-Table1[[#This Row],[Promo Price]])/Table1[[#This Row],[Everyday price]]</f>
        <v>#DIV/0!</v>
      </c>
      <c r="AC222" s="69"/>
      <c r="AH222" s="6"/>
      <c r="AI222" s="11"/>
      <c r="AJ222" s="11" t="str">
        <f>IF(AND(ISNUMBER(Table1[[#This Row],[Lift  ]]),ISNUMBER(Table1[[#This Row],[Plan lift, %]]),Table1[[#This Row],[Plan lift, %]]&lt;&gt;0),Table1[[#This Row],[Lift  ]]-Table1[[#This Row],[Plan lift, %]],"")</f>
        <v/>
      </c>
      <c r="AK222" s="11"/>
      <c r="AL222" s="71"/>
    </row>
    <row r="223" spans="1:39" x14ac:dyDescent="0.35">
      <c r="A223" t="s">
        <v>1198</v>
      </c>
      <c r="B223" s="12">
        <v>948</v>
      </c>
      <c r="C223" s="21" t="s">
        <v>83</v>
      </c>
      <c r="D223" s="13" t="s">
        <v>1232</v>
      </c>
      <c r="F223" s="21" t="s">
        <v>1199</v>
      </c>
      <c r="G223" t="s">
        <v>44</v>
      </c>
      <c r="H223" s="14">
        <v>46296</v>
      </c>
      <c r="I223" s="14">
        <v>46326</v>
      </c>
      <c r="J223" s="13" t="s">
        <v>24</v>
      </c>
      <c r="L223" s="2">
        <v>527.64</v>
      </c>
      <c r="M223" s="2">
        <v>863.56</v>
      </c>
      <c r="N223" s="2">
        <v>259.06</v>
      </c>
      <c r="O223" s="2">
        <v>1122.6199999999999</v>
      </c>
      <c r="P223" s="3">
        <v>0.3</v>
      </c>
      <c r="Q223" s="3"/>
      <c r="R223" s="2">
        <v>0</v>
      </c>
      <c r="S223" s="3">
        <v>0</v>
      </c>
      <c r="T223" s="2">
        <v>0</v>
      </c>
      <c r="U223" s="13" t="s">
        <v>25</v>
      </c>
      <c r="V223" s="13" t="str">
        <f t="shared" si="22"/>
        <v>No</v>
      </c>
      <c r="W223" s="13" t="str">
        <f t="shared" si="22"/>
        <v>Yes</v>
      </c>
      <c r="X223" s="13" t="str">
        <f t="shared" si="22"/>
        <v>No</v>
      </c>
      <c r="Y223" s="13" t="str">
        <f t="shared" si="22"/>
        <v>No</v>
      </c>
      <c r="Z223" s="13" t="str">
        <f t="shared" si="22"/>
        <v>No</v>
      </c>
      <c r="AA223" s="71" t="e">
        <f>+(Table1[[#This Row],[Everyday price]]-Table1[[#This Row],[Promo Price]])/Table1[[#This Row],[Everyday price]]</f>
        <v>#DIV/0!</v>
      </c>
      <c r="AC223" s="69"/>
      <c r="AH223" s="6"/>
      <c r="AI223" s="11"/>
      <c r="AJ223" s="11" t="str">
        <f>IF(AND(ISNUMBER(Table1[[#This Row],[Lift  ]]),ISNUMBER(Table1[[#This Row],[Plan lift, %]]),Table1[[#This Row],[Plan lift, %]]&lt;&gt;0),Table1[[#This Row],[Lift  ]]-Table1[[#This Row],[Plan lift, %]],"")</f>
        <v/>
      </c>
      <c r="AK223" s="11"/>
      <c r="AL223" s="71"/>
    </row>
    <row r="224" spans="1:39" x14ac:dyDescent="0.35">
      <c r="A224" t="s">
        <v>612</v>
      </c>
      <c r="B224" s="82">
        <v>1170</v>
      </c>
      <c r="C224" s="21" t="s">
        <v>613</v>
      </c>
      <c r="D224" s="13" t="s">
        <v>1230</v>
      </c>
      <c r="F224" t="s">
        <v>614</v>
      </c>
      <c r="G224" t="s">
        <v>23</v>
      </c>
      <c r="H224" s="1">
        <v>46023</v>
      </c>
      <c r="I224" s="1">
        <v>46081</v>
      </c>
      <c r="J224" s="13" t="s">
        <v>24</v>
      </c>
      <c r="L224" s="2">
        <v>59397.42</v>
      </c>
      <c r="M224" s="2">
        <v>76435.649999999994</v>
      </c>
      <c r="N224" s="2">
        <v>11465.34</v>
      </c>
      <c r="O224" s="2">
        <v>87900.99</v>
      </c>
      <c r="P224" s="3">
        <v>0.15</v>
      </c>
      <c r="Q224" s="3"/>
      <c r="R224" s="2">
        <v>8445.41</v>
      </c>
      <c r="S224" s="3">
        <v>0.28000000000000003</v>
      </c>
      <c r="T224" s="2">
        <v>38397.199999999997</v>
      </c>
      <c r="U224" t="s">
        <v>33</v>
      </c>
      <c r="V224" s="13" t="str">
        <f t="shared" si="22"/>
        <v>No</v>
      </c>
      <c r="W224" s="13" t="str">
        <f t="shared" si="22"/>
        <v>Yes</v>
      </c>
      <c r="X224" s="13" t="str">
        <f t="shared" si="22"/>
        <v>Yes</v>
      </c>
      <c r="Y224" s="13" t="str">
        <f t="shared" si="22"/>
        <v>No</v>
      </c>
      <c r="Z224" s="13" t="str">
        <f t="shared" si="22"/>
        <v>No</v>
      </c>
      <c r="AA224" s="81">
        <f>+(Table1[[#This Row],[Everyday price]]-Table1[[#This Row],[Promo Price]])/Table1[[#This Row],[Everyday price]]</f>
        <v>0.18338108882521492</v>
      </c>
      <c r="AB224" s="69">
        <v>2.85</v>
      </c>
      <c r="AC224" s="69">
        <v>3.49</v>
      </c>
      <c r="AD224" s="15" t="s">
        <v>1256</v>
      </c>
      <c r="AE224" s="5">
        <v>46041</v>
      </c>
      <c r="AF224" s="5">
        <v>46075</v>
      </c>
      <c r="AG224" s="20">
        <v>20878</v>
      </c>
      <c r="AH224" s="6">
        <v>5435</v>
      </c>
      <c r="AI224" s="11">
        <f>Table1[[#This Row],[Incremental Units]]/Table1[[#This Row],[Base Units]]</f>
        <v>0.260321869910911</v>
      </c>
      <c r="AJ224" s="11">
        <f>IF(AND(ISNUMBER(Table1[[#This Row],[Lift  ]]),ISNUMBER(Table1[[#This Row],[Plan lift, %]]),Table1[[#This Row],[Plan lift, %]]&lt;&gt;0),Table1[[#This Row],[Lift  ]]-Table1[[#This Row],[Plan lift, %]],"")</f>
        <v>0.110321869910911</v>
      </c>
      <c r="AK224" s="11"/>
      <c r="AL224" s="71" t="s">
        <v>1400</v>
      </c>
    </row>
    <row r="225" spans="1:39" x14ac:dyDescent="0.35">
      <c r="A225" t="s">
        <v>840</v>
      </c>
      <c r="B225" s="12">
        <v>1171</v>
      </c>
      <c r="C225" s="21" t="s">
        <v>613</v>
      </c>
      <c r="D225" s="13" t="s">
        <v>1230</v>
      </c>
      <c r="F225" t="s">
        <v>841</v>
      </c>
      <c r="G225" t="s">
        <v>23</v>
      </c>
      <c r="H225" s="1">
        <v>46143</v>
      </c>
      <c r="I225" s="1">
        <v>46203</v>
      </c>
      <c r="J225" s="13" t="s">
        <v>24</v>
      </c>
      <c r="L225" s="2">
        <v>38305.919999999998</v>
      </c>
      <c r="M225" s="2">
        <v>78977.19</v>
      </c>
      <c r="N225" s="2">
        <v>11846.58</v>
      </c>
      <c r="O225" s="2">
        <v>90823.77</v>
      </c>
      <c r="P225" s="3">
        <v>0.15</v>
      </c>
      <c r="Q225" s="3"/>
      <c r="R225" s="2">
        <v>5793.86</v>
      </c>
      <c r="S225" s="3">
        <v>0.15</v>
      </c>
      <c r="T225" s="2">
        <v>45420.24</v>
      </c>
      <c r="U225" t="s">
        <v>33</v>
      </c>
      <c r="V225" s="13" t="str">
        <f t="shared" si="22"/>
        <v>No</v>
      </c>
      <c r="W225" s="13" t="str">
        <f t="shared" si="22"/>
        <v>Yes</v>
      </c>
      <c r="X225" s="13" t="str">
        <f t="shared" si="22"/>
        <v>Yes</v>
      </c>
      <c r="Y225" s="13" t="str">
        <f t="shared" si="22"/>
        <v>No</v>
      </c>
      <c r="Z225" s="13" t="str">
        <f t="shared" si="22"/>
        <v>No</v>
      </c>
      <c r="AA225" s="71" t="e">
        <f>+(Table1[[#This Row],[Everyday price]]-Table1[[#This Row],[Promo Price]])/Table1[[#This Row],[Everyday price]]</f>
        <v>#DIV/0!</v>
      </c>
      <c r="AC225" s="69"/>
      <c r="AD225" s="13"/>
      <c r="AH225" s="6"/>
      <c r="AJ225" s="116" t="str">
        <f>IF(AND(ISNUMBER(Table1[[#This Row],[Lift  ]]),ISNUMBER(Table1[[#This Row],[Plan lift, %]]),Table1[[#This Row],[Plan lift, %]]&lt;&gt;0),Table1[[#This Row],[Lift  ]]-Table1[[#This Row],[Plan lift, %]],"")</f>
        <v/>
      </c>
      <c r="AK225" s="116"/>
    </row>
    <row r="226" spans="1:39" x14ac:dyDescent="0.35">
      <c r="A226" t="s">
        <v>1125</v>
      </c>
      <c r="B226" s="12">
        <v>1172</v>
      </c>
      <c r="C226" s="21" t="s">
        <v>613</v>
      </c>
      <c r="D226" s="13" t="s">
        <v>1230</v>
      </c>
      <c r="F226" t="s">
        <v>1126</v>
      </c>
      <c r="G226" t="s">
        <v>44</v>
      </c>
      <c r="H226" s="1">
        <v>46266</v>
      </c>
      <c r="I226" s="1">
        <v>46325</v>
      </c>
      <c r="J226" s="13" t="s">
        <v>24</v>
      </c>
      <c r="L226" s="2">
        <v>37548.18</v>
      </c>
      <c r="M226" s="2">
        <v>76341.48</v>
      </c>
      <c r="N226" s="2">
        <v>11451.21</v>
      </c>
      <c r="O226" s="2">
        <v>87792.69</v>
      </c>
      <c r="P226" s="3">
        <v>0.15</v>
      </c>
      <c r="Q226" s="3"/>
      <c r="R226" s="2">
        <v>0</v>
      </c>
      <c r="S226" s="3">
        <v>0</v>
      </c>
      <c r="T226" s="2">
        <v>0</v>
      </c>
      <c r="U226" t="s">
        <v>33</v>
      </c>
      <c r="V226" s="13" t="str">
        <f t="shared" si="22"/>
        <v>No</v>
      </c>
      <c r="W226" s="13" t="str">
        <f t="shared" si="22"/>
        <v>Yes</v>
      </c>
      <c r="X226" s="13" t="str">
        <f t="shared" si="22"/>
        <v>Yes</v>
      </c>
      <c r="Y226" s="13" t="str">
        <f t="shared" si="22"/>
        <v>No</v>
      </c>
      <c r="Z226" s="13" t="str">
        <f t="shared" si="22"/>
        <v>No</v>
      </c>
      <c r="AA226" s="71" t="e">
        <f>+(Table1[[#This Row],[Everyday price]]-Table1[[#This Row],[Promo Price]])/Table1[[#This Row],[Everyday price]]</f>
        <v>#DIV/0!</v>
      </c>
      <c r="AC226" s="69"/>
      <c r="AD226" s="13"/>
      <c r="AH226" s="6"/>
      <c r="AJ226" s="116" t="str">
        <f>IF(AND(ISNUMBER(Table1[[#This Row],[Lift  ]]),ISNUMBER(Table1[[#This Row],[Plan lift, %]]),Table1[[#This Row],[Plan lift, %]]&lt;&gt;0),Table1[[#This Row],[Lift  ]]-Table1[[#This Row],[Plan lift, %]],"")</f>
        <v/>
      </c>
      <c r="AK226" s="116"/>
    </row>
    <row r="227" spans="1:39" x14ac:dyDescent="0.35">
      <c r="A227" t="s">
        <v>1154</v>
      </c>
      <c r="B227" s="12">
        <v>1173</v>
      </c>
      <c r="C227" s="21" t="s">
        <v>1085</v>
      </c>
      <c r="D227" s="13" t="s">
        <v>1230</v>
      </c>
      <c r="F227" t="s">
        <v>1155</v>
      </c>
      <c r="G227" t="s">
        <v>23</v>
      </c>
      <c r="H227" s="1">
        <v>46082</v>
      </c>
      <c r="I227" s="1">
        <v>46142</v>
      </c>
      <c r="J227" s="13" t="s">
        <v>24</v>
      </c>
      <c r="L227" s="2">
        <v>2963.12</v>
      </c>
      <c r="M227" s="2">
        <v>5089.16</v>
      </c>
      <c r="N227" s="2">
        <v>763.36</v>
      </c>
      <c r="O227" s="2">
        <v>5852.52</v>
      </c>
      <c r="P227" s="3">
        <v>0.15</v>
      </c>
      <c r="Q227" s="3"/>
      <c r="R227" s="2">
        <v>0</v>
      </c>
      <c r="S227" s="3">
        <v>0</v>
      </c>
      <c r="T227" s="2">
        <v>0</v>
      </c>
      <c r="U227" t="s">
        <v>33</v>
      </c>
      <c r="V227" s="13" t="str">
        <f t="shared" si="22"/>
        <v>No</v>
      </c>
      <c r="W227" s="13" t="str">
        <f t="shared" si="22"/>
        <v>Yes</v>
      </c>
      <c r="X227" s="13" t="str">
        <f t="shared" si="22"/>
        <v>Yes</v>
      </c>
      <c r="Y227" s="13" t="str">
        <f t="shared" si="22"/>
        <v>No</v>
      </c>
      <c r="Z227" s="13" t="str">
        <f t="shared" si="22"/>
        <v>No</v>
      </c>
      <c r="AA227" s="71" t="e">
        <f>+(Table1[[#This Row],[Everyday price]]-Table1[[#This Row],[Promo Price]])/Table1[[#This Row],[Everyday price]]</f>
        <v>#DIV/0!</v>
      </c>
      <c r="AC227" s="69"/>
      <c r="AD227" s="13"/>
      <c r="AH227" s="6"/>
      <c r="AJ227" s="116" t="str">
        <f>IF(AND(ISNUMBER(Table1[[#This Row],[Lift  ]]),ISNUMBER(Table1[[#This Row],[Plan lift, %]]),Table1[[#This Row],[Plan lift, %]]&lt;&gt;0),Table1[[#This Row],[Lift  ]]-Table1[[#This Row],[Plan lift, %]],"")</f>
        <v/>
      </c>
      <c r="AK227" s="116"/>
    </row>
    <row r="228" spans="1:39" x14ac:dyDescent="0.35">
      <c r="A228" t="s">
        <v>1084</v>
      </c>
      <c r="B228" s="12">
        <v>1174</v>
      </c>
      <c r="C228" s="21" t="s">
        <v>1085</v>
      </c>
      <c r="D228" s="13" t="s">
        <v>1230</v>
      </c>
      <c r="F228" t="s">
        <v>1086</v>
      </c>
      <c r="G228" t="s">
        <v>44</v>
      </c>
      <c r="H228" s="1">
        <v>46266</v>
      </c>
      <c r="I228" s="1">
        <v>46326</v>
      </c>
      <c r="J228" s="13" t="s">
        <v>24</v>
      </c>
      <c r="L228" s="2">
        <v>3463.12</v>
      </c>
      <c r="M228" s="2">
        <v>5089.16</v>
      </c>
      <c r="N228" s="2">
        <v>763.36</v>
      </c>
      <c r="O228" s="2">
        <v>5852.52</v>
      </c>
      <c r="P228" s="3">
        <v>0.15</v>
      </c>
      <c r="Q228" s="3"/>
      <c r="R228" s="2">
        <v>0</v>
      </c>
      <c r="S228" s="3">
        <v>0</v>
      </c>
      <c r="T228" s="2">
        <v>0</v>
      </c>
      <c r="U228" t="s">
        <v>33</v>
      </c>
      <c r="V228" s="13" t="str">
        <f t="shared" si="22"/>
        <v>No</v>
      </c>
      <c r="W228" s="13" t="str">
        <f t="shared" si="22"/>
        <v>Yes</v>
      </c>
      <c r="X228" s="13" t="str">
        <f t="shared" si="22"/>
        <v>Yes</v>
      </c>
      <c r="Y228" s="13" t="str">
        <f t="shared" si="22"/>
        <v>No</v>
      </c>
      <c r="Z228" s="13" t="str">
        <f t="shared" si="22"/>
        <v>No</v>
      </c>
      <c r="AA228" s="71" t="e">
        <f>+(Table1[[#This Row],[Everyday price]]-Table1[[#This Row],[Promo Price]])/Table1[[#This Row],[Everyday price]]</f>
        <v>#DIV/0!</v>
      </c>
      <c r="AC228" s="69"/>
      <c r="AD228" s="13"/>
      <c r="AH228" s="6"/>
      <c r="AJ228" s="116" t="str">
        <f>IF(AND(ISNUMBER(Table1[[#This Row],[Lift  ]]),ISNUMBER(Table1[[#This Row],[Plan lift, %]]),Table1[[#This Row],[Plan lift, %]]&lt;&gt;0),Table1[[#This Row],[Lift  ]]-Table1[[#This Row],[Plan lift, %]],"")</f>
        <v/>
      </c>
      <c r="AK228" s="116"/>
    </row>
    <row r="229" spans="1:39" x14ac:dyDescent="0.35">
      <c r="A229" t="s">
        <v>1158</v>
      </c>
      <c r="B229" s="44">
        <v>1249</v>
      </c>
      <c r="C229" s="21" t="s">
        <v>786</v>
      </c>
      <c r="D229" s="13" t="s">
        <v>1230</v>
      </c>
      <c r="F229" t="s">
        <v>1159</v>
      </c>
      <c r="G229" t="s">
        <v>23</v>
      </c>
      <c r="H229" s="1">
        <v>46023</v>
      </c>
      <c r="I229" s="1">
        <v>46053</v>
      </c>
      <c r="J229" s="13" t="s">
        <v>24</v>
      </c>
      <c r="L229" s="2">
        <v>10456.9</v>
      </c>
      <c r="M229" s="2">
        <v>26812.57</v>
      </c>
      <c r="N229" s="2">
        <v>8043.77</v>
      </c>
      <c r="O229" s="2">
        <v>34856.339999999997</v>
      </c>
      <c r="P229" s="3">
        <v>0.3</v>
      </c>
      <c r="Q229" s="3"/>
      <c r="R229" s="2">
        <v>0.27</v>
      </c>
      <c r="S229" s="3">
        <v>0</v>
      </c>
      <c r="T229" s="2">
        <v>4432.6400000000003</v>
      </c>
      <c r="U229" t="s">
        <v>25</v>
      </c>
      <c r="V229" s="13" t="str">
        <f t="shared" si="22"/>
        <v>No</v>
      </c>
      <c r="W229" s="13" t="str">
        <f t="shared" si="22"/>
        <v>Yes</v>
      </c>
      <c r="X229" s="13" t="str">
        <f t="shared" si="22"/>
        <v>No</v>
      </c>
      <c r="Y229" s="13" t="str">
        <f t="shared" si="22"/>
        <v>No</v>
      </c>
      <c r="Z229" s="13" t="str">
        <f t="shared" si="22"/>
        <v>No</v>
      </c>
      <c r="AA229" s="71" t="e">
        <f>+(Table1[[#This Row],[Everyday price]]-Table1[[#This Row],[Promo Price]])/Table1[[#This Row],[Everyday price]]</f>
        <v>#DIV/0!</v>
      </c>
      <c r="AC229" s="69"/>
      <c r="AD229" s="13"/>
      <c r="AH229" s="6"/>
      <c r="AJ229" s="116" t="str">
        <f>IF(AND(ISNUMBER(Table1[[#This Row],[Lift  ]]),ISNUMBER(Table1[[#This Row],[Plan lift, %]]),Table1[[#This Row],[Plan lift, %]]&lt;&gt;0),Table1[[#This Row],[Lift  ]]-Table1[[#This Row],[Plan lift, %]],"")</f>
        <v/>
      </c>
      <c r="AK229" s="116"/>
      <c r="AM229" s="4" t="s">
        <v>1482</v>
      </c>
    </row>
    <row r="230" spans="1:39" x14ac:dyDescent="0.35">
      <c r="A230" t="s">
        <v>865</v>
      </c>
      <c r="B230" s="82">
        <v>1250</v>
      </c>
      <c r="C230" s="21" t="s">
        <v>786</v>
      </c>
      <c r="D230" s="13" t="s">
        <v>1230</v>
      </c>
      <c r="F230" t="s">
        <v>866</v>
      </c>
      <c r="G230" t="s">
        <v>23</v>
      </c>
      <c r="H230" s="1">
        <v>46054</v>
      </c>
      <c r="I230" s="1">
        <v>46081</v>
      </c>
      <c r="J230" s="13" t="s">
        <v>24</v>
      </c>
      <c r="L230" s="2">
        <v>8024.92</v>
      </c>
      <c r="M230" s="2">
        <v>20576.71</v>
      </c>
      <c r="N230" s="2">
        <v>6173.01</v>
      </c>
      <c r="O230" s="2">
        <v>26749.72</v>
      </c>
      <c r="P230" s="3">
        <v>0.3</v>
      </c>
      <c r="Q230" s="3"/>
      <c r="R230" s="2">
        <v>1.54</v>
      </c>
      <c r="S230" s="3">
        <v>0</v>
      </c>
      <c r="T230" s="2">
        <v>4389.96</v>
      </c>
      <c r="U230" t="s">
        <v>25</v>
      </c>
      <c r="V230" s="13" t="str">
        <f t="shared" si="22"/>
        <v>No</v>
      </c>
      <c r="W230" s="13" t="str">
        <f t="shared" si="22"/>
        <v>Yes</v>
      </c>
      <c r="X230" s="13" t="str">
        <f t="shared" si="22"/>
        <v>No</v>
      </c>
      <c r="Y230" s="13" t="str">
        <f t="shared" si="22"/>
        <v>No</v>
      </c>
      <c r="Z230" s="13" t="str">
        <f t="shared" si="22"/>
        <v>No</v>
      </c>
      <c r="AA230" s="81">
        <f>+(Table1[[#This Row],[Everyday price]]-Table1[[#This Row],[Promo Price]])/Table1[[#This Row],[Everyday price]]</f>
        <v>0.1822916666666666</v>
      </c>
      <c r="AB230" s="69">
        <v>3.14</v>
      </c>
      <c r="AC230" s="69">
        <v>3.84</v>
      </c>
      <c r="AD230" s="15" t="s">
        <v>1257</v>
      </c>
      <c r="AE230" s="5">
        <v>46083</v>
      </c>
      <c r="AF230" s="5">
        <v>46138</v>
      </c>
      <c r="AG230" s="20">
        <v>8601</v>
      </c>
      <c r="AH230" s="6">
        <v>2988</v>
      </c>
      <c r="AI230" s="11">
        <f>Table1[[#This Row],[Incremental Units]]/Table1[[#This Row],[Base Units]]</f>
        <v>0.34740146494593654</v>
      </c>
      <c r="AJ230" s="11">
        <f>IF(AND(ISNUMBER(Table1[[#This Row],[Lift  ]]),ISNUMBER(Table1[[#This Row],[Plan lift, %]]),Table1[[#This Row],[Plan lift, %]]&lt;&gt;0),Table1[[#This Row],[Lift  ]]-Table1[[#This Row],[Plan lift, %]],"")</f>
        <v>4.7401464945936556E-2</v>
      </c>
      <c r="AK230" s="116"/>
      <c r="AL230" s="15" t="s">
        <v>1434</v>
      </c>
      <c r="AM230" s="4" t="s">
        <v>1483</v>
      </c>
    </row>
    <row r="231" spans="1:39" x14ac:dyDescent="0.35">
      <c r="A231" t="s">
        <v>785</v>
      </c>
      <c r="B231" s="44">
        <v>1251</v>
      </c>
      <c r="C231" s="21" t="s">
        <v>786</v>
      </c>
      <c r="D231" s="13" t="s">
        <v>1230</v>
      </c>
      <c r="F231" t="s">
        <v>787</v>
      </c>
      <c r="G231" t="s">
        <v>23</v>
      </c>
      <c r="H231" s="1">
        <v>46143</v>
      </c>
      <c r="I231" s="1">
        <v>46173</v>
      </c>
      <c r="J231" s="13" t="s">
        <v>24</v>
      </c>
      <c r="L231" s="2">
        <v>16280.96</v>
      </c>
      <c r="M231" s="2">
        <v>25047.64</v>
      </c>
      <c r="N231" s="2">
        <v>7514.29</v>
      </c>
      <c r="O231" s="2">
        <v>32561.93</v>
      </c>
      <c r="P231" s="3">
        <v>0.3</v>
      </c>
      <c r="Q231" s="3"/>
      <c r="R231" s="2">
        <v>67.569999999999993</v>
      </c>
      <c r="S231" s="3">
        <v>0.01</v>
      </c>
      <c r="T231" s="2">
        <v>5054.51</v>
      </c>
      <c r="U231" t="s">
        <v>25</v>
      </c>
      <c r="V231" s="13" t="str">
        <f t="shared" si="22"/>
        <v>No</v>
      </c>
      <c r="W231" s="13" t="str">
        <f t="shared" si="22"/>
        <v>Yes</v>
      </c>
      <c r="X231" s="13" t="str">
        <f t="shared" si="22"/>
        <v>No</v>
      </c>
      <c r="Y231" s="13" t="str">
        <f t="shared" si="22"/>
        <v>No</v>
      </c>
      <c r="Z231" s="13" t="str">
        <f t="shared" si="22"/>
        <v>No</v>
      </c>
      <c r="AA231" s="71" t="e">
        <f>+(Table1[[#This Row],[Everyday price]]-Table1[[#This Row],[Promo Price]])/Table1[[#This Row],[Everyday price]]</f>
        <v>#DIV/0!</v>
      </c>
      <c r="AC231" s="69"/>
      <c r="AD231" s="13"/>
      <c r="AH231" s="6"/>
      <c r="AI231" s="11"/>
      <c r="AJ231" s="11" t="str">
        <f>IF(AND(ISNUMBER(Table1[[#This Row],[Lift  ]]),ISNUMBER(Table1[[#This Row],[Plan lift, %]]),Table1[[#This Row],[Plan lift, %]]&lt;&gt;0),Table1[[#This Row],[Lift  ]]-Table1[[#This Row],[Plan lift, %]],"")</f>
        <v/>
      </c>
      <c r="AK231" s="116"/>
      <c r="AM231" s="4" t="s">
        <v>1482</v>
      </c>
    </row>
    <row r="232" spans="1:39" x14ac:dyDescent="0.35">
      <c r="A232" t="s">
        <v>1184</v>
      </c>
      <c r="B232" s="12">
        <v>1252</v>
      </c>
      <c r="C232" s="21" t="s">
        <v>786</v>
      </c>
      <c r="D232" s="13" t="s">
        <v>1230</v>
      </c>
      <c r="F232" t="s">
        <v>1185</v>
      </c>
      <c r="G232" t="s">
        <v>23</v>
      </c>
      <c r="H232" s="1">
        <v>46174</v>
      </c>
      <c r="I232" s="1">
        <v>46203</v>
      </c>
      <c r="J232" s="13" t="s">
        <v>24</v>
      </c>
      <c r="L232" s="2">
        <v>12236.19</v>
      </c>
      <c r="M232" s="2">
        <v>18824.91</v>
      </c>
      <c r="N232" s="2">
        <v>5647.47</v>
      </c>
      <c r="O232" s="2">
        <v>24472.38</v>
      </c>
      <c r="P232" s="3">
        <v>0.3</v>
      </c>
      <c r="Q232" s="3"/>
      <c r="R232" s="2">
        <v>112.57</v>
      </c>
      <c r="S232" s="3">
        <v>0.02</v>
      </c>
      <c r="T232" s="2">
        <v>5004.1400000000003</v>
      </c>
      <c r="U232" t="s">
        <v>25</v>
      </c>
      <c r="V232" s="13" t="str">
        <f t="shared" ref="V232:Z241" si="23">IF(ISNUMBER(SEARCH(V$1,$U232)),"Yes","No")</f>
        <v>No</v>
      </c>
      <c r="W232" s="13" t="str">
        <f t="shared" si="23"/>
        <v>Yes</v>
      </c>
      <c r="X232" s="13" t="str">
        <f t="shared" si="23"/>
        <v>No</v>
      </c>
      <c r="Y232" s="13" t="str">
        <f t="shared" si="23"/>
        <v>No</v>
      </c>
      <c r="Z232" s="13" t="str">
        <f t="shared" si="23"/>
        <v>No</v>
      </c>
      <c r="AA232" s="71">
        <f>+(Table1[[#This Row],[Everyday price]]-Table1[[#This Row],[Promo Price]])/Table1[[#This Row],[Everyday price]]</f>
        <v>0.19791666666666663</v>
      </c>
      <c r="AB232" s="168">
        <v>3.08</v>
      </c>
      <c r="AC232" s="168">
        <v>3.84</v>
      </c>
      <c r="AD232" s="169" t="s">
        <v>1257</v>
      </c>
      <c r="AE232" s="5">
        <v>46202</v>
      </c>
      <c r="AF232" s="5">
        <v>46208</v>
      </c>
      <c r="AG232" s="20">
        <v>1038</v>
      </c>
      <c r="AH232" s="6">
        <v>262</v>
      </c>
      <c r="AI232" s="11">
        <f>Table1[[#This Row],[Incremental Units]]/Table1[[#This Row],[Base Units]]</f>
        <v>0.25240847784200388</v>
      </c>
      <c r="AJ232" s="11">
        <f>IF(AND(ISNUMBER(Table1[[#This Row],[Lift  ]]),ISNUMBER(Table1[[#This Row],[Plan lift, %]]),Table1[[#This Row],[Plan lift, %]]&lt;&gt;0),Table1[[#This Row],[Lift  ]]-Table1[[#This Row],[Plan lift, %]],"")</f>
        <v>-4.7591522157996113E-2</v>
      </c>
      <c r="AK232" s="116"/>
      <c r="AL232" s="15" t="s">
        <v>1434</v>
      </c>
      <c r="AM232" s="4" t="s">
        <v>1484</v>
      </c>
    </row>
    <row r="233" spans="1:39" x14ac:dyDescent="0.35">
      <c r="A233" t="s">
        <v>1117</v>
      </c>
      <c r="B233" s="12">
        <v>1253</v>
      </c>
      <c r="C233" s="21" t="s">
        <v>786</v>
      </c>
      <c r="D233" s="13" t="s">
        <v>1230</v>
      </c>
      <c r="F233" t="s">
        <v>1118</v>
      </c>
      <c r="G233" t="s">
        <v>44</v>
      </c>
      <c r="H233" s="1">
        <v>46266</v>
      </c>
      <c r="I233" s="1">
        <v>46295</v>
      </c>
      <c r="J233" s="13" t="s">
        <v>24</v>
      </c>
      <c r="L233" s="2">
        <v>17396.490000000002</v>
      </c>
      <c r="M233" s="2">
        <v>18824.91</v>
      </c>
      <c r="N233" s="2">
        <v>5647.47</v>
      </c>
      <c r="O233" s="2">
        <v>24472.38</v>
      </c>
      <c r="P233" s="3">
        <v>0.3</v>
      </c>
      <c r="Q233" s="3"/>
      <c r="R233" s="2">
        <v>0</v>
      </c>
      <c r="S233" s="3">
        <v>0</v>
      </c>
      <c r="T233" s="2">
        <v>0</v>
      </c>
      <c r="U233" t="s">
        <v>33</v>
      </c>
      <c r="V233" s="13" t="str">
        <f t="shared" si="23"/>
        <v>No</v>
      </c>
      <c r="W233" s="13" t="str">
        <f t="shared" si="23"/>
        <v>Yes</v>
      </c>
      <c r="X233" s="13" t="str">
        <f t="shared" si="23"/>
        <v>Yes</v>
      </c>
      <c r="Y233" s="13" t="str">
        <f t="shared" si="23"/>
        <v>No</v>
      </c>
      <c r="Z233" s="13" t="str">
        <f t="shared" si="23"/>
        <v>No</v>
      </c>
      <c r="AA233" s="71" t="e">
        <f>+(Table1[[#This Row],[Everyday price]]-Table1[[#This Row],[Promo Price]])/Table1[[#This Row],[Everyday price]]</f>
        <v>#DIV/0!</v>
      </c>
      <c r="AC233" s="69"/>
      <c r="AD233" s="13"/>
      <c r="AH233" s="6"/>
      <c r="AJ233" s="116" t="str">
        <f>IF(AND(ISNUMBER(Table1[[#This Row],[Lift  ]]),ISNUMBER(Table1[[#This Row],[Plan lift, %]]),Table1[[#This Row],[Plan lift, %]]&lt;&gt;0),Table1[[#This Row],[Lift  ]]-Table1[[#This Row],[Plan lift, %]],"")</f>
        <v/>
      </c>
      <c r="AK233" s="116"/>
    </row>
    <row r="234" spans="1:39" x14ac:dyDescent="0.35">
      <c r="A234" t="s">
        <v>1079</v>
      </c>
      <c r="B234" s="12">
        <v>1254</v>
      </c>
      <c r="C234" s="21" t="s">
        <v>786</v>
      </c>
      <c r="D234" s="13" t="s">
        <v>1230</v>
      </c>
      <c r="F234" t="s">
        <v>1080</v>
      </c>
      <c r="G234" t="s">
        <v>44</v>
      </c>
      <c r="H234" s="1">
        <v>46296</v>
      </c>
      <c r="I234" s="1">
        <v>46326</v>
      </c>
      <c r="J234" s="13" t="s">
        <v>24</v>
      </c>
      <c r="L234" s="2">
        <v>21247.18</v>
      </c>
      <c r="M234" s="2">
        <v>24394</v>
      </c>
      <c r="N234" s="2">
        <v>7318.2</v>
      </c>
      <c r="O234" s="2">
        <v>31712.2</v>
      </c>
      <c r="P234" s="3">
        <v>0.3</v>
      </c>
      <c r="Q234" s="3"/>
      <c r="R234" s="2">
        <v>0</v>
      </c>
      <c r="S234" s="3">
        <v>0</v>
      </c>
      <c r="T234" s="2">
        <v>0</v>
      </c>
      <c r="U234" t="s">
        <v>25</v>
      </c>
      <c r="V234" s="13" t="str">
        <f t="shared" si="23"/>
        <v>No</v>
      </c>
      <c r="W234" s="13" t="str">
        <f t="shared" si="23"/>
        <v>Yes</v>
      </c>
      <c r="X234" s="13" t="str">
        <f t="shared" si="23"/>
        <v>No</v>
      </c>
      <c r="Y234" s="13" t="str">
        <f t="shared" si="23"/>
        <v>No</v>
      </c>
      <c r="Z234" s="13" t="str">
        <f t="shared" si="23"/>
        <v>No</v>
      </c>
      <c r="AA234" s="71" t="e">
        <f>+(Table1[[#This Row],[Everyday price]]-Table1[[#This Row],[Promo Price]])/Table1[[#This Row],[Everyday price]]</f>
        <v>#DIV/0!</v>
      </c>
      <c r="AC234" s="69"/>
      <c r="AD234" s="13"/>
      <c r="AH234" s="6"/>
      <c r="AJ234" s="116" t="str">
        <f>IF(AND(ISNUMBER(Table1[[#This Row],[Lift  ]]),ISNUMBER(Table1[[#This Row],[Plan lift, %]]),Table1[[#This Row],[Plan lift, %]]&lt;&gt;0),Table1[[#This Row],[Lift  ]]-Table1[[#This Row],[Plan lift, %]],"")</f>
        <v/>
      </c>
      <c r="AK234" s="116"/>
    </row>
    <row r="235" spans="1:39" x14ac:dyDescent="0.35">
      <c r="A235" t="s">
        <v>416</v>
      </c>
      <c r="B235" s="12">
        <v>1255</v>
      </c>
      <c r="C235" s="21" t="s">
        <v>417</v>
      </c>
      <c r="D235" s="13" t="s">
        <v>1232</v>
      </c>
      <c r="F235" s="21" t="s">
        <v>418</v>
      </c>
      <c r="G235" t="s">
        <v>23</v>
      </c>
      <c r="H235" s="14">
        <v>46053</v>
      </c>
      <c r="I235" s="14">
        <v>46073</v>
      </c>
      <c r="J235" s="13" t="s">
        <v>24</v>
      </c>
      <c r="L235" s="2">
        <v>288.68</v>
      </c>
      <c r="M235" s="2">
        <v>1603.8</v>
      </c>
      <c r="N235" s="2">
        <v>320.76</v>
      </c>
      <c r="O235" s="2">
        <v>1924.56</v>
      </c>
      <c r="P235" s="3">
        <v>0.2</v>
      </c>
      <c r="Q235" s="3"/>
      <c r="R235" s="2">
        <v>239.42</v>
      </c>
      <c r="S235" s="3">
        <v>0.14000000000000001</v>
      </c>
      <c r="T235" s="2">
        <v>1967.7</v>
      </c>
      <c r="U235" s="13" t="s">
        <v>25</v>
      </c>
      <c r="V235" s="13" t="str">
        <f t="shared" si="23"/>
        <v>No</v>
      </c>
      <c r="W235" s="13" t="str">
        <f t="shared" si="23"/>
        <v>Yes</v>
      </c>
      <c r="X235" s="13" t="str">
        <f t="shared" si="23"/>
        <v>No</v>
      </c>
      <c r="Y235" s="13" t="str">
        <f t="shared" si="23"/>
        <v>No</v>
      </c>
      <c r="Z235" s="13" t="str">
        <f t="shared" si="23"/>
        <v>No</v>
      </c>
      <c r="AA235" s="71" t="e">
        <f>+(Table1[[#This Row],[Everyday price]]-Table1[[#This Row],[Promo Price]])/Table1[[#This Row],[Everyday price]]</f>
        <v>#DIV/0!</v>
      </c>
      <c r="AC235" s="69"/>
      <c r="AH235" s="6"/>
      <c r="AJ235" s="116" t="str">
        <f>IF(AND(ISNUMBER(Table1[[#This Row],[Lift  ]]),ISNUMBER(Table1[[#This Row],[Plan lift, %]]),Table1[[#This Row],[Plan lift, %]]&lt;&gt;0),Table1[[#This Row],[Lift  ]]-Table1[[#This Row],[Plan lift, %]],"")</f>
        <v/>
      </c>
      <c r="AK235" s="116"/>
    </row>
    <row r="236" spans="1:39" x14ac:dyDescent="0.35">
      <c r="A236" t="s">
        <v>1146</v>
      </c>
      <c r="B236" s="12">
        <v>1256</v>
      </c>
      <c r="C236" s="21" t="s">
        <v>417</v>
      </c>
      <c r="D236" s="13" t="s">
        <v>1232</v>
      </c>
      <c r="F236" s="21" t="s">
        <v>1147</v>
      </c>
      <c r="G236" t="s">
        <v>23</v>
      </c>
      <c r="H236" s="14">
        <v>46122</v>
      </c>
      <c r="I236" s="14">
        <v>46143</v>
      </c>
      <c r="J236" s="13" t="s">
        <v>24</v>
      </c>
      <c r="L236" s="2">
        <v>1501.92</v>
      </c>
      <c r="M236" s="2">
        <v>1782</v>
      </c>
      <c r="N236" s="2">
        <v>891</v>
      </c>
      <c r="O236" s="2">
        <v>2673</v>
      </c>
      <c r="P236" s="3">
        <v>0.5</v>
      </c>
      <c r="Q236" s="3"/>
      <c r="R236" s="2">
        <v>37.380000000000003</v>
      </c>
      <c r="S236" s="3">
        <v>0.02</v>
      </c>
      <c r="T236" s="2">
        <v>1613.26</v>
      </c>
      <c r="U236" s="13" t="s">
        <v>33</v>
      </c>
      <c r="V236" s="13" t="str">
        <f t="shared" si="23"/>
        <v>No</v>
      </c>
      <c r="W236" s="13" t="str">
        <f t="shared" si="23"/>
        <v>Yes</v>
      </c>
      <c r="X236" s="13" t="str">
        <f t="shared" si="23"/>
        <v>Yes</v>
      </c>
      <c r="Y236" s="13" t="str">
        <f t="shared" si="23"/>
        <v>No</v>
      </c>
      <c r="Z236" s="13" t="str">
        <f t="shared" si="23"/>
        <v>No</v>
      </c>
      <c r="AA236" s="71" t="e">
        <f>+(Table1[[#This Row],[Everyday price]]-Table1[[#This Row],[Promo Price]])/Table1[[#This Row],[Everyday price]]</f>
        <v>#DIV/0!</v>
      </c>
      <c r="AC236" s="69"/>
      <c r="AH236" s="6"/>
      <c r="AJ236" s="116" t="str">
        <f>IF(AND(ISNUMBER(Table1[[#This Row],[Lift  ]]),ISNUMBER(Table1[[#This Row],[Plan lift, %]]),Table1[[#This Row],[Plan lift, %]]&lt;&gt;0),Table1[[#This Row],[Lift  ]]-Table1[[#This Row],[Plan lift, %]],"")</f>
        <v/>
      </c>
      <c r="AK236" s="116"/>
    </row>
    <row r="237" spans="1:39" x14ac:dyDescent="0.35">
      <c r="A237" t="s">
        <v>582</v>
      </c>
      <c r="B237" s="12">
        <v>1257</v>
      </c>
      <c r="C237" s="21" t="s">
        <v>417</v>
      </c>
      <c r="D237" s="13" t="s">
        <v>1232</v>
      </c>
      <c r="F237" s="21" t="s">
        <v>583</v>
      </c>
      <c r="G237" t="s">
        <v>23</v>
      </c>
      <c r="H237" s="14">
        <v>46200</v>
      </c>
      <c r="I237" s="14">
        <v>46220</v>
      </c>
      <c r="J237" s="13" t="s">
        <v>24</v>
      </c>
      <c r="L237" s="2">
        <v>1214.44</v>
      </c>
      <c r="M237" s="2">
        <v>1587.64</v>
      </c>
      <c r="N237" s="2">
        <v>793.84</v>
      </c>
      <c r="O237" s="2">
        <v>2381.48</v>
      </c>
      <c r="P237" s="3">
        <v>0.5</v>
      </c>
      <c r="Q237" s="3"/>
      <c r="R237" s="2">
        <v>1264.3399999999999</v>
      </c>
      <c r="S237" s="3">
        <v>1.27</v>
      </c>
      <c r="T237" s="2">
        <v>2259.58</v>
      </c>
      <c r="U237" s="13" t="s">
        <v>33</v>
      </c>
      <c r="V237" s="13" t="str">
        <f t="shared" si="23"/>
        <v>No</v>
      </c>
      <c r="W237" s="13" t="str">
        <f t="shared" si="23"/>
        <v>Yes</v>
      </c>
      <c r="X237" s="13" t="str">
        <f t="shared" si="23"/>
        <v>Yes</v>
      </c>
      <c r="Y237" s="13" t="str">
        <f t="shared" si="23"/>
        <v>No</v>
      </c>
      <c r="Z237" s="13" t="str">
        <f t="shared" si="23"/>
        <v>No</v>
      </c>
      <c r="AA237" s="71" t="e">
        <f>+(Table1[[#This Row],[Everyday price]]-Table1[[#This Row],[Promo Price]])/Table1[[#This Row],[Everyday price]]</f>
        <v>#DIV/0!</v>
      </c>
      <c r="AC237" s="69"/>
      <c r="AH237" s="6"/>
      <c r="AJ237" s="116" t="str">
        <f>IF(AND(ISNUMBER(Table1[[#This Row],[Lift  ]]),ISNUMBER(Table1[[#This Row],[Plan lift, %]]),Table1[[#This Row],[Plan lift, %]]&lt;&gt;0),Table1[[#This Row],[Lift  ]]-Table1[[#This Row],[Plan lift, %]],"")</f>
        <v/>
      </c>
      <c r="AK237" s="116"/>
    </row>
    <row r="238" spans="1:39" x14ac:dyDescent="0.35">
      <c r="A238" t="s">
        <v>1202</v>
      </c>
      <c r="B238" s="12">
        <v>1258</v>
      </c>
      <c r="C238" s="21" t="s">
        <v>417</v>
      </c>
      <c r="D238" s="13" t="s">
        <v>1232</v>
      </c>
      <c r="F238" s="21" t="s">
        <v>1203</v>
      </c>
      <c r="G238" t="s">
        <v>44</v>
      </c>
      <c r="H238" s="14">
        <v>46303</v>
      </c>
      <c r="I238" s="14">
        <v>46323</v>
      </c>
      <c r="J238" s="13" t="s">
        <v>24</v>
      </c>
      <c r="L238" s="2">
        <v>1291</v>
      </c>
      <c r="M238" s="2">
        <v>1757.76</v>
      </c>
      <c r="N238" s="2">
        <v>878.88</v>
      </c>
      <c r="O238" s="2">
        <v>2636.64</v>
      </c>
      <c r="P238" s="3">
        <v>0.5</v>
      </c>
      <c r="Q238" s="3"/>
      <c r="R238" s="2">
        <v>0</v>
      </c>
      <c r="S238" s="3">
        <v>0</v>
      </c>
      <c r="T238" s="2">
        <v>0</v>
      </c>
      <c r="U238" s="13" t="s">
        <v>33</v>
      </c>
      <c r="V238" s="13" t="str">
        <f t="shared" si="23"/>
        <v>No</v>
      </c>
      <c r="W238" s="13" t="str">
        <f t="shared" si="23"/>
        <v>Yes</v>
      </c>
      <c r="X238" s="13" t="str">
        <f t="shared" si="23"/>
        <v>Yes</v>
      </c>
      <c r="Y238" s="13" t="str">
        <f t="shared" si="23"/>
        <v>No</v>
      </c>
      <c r="Z238" s="13" t="str">
        <f t="shared" si="23"/>
        <v>No</v>
      </c>
      <c r="AA238" s="71" t="e">
        <f>+(Table1[[#This Row],[Everyday price]]-Table1[[#This Row],[Promo Price]])/Table1[[#This Row],[Everyday price]]</f>
        <v>#DIV/0!</v>
      </c>
      <c r="AC238" s="69"/>
      <c r="AH238" s="6"/>
      <c r="AJ238" s="116" t="str">
        <f>IF(AND(ISNUMBER(Table1[[#This Row],[Lift  ]]),ISNUMBER(Table1[[#This Row],[Plan lift, %]]),Table1[[#This Row],[Plan lift, %]]&lt;&gt;0),Table1[[#This Row],[Lift  ]]-Table1[[#This Row],[Plan lift, %]],"")</f>
        <v/>
      </c>
      <c r="AK238" s="116"/>
    </row>
    <row r="239" spans="1:39" x14ac:dyDescent="0.35">
      <c r="A239" t="s">
        <v>396</v>
      </c>
      <c r="B239" s="12">
        <v>1175</v>
      </c>
      <c r="C239" s="21" t="s">
        <v>341</v>
      </c>
      <c r="D239" s="13" t="s">
        <v>1232</v>
      </c>
      <c r="F239" s="21" t="s">
        <v>397</v>
      </c>
      <c r="G239" t="s">
        <v>23</v>
      </c>
      <c r="H239" s="14">
        <v>46023</v>
      </c>
      <c r="I239" s="14">
        <v>46036</v>
      </c>
      <c r="J239" s="13" t="s">
        <v>24</v>
      </c>
      <c r="L239" s="2">
        <v>2602.2399999999998</v>
      </c>
      <c r="M239" s="2">
        <v>6857.12</v>
      </c>
      <c r="N239" s="2">
        <v>1028.56</v>
      </c>
      <c r="O239" s="2">
        <v>7885.68</v>
      </c>
      <c r="P239" s="3">
        <v>0.15</v>
      </c>
      <c r="Q239" s="3"/>
      <c r="R239" s="2">
        <v>0</v>
      </c>
      <c r="S239" s="3">
        <v>0</v>
      </c>
      <c r="T239" s="2">
        <v>0</v>
      </c>
      <c r="U239" s="13" t="s">
        <v>25</v>
      </c>
      <c r="V239" s="13" t="str">
        <f t="shared" si="23"/>
        <v>No</v>
      </c>
      <c r="W239" s="13" t="str">
        <f t="shared" si="23"/>
        <v>Yes</v>
      </c>
      <c r="X239" s="13" t="str">
        <f t="shared" si="23"/>
        <v>No</v>
      </c>
      <c r="Y239" s="13" t="str">
        <f t="shared" si="23"/>
        <v>No</v>
      </c>
      <c r="Z239" s="13" t="str">
        <f t="shared" si="23"/>
        <v>No</v>
      </c>
      <c r="AA239" s="71" t="e">
        <f>+(Table1[[#This Row],[Everyday price]]-Table1[[#This Row],[Promo Price]])/Table1[[#This Row],[Everyday price]]</f>
        <v>#DIV/0!</v>
      </c>
      <c r="AC239" s="69"/>
      <c r="AH239" s="6"/>
      <c r="AJ239" s="116" t="str">
        <f>IF(AND(ISNUMBER(Table1[[#This Row],[Lift  ]]),ISNUMBER(Table1[[#This Row],[Plan lift, %]]),Table1[[#This Row],[Plan lift, %]]&lt;&gt;0),Table1[[#This Row],[Lift  ]]-Table1[[#This Row],[Plan lift, %]],"")</f>
        <v/>
      </c>
      <c r="AK239" s="116"/>
    </row>
    <row r="240" spans="1:39" x14ac:dyDescent="0.35">
      <c r="A240" t="s">
        <v>340</v>
      </c>
      <c r="B240" s="12">
        <v>1176</v>
      </c>
      <c r="C240" s="21" t="s">
        <v>341</v>
      </c>
      <c r="D240" s="13" t="s">
        <v>1232</v>
      </c>
      <c r="F240" s="21" t="s">
        <v>342</v>
      </c>
      <c r="G240" t="s">
        <v>23</v>
      </c>
      <c r="H240" s="14">
        <v>46113</v>
      </c>
      <c r="I240" s="14">
        <v>46126</v>
      </c>
      <c r="J240" s="13" t="s">
        <v>24</v>
      </c>
      <c r="L240" s="2">
        <v>3643.2</v>
      </c>
      <c r="M240" s="2">
        <v>9600</v>
      </c>
      <c r="N240" s="2">
        <v>1440</v>
      </c>
      <c r="O240" s="2">
        <v>11040</v>
      </c>
      <c r="P240" s="3">
        <v>0.15</v>
      </c>
      <c r="Q240" s="3"/>
      <c r="R240" s="2">
        <v>0</v>
      </c>
      <c r="S240" s="3">
        <v>0</v>
      </c>
      <c r="T240" s="2">
        <v>0</v>
      </c>
      <c r="U240" s="13" t="s">
        <v>25</v>
      </c>
      <c r="V240" s="13" t="str">
        <f t="shared" si="23"/>
        <v>No</v>
      </c>
      <c r="W240" s="13" t="str">
        <f t="shared" si="23"/>
        <v>Yes</v>
      </c>
      <c r="X240" s="13" t="str">
        <f t="shared" si="23"/>
        <v>No</v>
      </c>
      <c r="Y240" s="13" t="str">
        <f t="shared" si="23"/>
        <v>No</v>
      </c>
      <c r="Z240" s="13" t="str">
        <f t="shared" si="23"/>
        <v>No</v>
      </c>
      <c r="AA240" s="71" t="e">
        <f>+(Table1[[#This Row],[Everyday price]]-Table1[[#This Row],[Promo Price]])/Table1[[#This Row],[Everyday price]]</f>
        <v>#DIV/0!</v>
      </c>
      <c r="AC240" s="69"/>
      <c r="AH240" s="6"/>
      <c r="AJ240" s="116" t="str">
        <f>IF(AND(ISNUMBER(Table1[[#This Row],[Lift  ]]),ISNUMBER(Table1[[#This Row],[Plan lift, %]]),Table1[[#This Row],[Plan lift, %]]&lt;&gt;0),Table1[[#This Row],[Lift  ]]-Table1[[#This Row],[Plan lift, %]],"")</f>
        <v/>
      </c>
      <c r="AK240" s="116"/>
    </row>
    <row r="241" spans="1:37" x14ac:dyDescent="0.35">
      <c r="A241" t="s">
        <v>1111</v>
      </c>
      <c r="B241" s="12">
        <v>1177</v>
      </c>
      <c r="C241" s="21" t="s">
        <v>341</v>
      </c>
      <c r="D241" s="13" t="s">
        <v>1232</v>
      </c>
      <c r="F241" s="21" t="s">
        <v>1112</v>
      </c>
      <c r="G241" t="s">
        <v>60</v>
      </c>
      <c r="H241" s="14">
        <v>46235</v>
      </c>
      <c r="I241" s="14">
        <v>46248</v>
      </c>
      <c r="J241" s="13" t="s">
        <v>24</v>
      </c>
      <c r="L241" s="2">
        <v>3643.2</v>
      </c>
      <c r="M241" s="2">
        <v>9600</v>
      </c>
      <c r="N241" s="2">
        <v>1440</v>
      </c>
      <c r="O241" s="2">
        <v>11040</v>
      </c>
      <c r="P241" s="3">
        <v>0.15</v>
      </c>
      <c r="Q241" s="3"/>
      <c r="R241" s="2">
        <v>0</v>
      </c>
      <c r="S241" s="3">
        <v>0</v>
      </c>
      <c r="T241" s="2">
        <v>0</v>
      </c>
      <c r="U241" s="13" t="s">
        <v>25</v>
      </c>
      <c r="V241" s="13" t="str">
        <f t="shared" si="23"/>
        <v>No</v>
      </c>
      <c r="W241" s="13" t="str">
        <f t="shared" si="23"/>
        <v>Yes</v>
      </c>
      <c r="X241" s="13" t="str">
        <f t="shared" si="23"/>
        <v>No</v>
      </c>
      <c r="Y241" s="13" t="str">
        <f t="shared" si="23"/>
        <v>No</v>
      </c>
      <c r="Z241" s="13" t="str">
        <f t="shared" si="23"/>
        <v>No</v>
      </c>
      <c r="AA241" s="71" t="e">
        <f>+(Table1[[#This Row],[Everyday price]]-Table1[[#This Row],[Promo Price]])/Table1[[#This Row],[Everyday price]]</f>
        <v>#DIV/0!</v>
      </c>
      <c r="AC241" s="69"/>
      <c r="AH241" s="6"/>
      <c r="AJ241" s="116" t="str">
        <f>IF(AND(ISNUMBER(Table1[[#This Row],[Lift  ]]),ISNUMBER(Table1[[#This Row],[Plan lift, %]]),Table1[[#This Row],[Plan lift, %]]&lt;&gt;0),Table1[[#This Row],[Lift  ]]-Table1[[#This Row],[Plan lift, %]],"")</f>
        <v/>
      </c>
      <c r="AK241" s="116"/>
    </row>
    <row r="242" spans="1:37" x14ac:dyDescent="0.35">
      <c r="A242" t="s">
        <v>776</v>
      </c>
      <c r="B242" s="12">
        <v>1178</v>
      </c>
      <c r="C242" s="21" t="s">
        <v>341</v>
      </c>
      <c r="D242" s="13" t="s">
        <v>1232</v>
      </c>
      <c r="F242" s="21" t="s">
        <v>777</v>
      </c>
      <c r="G242" t="s">
        <v>44</v>
      </c>
      <c r="H242" s="14">
        <v>46296</v>
      </c>
      <c r="I242" s="14">
        <v>46309</v>
      </c>
      <c r="J242" s="13" t="s">
        <v>24</v>
      </c>
      <c r="L242" s="2">
        <v>3643.2</v>
      </c>
      <c r="M242" s="2">
        <v>9600</v>
      </c>
      <c r="N242" s="2">
        <v>1440</v>
      </c>
      <c r="O242" s="2">
        <v>11040</v>
      </c>
      <c r="P242" s="3">
        <v>0.15</v>
      </c>
      <c r="Q242" s="3"/>
      <c r="R242" s="2">
        <v>0</v>
      </c>
      <c r="S242" s="3">
        <v>0</v>
      </c>
      <c r="T242" s="2">
        <v>0</v>
      </c>
      <c r="U242" s="13" t="s">
        <v>25</v>
      </c>
      <c r="V242" s="13" t="str">
        <f t="shared" ref="V242:Z251" si="24">IF(ISNUMBER(SEARCH(V$1,$U242)),"Yes","No")</f>
        <v>No</v>
      </c>
      <c r="W242" s="13" t="str">
        <f t="shared" si="24"/>
        <v>Yes</v>
      </c>
      <c r="X242" s="13" t="str">
        <f t="shared" si="24"/>
        <v>No</v>
      </c>
      <c r="Y242" s="13" t="str">
        <f t="shared" si="24"/>
        <v>No</v>
      </c>
      <c r="Z242" s="13" t="str">
        <f t="shared" si="24"/>
        <v>No</v>
      </c>
      <c r="AA242" s="71" t="e">
        <f>+(Table1[[#This Row],[Everyday price]]-Table1[[#This Row],[Promo Price]])/Table1[[#This Row],[Everyday price]]</f>
        <v>#DIV/0!</v>
      </c>
      <c r="AC242" s="69"/>
      <c r="AH242" s="6"/>
      <c r="AJ242" s="116" t="str">
        <f>IF(AND(ISNUMBER(Table1[[#This Row],[Lift  ]]),ISNUMBER(Table1[[#This Row],[Plan lift, %]]),Table1[[#This Row],[Plan lift, %]]&lt;&gt;0),Table1[[#This Row],[Lift  ]]-Table1[[#This Row],[Plan lift, %]],"")</f>
        <v/>
      </c>
      <c r="AK242" s="116"/>
    </row>
    <row r="243" spans="1:37" x14ac:dyDescent="0.35">
      <c r="A243" t="s">
        <v>310</v>
      </c>
      <c r="B243" s="12">
        <v>1349</v>
      </c>
      <c r="C243" s="21" t="s">
        <v>311</v>
      </c>
      <c r="D243" s="13" t="s">
        <v>1232</v>
      </c>
      <c r="F243" s="21" t="s">
        <v>312</v>
      </c>
      <c r="G243" t="s">
        <v>23</v>
      </c>
      <c r="H243" s="14">
        <v>46023</v>
      </c>
      <c r="I243" s="14">
        <v>46053</v>
      </c>
      <c r="J243" s="13" t="s">
        <v>24</v>
      </c>
      <c r="L243" s="2">
        <v>2084.94</v>
      </c>
      <c r="M243" s="2">
        <v>3610.29</v>
      </c>
      <c r="N243" s="2">
        <v>2707.73</v>
      </c>
      <c r="O243" s="2">
        <v>6318.02</v>
      </c>
      <c r="P243" s="3">
        <v>0.75</v>
      </c>
      <c r="Q243" s="3"/>
      <c r="R243" s="2">
        <v>0</v>
      </c>
      <c r="S243" s="3">
        <v>0</v>
      </c>
      <c r="T243" s="2">
        <v>0</v>
      </c>
      <c r="U243" s="13" t="s">
        <v>25</v>
      </c>
      <c r="V243" s="13" t="str">
        <f t="shared" si="24"/>
        <v>No</v>
      </c>
      <c r="W243" s="13" t="str">
        <f t="shared" si="24"/>
        <v>Yes</v>
      </c>
      <c r="X243" s="13" t="str">
        <f t="shared" si="24"/>
        <v>No</v>
      </c>
      <c r="Y243" s="13" t="str">
        <f t="shared" si="24"/>
        <v>No</v>
      </c>
      <c r="Z243" s="13" t="str">
        <f t="shared" si="24"/>
        <v>No</v>
      </c>
      <c r="AA243" s="71" t="e">
        <f>+(Table1[[#This Row],[Everyday price]]-Table1[[#This Row],[Promo Price]])/Table1[[#This Row],[Everyday price]]</f>
        <v>#DIV/0!</v>
      </c>
      <c r="AC243" s="69"/>
      <c r="AH243" s="6"/>
      <c r="AJ243" s="116" t="str">
        <f>IF(AND(ISNUMBER(Table1[[#This Row],[Lift  ]]),ISNUMBER(Table1[[#This Row],[Plan lift, %]]),Table1[[#This Row],[Plan lift, %]]&lt;&gt;0),Table1[[#This Row],[Lift  ]]-Table1[[#This Row],[Plan lift, %]],"")</f>
        <v/>
      </c>
      <c r="AK243" s="116"/>
    </row>
    <row r="244" spans="1:37" x14ac:dyDescent="0.35">
      <c r="A244" t="s">
        <v>824</v>
      </c>
      <c r="B244" s="12">
        <v>1350</v>
      </c>
      <c r="C244" s="21" t="s">
        <v>311</v>
      </c>
      <c r="D244" s="13" t="s">
        <v>1232</v>
      </c>
      <c r="F244" s="21" t="s">
        <v>825</v>
      </c>
      <c r="G244" t="s">
        <v>23</v>
      </c>
      <c r="H244" s="14">
        <v>46082</v>
      </c>
      <c r="I244" s="14">
        <v>46112</v>
      </c>
      <c r="J244" s="13" t="s">
        <v>24</v>
      </c>
      <c r="L244" s="2">
        <v>1846.65</v>
      </c>
      <c r="M244" s="2">
        <v>4145.1400000000003</v>
      </c>
      <c r="N244" s="2">
        <v>1450.8</v>
      </c>
      <c r="O244" s="2">
        <v>5595.94</v>
      </c>
      <c r="P244" s="3">
        <v>0.35</v>
      </c>
      <c r="Q244" s="3"/>
      <c r="R244" s="2">
        <v>0</v>
      </c>
      <c r="S244" s="3">
        <v>0</v>
      </c>
      <c r="T244" s="2">
        <v>0</v>
      </c>
      <c r="U244" s="13" t="s">
        <v>25</v>
      </c>
      <c r="V244" s="13" t="str">
        <f t="shared" si="24"/>
        <v>No</v>
      </c>
      <c r="W244" s="13" t="str">
        <f t="shared" si="24"/>
        <v>Yes</v>
      </c>
      <c r="X244" s="13" t="str">
        <f t="shared" si="24"/>
        <v>No</v>
      </c>
      <c r="Y244" s="13" t="str">
        <f t="shared" si="24"/>
        <v>No</v>
      </c>
      <c r="Z244" s="13" t="str">
        <f t="shared" si="24"/>
        <v>No</v>
      </c>
      <c r="AA244" s="71" t="e">
        <f>+(Table1[[#This Row],[Everyday price]]-Table1[[#This Row],[Promo Price]])/Table1[[#This Row],[Everyday price]]</f>
        <v>#DIV/0!</v>
      </c>
      <c r="AC244" s="69"/>
      <c r="AH244" s="6"/>
      <c r="AJ244" s="116" t="str">
        <f>IF(AND(ISNUMBER(Table1[[#This Row],[Lift  ]]),ISNUMBER(Table1[[#This Row],[Plan lift, %]]),Table1[[#This Row],[Plan lift, %]]&lt;&gt;0),Table1[[#This Row],[Lift  ]]-Table1[[#This Row],[Plan lift, %]],"")</f>
        <v/>
      </c>
      <c r="AK244" s="116"/>
    </row>
    <row r="245" spans="1:37" x14ac:dyDescent="0.35">
      <c r="A245" t="s">
        <v>515</v>
      </c>
      <c r="B245" s="12">
        <v>1351</v>
      </c>
      <c r="C245" s="21" t="s">
        <v>311</v>
      </c>
      <c r="D245" s="13" t="s">
        <v>1232</v>
      </c>
      <c r="F245" s="21" t="s">
        <v>516</v>
      </c>
      <c r="G245" t="s">
        <v>23</v>
      </c>
      <c r="H245" s="14">
        <v>46174</v>
      </c>
      <c r="I245" s="14">
        <v>46203</v>
      </c>
      <c r="J245" s="13" t="s">
        <v>24</v>
      </c>
      <c r="L245" s="2">
        <v>1985.67</v>
      </c>
      <c r="M245" s="2">
        <v>4011.43</v>
      </c>
      <c r="N245" s="2">
        <v>2005.73</v>
      </c>
      <c r="O245" s="2">
        <v>6017.16</v>
      </c>
      <c r="P245" s="3">
        <v>0.5</v>
      </c>
      <c r="Q245" s="3"/>
      <c r="R245" s="2">
        <v>0</v>
      </c>
      <c r="S245" s="3">
        <v>0</v>
      </c>
      <c r="T245" s="2">
        <v>0</v>
      </c>
      <c r="U245" s="13" t="s">
        <v>25</v>
      </c>
      <c r="V245" s="13" t="str">
        <f t="shared" si="24"/>
        <v>No</v>
      </c>
      <c r="W245" s="13" t="str">
        <f t="shared" si="24"/>
        <v>Yes</v>
      </c>
      <c r="X245" s="13" t="str">
        <f t="shared" si="24"/>
        <v>No</v>
      </c>
      <c r="Y245" s="13" t="str">
        <f t="shared" si="24"/>
        <v>No</v>
      </c>
      <c r="Z245" s="13" t="str">
        <f t="shared" si="24"/>
        <v>No</v>
      </c>
      <c r="AA245" s="71" t="e">
        <f>+(Table1[[#This Row],[Everyday price]]-Table1[[#This Row],[Promo Price]])/Table1[[#This Row],[Everyday price]]</f>
        <v>#DIV/0!</v>
      </c>
      <c r="AC245" s="69"/>
      <c r="AH245" s="6"/>
      <c r="AJ245" s="116" t="str">
        <f>IF(AND(ISNUMBER(Table1[[#This Row],[Lift  ]]),ISNUMBER(Table1[[#This Row],[Plan lift, %]]),Table1[[#This Row],[Plan lift, %]]&lt;&gt;0),Table1[[#This Row],[Lift  ]]-Table1[[#This Row],[Plan lift, %]],"")</f>
        <v/>
      </c>
      <c r="AK245" s="116"/>
    </row>
    <row r="246" spans="1:37" x14ac:dyDescent="0.35">
      <c r="A246" t="s">
        <v>686</v>
      </c>
      <c r="B246" s="12">
        <v>1352</v>
      </c>
      <c r="C246" s="21" t="s">
        <v>311</v>
      </c>
      <c r="D246" s="13" t="s">
        <v>1232</v>
      </c>
      <c r="F246" s="21" t="s">
        <v>687</v>
      </c>
      <c r="G246" t="s">
        <v>60</v>
      </c>
      <c r="H246" s="14">
        <v>46235</v>
      </c>
      <c r="I246" s="14">
        <v>46265</v>
      </c>
      <c r="J246" s="13" t="s">
        <v>24</v>
      </c>
      <c r="L246" s="2">
        <v>1846.65</v>
      </c>
      <c r="M246" s="2">
        <v>4145.1400000000003</v>
      </c>
      <c r="N246" s="2">
        <v>1450.8</v>
      </c>
      <c r="O246" s="2">
        <v>5595.94</v>
      </c>
      <c r="P246" s="3">
        <v>0.35</v>
      </c>
      <c r="Q246" s="3"/>
      <c r="R246" s="2">
        <v>0</v>
      </c>
      <c r="S246" s="3">
        <v>0</v>
      </c>
      <c r="T246" s="2">
        <v>0</v>
      </c>
      <c r="U246" s="13" t="s">
        <v>25</v>
      </c>
      <c r="V246" s="13" t="str">
        <f t="shared" si="24"/>
        <v>No</v>
      </c>
      <c r="W246" s="13" t="str">
        <f t="shared" si="24"/>
        <v>Yes</v>
      </c>
      <c r="X246" s="13" t="str">
        <f t="shared" si="24"/>
        <v>No</v>
      </c>
      <c r="Y246" s="13" t="str">
        <f t="shared" si="24"/>
        <v>No</v>
      </c>
      <c r="Z246" s="13" t="str">
        <f t="shared" si="24"/>
        <v>No</v>
      </c>
      <c r="AA246" s="71" t="e">
        <f>+(Table1[[#This Row],[Everyday price]]-Table1[[#This Row],[Promo Price]])/Table1[[#This Row],[Everyday price]]</f>
        <v>#DIV/0!</v>
      </c>
      <c r="AC246" s="69"/>
      <c r="AH246" s="6"/>
      <c r="AJ246" s="116" t="str">
        <f>IF(AND(ISNUMBER(Table1[[#This Row],[Lift  ]]),ISNUMBER(Table1[[#This Row],[Plan lift, %]]),Table1[[#This Row],[Plan lift, %]]&lt;&gt;0),Table1[[#This Row],[Lift  ]]-Table1[[#This Row],[Plan lift, %]],"")</f>
        <v/>
      </c>
      <c r="AK246" s="116"/>
    </row>
    <row r="247" spans="1:37" x14ac:dyDescent="0.35">
      <c r="A247" t="s">
        <v>917</v>
      </c>
      <c r="B247" s="12">
        <v>1353</v>
      </c>
      <c r="C247" s="21" t="s">
        <v>252</v>
      </c>
      <c r="D247" s="13" t="s">
        <v>1232</v>
      </c>
      <c r="E247" t="s">
        <v>253</v>
      </c>
      <c r="F247" s="21" t="s">
        <v>918</v>
      </c>
      <c r="G247" t="s">
        <v>23</v>
      </c>
      <c r="H247" s="14">
        <v>46050</v>
      </c>
      <c r="I247" s="14">
        <v>46077</v>
      </c>
      <c r="J247" s="13" t="s">
        <v>24</v>
      </c>
      <c r="L247" s="2">
        <v>2359.5</v>
      </c>
      <c r="M247" s="2">
        <v>3630</v>
      </c>
      <c r="N247" s="2">
        <v>1089</v>
      </c>
      <c r="O247" s="2">
        <v>4719</v>
      </c>
      <c r="P247" s="3">
        <v>0.3</v>
      </c>
      <c r="Q247" s="3"/>
      <c r="R247" s="2">
        <v>0</v>
      </c>
      <c r="S247" s="3">
        <v>0</v>
      </c>
      <c r="T247" s="2">
        <v>0</v>
      </c>
      <c r="U247" s="13" t="s">
        <v>25</v>
      </c>
      <c r="V247" s="13" t="str">
        <f t="shared" si="24"/>
        <v>No</v>
      </c>
      <c r="W247" s="13" t="str">
        <f t="shared" si="24"/>
        <v>Yes</v>
      </c>
      <c r="X247" s="13" t="str">
        <f t="shared" si="24"/>
        <v>No</v>
      </c>
      <c r="Y247" s="13" t="str">
        <f t="shared" si="24"/>
        <v>No</v>
      </c>
      <c r="Z247" s="13" t="str">
        <f t="shared" si="24"/>
        <v>No</v>
      </c>
      <c r="AA247" s="71" t="e">
        <f>+(Table1[[#This Row],[Everyday price]]-Table1[[#This Row],[Promo Price]])/Table1[[#This Row],[Everyday price]]</f>
        <v>#DIV/0!</v>
      </c>
      <c r="AC247" s="69"/>
      <c r="AH247" s="6"/>
      <c r="AJ247" s="116" t="str">
        <f>IF(AND(ISNUMBER(Table1[[#This Row],[Lift  ]]),ISNUMBER(Table1[[#This Row],[Plan lift, %]]),Table1[[#This Row],[Plan lift, %]]&lt;&gt;0),Table1[[#This Row],[Lift  ]]-Table1[[#This Row],[Plan lift, %]],"")</f>
        <v/>
      </c>
      <c r="AK247" s="116"/>
    </row>
    <row r="248" spans="1:37" x14ac:dyDescent="0.35">
      <c r="A248" t="s">
        <v>251</v>
      </c>
      <c r="B248" s="12">
        <v>1387</v>
      </c>
      <c r="C248" s="21" t="s">
        <v>252</v>
      </c>
      <c r="D248" s="13" t="s">
        <v>1232</v>
      </c>
      <c r="E248" t="s">
        <v>253</v>
      </c>
      <c r="F248" s="21" t="s">
        <v>254</v>
      </c>
      <c r="G248" t="s">
        <v>60</v>
      </c>
      <c r="H248" s="14">
        <v>46082</v>
      </c>
      <c r="I248" s="14">
        <v>46387</v>
      </c>
      <c r="J248" s="13" t="s">
        <v>24</v>
      </c>
      <c r="L248" s="2">
        <v>4676.6099999999997</v>
      </c>
      <c r="M248" s="2">
        <v>63627.43</v>
      </c>
      <c r="N248" s="2">
        <v>3181.37</v>
      </c>
      <c r="O248" s="2">
        <v>66808.800000000003</v>
      </c>
      <c r="P248" s="3">
        <v>0.05</v>
      </c>
      <c r="Q248" s="3"/>
      <c r="R248" s="2">
        <v>0</v>
      </c>
      <c r="S248" s="3">
        <v>0</v>
      </c>
      <c r="T248" s="2">
        <v>0</v>
      </c>
      <c r="U248" s="13" t="s">
        <v>61</v>
      </c>
      <c r="V248" s="13" t="str">
        <f t="shared" si="24"/>
        <v>No</v>
      </c>
      <c r="W248" s="13" t="str">
        <f t="shared" si="24"/>
        <v>No</v>
      </c>
      <c r="X248" s="13" t="str">
        <f t="shared" si="24"/>
        <v>No</v>
      </c>
      <c r="Y248" s="13" t="str">
        <f t="shared" si="24"/>
        <v>No</v>
      </c>
      <c r="Z248" s="13" t="str">
        <f t="shared" si="24"/>
        <v>No</v>
      </c>
      <c r="AA248" s="71" t="e">
        <f>+(Table1[[#This Row],[Everyday price]]-Table1[[#This Row],[Promo Price]])/Table1[[#This Row],[Everyday price]]</f>
        <v>#DIV/0!</v>
      </c>
      <c r="AC248" s="69"/>
      <c r="AH248" s="6"/>
      <c r="AJ248" s="116" t="str">
        <f>IF(AND(ISNUMBER(Table1[[#This Row],[Lift  ]]),ISNUMBER(Table1[[#This Row],[Plan lift, %]]),Table1[[#This Row],[Plan lift, %]]&lt;&gt;0),Table1[[#This Row],[Lift  ]]-Table1[[#This Row],[Plan lift, %]],"")</f>
        <v/>
      </c>
      <c r="AK248" s="116"/>
    </row>
    <row r="249" spans="1:37" x14ac:dyDescent="0.35">
      <c r="A249" t="s">
        <v>138</v>
      </c>
      <c r="B249" s="12">
        <v>1057</v>
      </c>
      <c r="C249" s="21" t="s">
        <v>136</v>
      </c>
      <c r="D249" s="13" t="s">
        <v>1232</v>
      </c>
      <c r="F249" s="21" t="s">
        <v>139</v>
      </c>
      <c r="G249" t="s">
        <v>23</v>
      </c>
      <c r="H249" s="14">
        <v>46023</v>
      </c>
      <c r="I249" s="14">
        <v>46043</v>
      </c>
      <c r="J249" s="13" t="s">
        <v>29</v>
      </c>
      <c r="L249" s="2">
        <v>4593.38</v>
      </c>
      <c r="M249" s="2">
        <v>4593.38</v>
      </c>
      <c r="N249" s="2">
        <v>1148.3499999999999</v>
      </c>
      <c r="O249" s="2">
        <v>5741.73</v>
      </c>
      <c r="P249" s="3">
        <v>0.25</v>
      </c>
      <c r="Q249" s="3"/>
      <c r="R249" s="2">
        <v>0</v>
      </c>
      <c r="S249" s="3">
        <v>0</v>
      </c>
      <c r="T249" s="2">
        <v>12106.58</v>
      </c>
      <c r="U249" s="13" t="s">
        <v>25</v>
      </c>
      <c r="V249" s="13" t="str">
        <f t="shared" si="24"/>
        <v>No</v>
      </c>
      <c r="W249" s="13" t="str">
        <f t="shared" si="24"/>
        <v>Yes</v>
      </c>
      <c r="X249" s="13" t="str">
        <f t="shared" si="24"/>
        <v>No</v>
      </c>
      <c r="Y249" s="13" t="str">
        <f t="shared" si="24"/>
        <v>No</v>
      </c>
      <c r="Z249" s="13" t="str">
        <f t="shared" si="24"/>
        <v>No</v>
      </c>
      <c r="AA249" s="71" t="e">
        <f>+(Table1[[#This Row],[Everyday price]]-Table1[[#This Row],[Promo Price]])/Table1[[#This Row],[Everyday price]]</f>
        <v>#DIV/0!</v>
      </c>
      <c r="AC249" s="69"/>
      <c r="AH249" s="6"/>
      <c r="AJ249" s="116" t="str">
        <f>IF(AND(ISNUMBER(Table1[[#This Row],[Lift  ]]),ISNUMBER(Table1[[#This Row],[Plan lift, %]]),Table1[[#This Row],[Plan lift, %]]&lt;&gt;0),Table1[[#This Row],[Lift  ]]-Table1[[#This Row],[Plan lift, %]],"")</f>
        <v/>
      </c>
      <c r="AK249" s="116"/>
    </row>
    <row r="250" spans="1:37" x14ac:dyDescent="0.35">
      <c r="A250" t="s">
        <v>999</v>
      </c>
      <c r="B250" s="12">
        <v>1055</v>
      </c>
      <c r="C250" s="21" t="s">
        <v>136</v>
      </c>
      <c r="D250" s="13" t="s">
        <v>1232</v>
      </c>
      <c r="F250" s="21" t="s">
        <v>1000</v>
      </c>
      <c r="G250" t="s">
        <v>23</v>
      </c>
      <c r="H250" s="14">
        <v>46054</v>
      </c>
      <c r="I250" s="14">
        <v>46081</v>
      </c>
      <c r="J250" s="13" t="s">
        <v>29</v>
      </c>
      <c r="L250" s="2">
        <v>5902.7</v>
      </c>
      <c r="M250" s="2">
        <v>5902.7</v>
      </c>
      <c r="N250" s="2">
        <v>1475.68</v>
      </c>
      <c r="O250" s="2">
        <v>7378.38</v>
      </c>
      <c r="P250" s="3">
        <v>0.25</v>
      </c>
      <c r="Q250" s="3"/>
      <c r="R250" s="2">
        <v>0</v>
      </c>
      <c r="S250" s="3">
        <v>0</v>
      </c>
      <c r="T250" s="2">
        <v>12855.570000000002</v>
      </c>
      <c r="U250" s="13" t="s">
        <v>25</v>
      </c>
      <c r="V250" s="13" t="str">
        <f t="shared" si="24"/>
        <v>No</v>
      </c>
      <c r="W250" s="13" t="str">
        <f t="shared" si="24"/>
        <v>Yes</v>
      </c>
      <c r="X250" s="13" t="str">
        <f t="shared" si="24"/>
        <v>No</v>
      </c>
      <c r="Y250" s="13" t="str">
        <f t="shared" si="24"/>
        <v>No</v>
      </c>
      <c r="Z250" s="13" t="str">
        <f t="shared" si="24"/>
        <v>No</v>
      </c>
      <c r="AA250" s="71" t="e">
        <f>+(Table1[[#This Row],[Everyday price]]-Table1[[#This Row],[Promo Price]])/Table1[[#This Row],[Everyday price]]</f>
        <v>#DIV/0!</v>
      </c>
      <c r="AC250" s="69"/>
      <c r="AH250" s="6"/>
      <c r="AJ250" s="116" t="str">
        <f>IF(AND(ISNUMBER(Table1[[#This Row],[Lift  ]]),ISNUMBER(Table1[[#This Row],[Plan lift, %]]),Table1[[#This Row],[Plan lift, %]]&lt;&gt;0),Table1[[#This Row],[Lift  ]]-Table1[[#This Row],[Plan lift, %]],"")</f>
        <v/>
      </c>
      <c r="AK250" s="116"/>
    </row>
    <row r="251" spans="1:37" x14ac:dyDescent="0.35">
      <c r="A251" t="s">
        <v>627</v>
      </c>
      <c r="B251" s="12">
        <v>1056</v>
      </c>
      <c r="C251" s="21" t="s">
        <v>136</v>
      </c>
      <c r="D251" s="13" t="s">
        <v>1232</v>
      </c>
      <c r="F251" s="21" t="s">
        <v>628</v>
      </c>
      <c r="G251" t="s">
        <v>23</v>
      </c>
      <c r="H251" s="14">
        <v>46054</v>
      </c>
      <c r="I251" s="14">
        <v>46081</v>
      </c>
      <c r="J251" s="13" t="s">
        <v>24</v>
      </c>
      <c r="L251" s="2">
        <v>7184.03</v>
      </c>
      <c r="M251" s="2">
        <v>18420.61</v>
      </c>
      <c r="N251" s="2">
        <v>5526.18</v>
      </c>
      <c r="O251" s="2">
        <v>23946.79</v>
      </c>
      <c r="P251" s="3">
        <v>0.3</v>
      </c>
      <c r="Q251" s="3"/>
      <c r="R251" s="2">
        <v>0</v>
      </c>
      <c r="S251" s="3">
        <v>0</v>
      </c>
      <c r="T251" s="2">
        <v>22854.720000000001</v>
      </c>
      <c r="U251" s="13" t="s">
        <v>25</v>
      </c>
      <c r="V251" s="13" t="str">
        <f t="shared" si="24"/>
        <v>No</v>
      </c>
      <c r="W251" s="13" t="str">
        <f t="shared" si="24"/>
        <v>Yes</v>
      </c>
      <c r="X251" s="13" t="str">
        <f t="shared" si="24"/>
        <v>No</v>
      </c>
      <c r="Y251" s="13" t="str">
        <f t="shared" si="24"/>
        <v>No</v>
      </c>
      <c r="Z251" s="13" t="str">
        <f t="shared" si="24"/>
        <v>No</v>
      </c>
      <c r="AA251" s="71" t="e">
        <f>+(Table1[[#This Row],[Everyday price]]-Table1[[#This Row],[Promo Price]])/Table1[[#This Row],[Everyday price]]</f>
        <v>#DIV/0!</v>
      </c>
      <c r="AC251" s="69"/>
      <c r="AH251" s="6"/>
      <c r="AJ251" s="116" t="str">
        <f>IF(AND(ISNUMBER(Table1[[#This Row],[Lift  ]]),ISNUMBER(Table1[[#This Row],[Plan lift, %]]),Table1[[#This Row],[Plan lift, %]]&lt;&gt;0),Table1[[#This Row],[Lift  ]]-Table1[[#This Row],[Plan lift, %]],"")</f>
        <v/>
      </c>
      <c r="AK251" s="116"/>
    </row>
    <row r="252" spans="1:37" x14ac:dyDescent="0.35">
      <c r="A252" t="s">
        <v>653</v>
      </c>
      <c r="B252" s="12">
        <v>1060</v>
      </c>
      <c r="C252" s="21" t="s">
        <v>136</v>
      </c>
      <c r="D252" s="13" t="s">
        <v>1232</v>
      </c>
      <c r="F252" s="21" t="s">
        <v>654</v>
      </c>
      <c r="G252" t="s">
        <v>23</v>
      </c>
      <c r="H252" s="14">
        <v>46082</v>
      </c>
      <c r="I252" s="14">
        <v>46111</v>
      </c>
      <c r="J252" s="13" t="s">
        <v>29</v>
      </c>
      <c r="L252" s="2">
        <v>5380.01</v>
      </c>
      <c r="M252" s="2">
        <v>5604.17</v>
      </c>
      <c r="N252" s="2">
        <v>1120.83</v>
      </c>
      <c r="O252" s="2">
        <v>6725</v>
      </c>
      <c r="P252" s="3">
        <v>0.2</v>
      </c>
      <c r="Q252" s="3"/>
      <c r="R252" s="2">
        <v>0</v>
      </c>
      <c r="S252" s="3">
        <v>0</v>
      </c>
      <c r="T252" s="2">
        <v>12575.57</v>
      </c>
      <c r="U252" s="13" t="s">
        <v>25</v>
      </c>
      <c r="V252" s="13" t="str">
        <f t="shared" ref="V252:Z261" si="25">IF(ISNUMBER(SEARCH(V$1,$U252)),"Yes","No")</f>
        <v>No</v>
      </c>
      <c r="W252" s="13" t="str">
        <f t="shared" si="25"/>
        <v>Yes</v>
      </c>
      <c r="X252" s="13" t="str">
        <f t="shared" si="25"/>
        <v>No</v>
      </c>
      <c r="Y252" s="13" t="str">
        <f t="shared" si="25"/>
        <v>No</v>
      </c>
      <c r="Z252" s="13" t="str">
        <f t="shared" si="25"/>
        <v>No</v>
      </c>
      <c r="AA252" s="71" t="e">
        <f>+(Table1[[#This Row],[Everyday price]]-Table1[[#This Row],[Promo Price]])/Table1[[#This Row],[Everyday price]]</f>
        <v>#DIV/0!</v>
      </c>
      <c r="AC252" s="69"/>
      <c r="AH252" s="6"/>
      <c r="AJ252" s="116" t="str">
        <f>IF(AND(ISNUMBER(Table1[[#This Row],[Lift  ]]),ISNUMBER(Table1[[#This Row],[Plan lift, %]]),Table1[[#This Row],[Plan lift, %]]&lt;&gt;0),Table1[[#This Row],[Lift  ]]-Table1[[#This Row],[Plan lift, %]],"")</f>
        <v/>
      </c>
      <c r="AK252" s="116"/>
    </row>
    <row r="253" spans="1:37" x14ac:dyDescent="0.35">
      <c r="A253" t="s">
        <v>788</v>
      </c>
      <c r="B253" s="12">
        <v>1061</v>
      </c>
      <c r="C253" s="21" t="s">
        <v>136</v>
      </c>
      <c r="D253" s="13" t="s">
        <v>1232</v>
      </c>
      <c r="F253" s="21" t="s">
        <v>789</v>
      </c>
      <c r="G253" t="s">
        <v>23</v>
      </c>
      <c r="H253" s="14">
        <v>46082</v>
      </c>
      <c r="I253" s="14">
        <v>46111</v>
      </c>
      <c r="J253" s="13" t="s">
        <v>24</v>
      </c>
      <c r="L253" s="2">
        <v>6296.07</v>
      </c>
      <c r="M253" s="2">
        <v>17489.080000000002</v>
      </c>
      <c r="N253" s="2">
        <v>3497.82</v>
      </c>
      <c r="O253" s="2">
        <v>20986.9</v>
      </c>
      <c r="P253" s="3">
        <v>0.2</v>
      </c>
      <c r="Q253" s="3"/>
      <c r="R253" s="2">
        <v>0</v>
      </c>
      <c r="S253" s="3">
        <v>0</v>
      </c>
      <c r="T253" s="2">
        <v>20971.71</v>
      </c>
      <c r="U253" s="13" t="s">
        <v>25</v>
      </c>
      <c r="V253" s="13" t="str">
        <f t="shared" si="25"/>
        <v>No</v>
      </c>
      <c r="W253" s="13" t="str">
        <f t="shared" si="25"/>
        <v>Yes</v>
      </c>
      <c r="X253" s="13" t="str">
        <f t="shared" si="25"/>
        <v>No</v>
      </c>
      <c r="Y253" s="13" t="str">
        <f t="shared" si="25"/>
        <v>No</v>
      </c>
      <c r="Z253" s="13" t="str">
        <f t="shared" si="25"/>
        <v>No</v>
      </c>
      <c r="AA253" s="71" t="e">
        <f>+(Table1[[#This Row],[Everyday price]]-Table1[[#This Row],[Promo Price]])/Table1[[#This Row],[Everyday price]]</f>
        <v>#DIV/0!</v>
      </c>
      <c r="AC253" s="69"/>
      <c r="AH253" s="6"/>
      <c r="AJ253" s="116" t="str">
        <f>IF(AND(ISNUMBER(Table1[[#This Row],[Lift  ]]),ISNUMBER(Table1[[#This Row],[Plan lift, %]]),Table1[[#This Row],[Plan lift, %]]&lt;&gt;0),Table1[[#This Row],[Lift  ]]-Table1[[#This Row],[Plan lift, %]],"")</f>
        <v/>
      </c>
      <c r="AK253" s="116"/>
    </row>
    <row r="254" spans="1:37" x14ac:dyDescent="0.35">
      <c r="A254" t="s">
        <v>578</v>
      </c>
      <c r="B254" s="12">
        <v>1058</v>
      </c>
      <c r="C254" s="21" t="s">
        <v>136</v>
      </c>
      <c r="D254" s="13" t="s">
        <v>1232</v>
      </c>
      <c r="F254" s="21" t="s">
        <v>579</v>
      </c>
      <c r="G254" t="s">
        <v>23</v>
      </c>
      <c r="H254" s="14">
        <v>46204</v>
      </c>
      <c r="I254" s="14">
        <v>46234</v>
      </c>
      <c r="J254" s="13" t="s">
        <v>29</v>
      </c>
      <c r="L254" s="2">
        <v>7490.89</v>
      </c>
      <c r="M254" s="2">
        <v>7490.89</v>
      </c>
      <c r="N254" s="2">
        <v>1872.73</v>
      </c>
      <c r="O254" s="2">
        <v>9363.6200000000008</v>
      </c>
      <c r="P254" s="3">
        <v>0.25</v>
      </c>
      <c r="Q254" s="3"/>
      <c r="R254" s="2">
        <v>0</v>
      </c>
      <c r="S254" s="3">
        <v>0</v>
      </c>
      <c r="T254" s="2">
        <v>3727.56</v>
      </c>
      <c r="U254" s="13" t="s">
        <v>25</v>
      </c>
      <c r="V254" s="13" t="str">
        <f t="shared" si="25"/>
        <v>No</v>
      </c>
      <c r="W254" s="13" t="str">
        <f t="shared" si="25"/>
        <v>Yes</v>
      </c>
      <c r="X254" s="13" t="str">
        <f t="shared" si="25"/>
        <v>No</v>
      </c>
      <c r="Y254" s="13" t="str">
        <f t="shared" si="25"/>
        <v>No</v>
      </c>
      <c r="Z254" s="13" t="str">
        <f t="shared" si="25"/>
        <v>No</v>
      </c>
      <c r="AA254" s="71" t="e">
        <f>+(Table1[[#This Row],[Everyday price]]-Table1[[#This Row],[Promo Price]])/Table1[[#This Row],[Everyday price]]</f>
        <v>#DIV/0!</v>
      </c>
      <c r="AC254" s="69"/>
      <c r="AH254" s="6"/>
      <c r="AJ254" s="116" t="str">
        <f>IF(AND(ISNUMBER(Table1[[#This Row],[Lift  ]]),ISNUMBER(Table1[[#This Row],[Plan lift, %]]),Table1[[#This Row],[Plan lift, %]]&lt;&gt;0),Table1[[#This Row],[Lift  ]]-Table1[[#This Row],[Plan lift, %]],"")</f>
        <v/>
      </c>
      <c r="AK254" s="116"/>
    </row>
    <row r="255" spans="1:37" x14ac:dyDescent="0.35">
      <c r="A255" t="s">
        <v>135</v>
      </c>
      <c r="B255" s="12">
        <v>1059</v>
      </c>
      <c r="C255" s="21" t="s">
        <v>136</v>
      </c>
      <c r="D255" s="13" t="s">
        <v>1232</v>
      </c>
      <c r="F255" s="21" t="s">
        <v>137</v>
      </c>
      <c r="G255" t="s">
        <v>23</v>
      </c>
      <c r="H255" s="14">
        <v>46204</v>
      </c>
      <c r="I255" s="14">
        <v>46234</v>
      </c>
      <c r="J255" s="13" t="s">
        <v>24</v>
      </c>
      <c r="L255" s="2">
        <v>8107.88</v>
      </c>
      <c r="M255" s="2">
        <v>20789.48</v>
      </c>
      <c r="N255" s="2">
        <v>6236.84</v>
      </c>
      <c r="O255" s="2">
        <v>27026.32</v>
      </c>
      <c r="P255" s="3">
        <v>0.3</v>
      </c>
      <c r="Q255" s="3"/>
      <c r="R255" s="2">
        <v>0</v>
      </c>
      <c r="S255" s="3">
        <v>0</v>
      </c>
      <c r="T255" s="2">
        <v>5606.15</v>
      </c>
      <c r="U255" s="13" t="s">
        <v>25</v>
      </c>
      <c r="V255" s="13" t="str">
        <f t="shared" si="25"/>
        <v>No</v>
      </c>
      <c r="W255" s="13" t="str">
        <f t="shared" si="25"/>
        <v>Yes</v>
      </c>
      <c r="X255" s="13" t="str">
        <f t="shared" si="25"/>
        <v>No</v>
      </c>
      <c r="Y255" s="13" t="str">
        <f t="shared" si="25"/>
        <v>No</v>
      </c>
      <c r="Z255" s="13" t="str">
        <f t="shared" si="25"/>
        <v>No</v>
      </c>
      <c r="AA255" s="71" t="e">
        <f>+(Table1[[#This Row],[Everyday price]]-Table1[[#This Row],[Promo Price]])/Table1[[#This Row],[Everyday price]]</f>
        <v>#DIV/0!</v>
      </c>
      <c r="AC255" s="69"/>
      <c r="AH255" s="6"/>
      <c r="AJ255" s="116" t="str">
        <f>IF(AND(ISNUMBER(Table1[[#This Row],[Lift  ]]),ISNUMBER(Table1[[#This Row],[Plan lift, %]]),Table1[[#This Row],[Plan lift, %]]&lt;&gt;0),Table1[[#This Row],[Lift  ]]-Table1[[#This Row],[Plan lift, %]],"")</f>
        <v/>
      </c>
      <c r="AK255" s="116"/>
    </row>
    <row r="256" spans="1:37" x14ac:dyDescent="0.35">
      <c r="A256" t="s">
        <v>409</v>
      </c>
      <c r="B256" s="12">
        <v>1053</v>
      </c>
      <c r="C256" s="21" t="s">
        <v>136</v>
      </c>
      <c r="D256" s="13" t="s">
        <v>1232</v>
      </c>
      <c r="F256" s="21" t="s">
        <v>410</v>
      </c>
      <c r="G256" t="s">
        <v>60</v>
      </c>
      <c r="H256" s="14">
        <v>46235</v>
      </c>
      <c r="I256" s="14">
        <v>46265</v>
      </c>
      <c r="J256" s="13" t="s">
        <v>29</v>
      </c>
      <c r="L256" s="2">
        <v>7650.45</v>
      </c>
      <c r="M256" s="2">
        <v>7650.45</v>
      </c>
      <c r="N256" s="2">
        <v>1912.61</v>
      </c>
      <c r="O256" s="2">
        <v>9563.06</v>
      </c>
      <c r="P256" s="3">
        <v>0.25</v>
      </c>
      <c r="Q256" s="3"/>
      <c r="R256" s="2">
        <v>0</v>
      </c>
      <c r="S256" s="3">
        <v>0</v>
      </c>
      <c r="T256" s="2">
        <v>0</v>
      </c>
      <c r="U256" s="13" t="s">
        <v>25</v>
      </c>
      <c r="V256" s="13" t="str">
        <f t="shared" si="25"/>
        <v>No</v>
      </c>
      <c r="W256" s="13" t="str">
        <f t="shared" si="25"/>
        <v>Yes</v>
      </c>
      <c r="X256" s="13" t="str">
        <f t="shared" si="25"/>
        <v>No</v>
      </c>
      <c r="Y256" s="13" t="str">
        <f t="shared" si="25"/>
        <v>No</v>
      </c>
      <c r="Z256" s="13" t="str">
        <f t="shared" si="25"/>
        <v>No</v>
      </c>
      <c r="AA256" s="71" t="e">
        <f>+(Table1[[#This Row],[Everyday price]]-Table1[[#This Row],[Promo Price]])/Table1[[#This Row],[Everyday price]]</f>
        <v>#DIV/0!</v>
      </c>
      <c r="AC256" s="69"/>
      <c r="AH256" s="6"/>
      <c r="AJ256" s="116" t="str">
        <f>IF(AND(ISNUMBER(Table1[[#This Row],[Lift  ]]),ISNUMBER(Table1[[#This Row],[Plan lift, %]]),Table1[[#This Row],[Plan lift, %]]&lt;&gt;0),Table1[[#This Row],[Lift  ]]-Table1[[#This Row],[Plan lift, %]],"")</f>
        <v/>
      </c>
      <c r="AK256" s="116"/>
    </row>
    <row r="257" spans="1:39" x14ac:dyDescent="0.35">
      <c r="A257" t="s">
        <v>1164</v>
      </c>
      <c r="B257" s="12">
        <v>1054</v>
      </c>
      <c r="C257" s="21" t="s">
        <v>136</v>
      </c>
      <c r="D257" s="13" t="s">
        <v>1232</v>
      </c>
      <c r="F257" s="21" t="s">
        <v>1165</v>
      </c>
      <c r="G257" t="s">
        <v>60</v>
      </c>
      <c r="H257" s="14">
        <v>46235</v>
      </c>
      <c r="I257" s="14">
        <v>46265</v>
      </c>
      <c r="J257" s="13" t="s">
        <v>24</v>
      </c>
      <c r="L257" s="2">
        <v>6933.23</v>
      </c>
      <c r="M257" s="2">
        <v>19258.96</v>
      </c>
      <c r="N257" s="2">
        <v>3851.8</v>
      </c>
      <c r="O257" s="2">
        <v>23110.76</v>
      </c>
      <c r="P257" s="3">
        <v>0.2</v>
      </c>
      <c r="Q257" s="3"/>
      <c r="R257" s="2">
        <v>0</v>
      </c>
      <c r="S257" s="3">
        <v>0</v>
      </c>
      <c r="T257" s="2">
        <v>0</v>
      </c>
      <c r="U257" s="13" t="s">
        <v>25</v>
      </c>
      <c r="V257" s="13" t="str">
        <f t="shared" si="25"/>
        <v>No</v>
      </c>
      <c r="W257" s="13" t="str">
        <f t="shared" si="25"/>
        <v>Yes</v>
      </c>
      <c r="X257" s="13" t="str">
        <f t="shared" si="25"/>
        <v>No</v>
      </c>
      <c r="Y257" s="13" t="str">
        <f t="shared" si="25"/>
        <v>No</v>
      </c>
      <c r="Z257" s="13" t="str">
        <f t="shared" si="25"/>
        <v>No</v>
      </c>
      <c r="AA257" s="71" t="e">
        <f>+(Table1[[#This Row],[Everyday price]]-Table1[[#This Row],[Promo Price]])/Table1[[#This Row],[Everyday price]]</f>
        <v>#DIV/0!</v>
      </c>
      <c r="AC257" s="69"/>
      <c r="AH257" s="6"/>
      <c r="AJ257" s="116" t="str">
        <f>IF(AND(ISNUMBER(Table1[[#This Row],[Lift  ]]),ISNUMBER(Table1[[#This Row],[Plan lift, %]]),Table1[[#This Row],[Plan lift, %]]&lt;&gt;0),Table1[[#This Row],[Lift  ]]-Table1[[#This Row],[Plan lift, %]],"")</f>
        <v/>
      </c>
      <c r="AK257" s="116"/>
    </row>
    <row r="258" spans="1:39" x14ac:dyDescent="0.35">
      <c r="A258" t="s">
        <v>1089</v>
      </c>
      <c r="B258" s="82">
        <v>949</v>
      </c>
      <c r="C258" s="21" t="s">
        <v>314</v>
      </c>
      <c r="D258" s="15" t="s">
        <v>1512</v>
      </c>
      <c r="F258" s="21" t="s">
        <v>1090</v>
      </c>
      <c r="G258" t="s">
        <v>23</v>
      </c>
      <c r="H258" s="14">
        <v>46023</v>
      </c>
      <c r="I258" s="14">
        <v>46053</v>
      </c>
      <c r="J258" s="13" t="s">
        <v>24</v>
      </c>
      <c r="L258" s="2">
        <v>3699.8</v>
      </c>
      <c r="M258" s="2">
        <v>6434.46</v>
      </c>
      <c r="N258" s="2">
        <v>965.16</v>
      </c>
      <c r="O258" s="2">
        <v>7399.62</v>
      </c>
      <c r="P258" s="3">
        <v>0.15</v>
      </c>
      <c r="Q258" s="3"/>
      <c r="R258" s="2">
        <v>0</v>
      </c>
      <c r="S258" s="3">
        <v>0</v>
      </c>
      <c r="T258" s="2">
        <v>0</v>
      </c>
      <c r="U258" s="13" t="s">
        <v>25</v>
      </c>
      <c r="V258" s="13" t="str">
        <f t="shared" si="25"/>
        <v>No</v>
      </c>
      <c r="W258" s="13" t="str">
        <f t="shared" si="25"/>
        <v>Yes</v>
      </c>
      <c r="X258" s="13" t="str">
        <f t="shared" si="25"/>
        <v>No</v>
      </c>
      <c r="Y258" s="13" t="str">
        <f t="shared" si="25"/>
        <v>No</v>
      </c>
      <c r="Z258" s="13" t="str">
        <f t="shared" si="25"/>
        <v>No</v>
      </c>
      <c r="AA258" s="71">
        <f>+(Table1[[#This Row],[Everyday price]]-Table1[[#This Row],[Promo Price]])/Table1[[#This Row],[Everyday price]]</f>
        <v>0.17056856187290975</v>
      </c>
      <c r="AB258" s="74">
        <v>2.48</v>
      </c>
      <c r="AC258" s="74">
        <v>2.99</v>
      </c>
      <c r="AD258" s="41" t="s">
        <v>1257</v>
      </c>
      <c r="AE258" s="5">
        <v>46027</v>
      </c>
      <c r="AF258" s="5">
        <v>46046</v>
      </c>
      <c r="AG258" s="20">
        <v>2001</v>
      </c>
      <c r="AH258" s="6">
        <v>1064</v>
      </c>
      <c r="AI258" s="11">
        <f>Table1[[#This Row],[Incremental Units]]/Table1[[#This Row],[Base Units]]</f>
        <v>0.53173413293353322</v>
      </c>
      <c r="AJ258" s="11">
        <f>IF(AND(ISNUMBER(Table1[[#This Row],[Lift  ]]),ISNUMBER(Table1[[#This Row],[Plan lift, %]]),Table1[[#This Row],[Plan lift, %]]&lt;&gt;0),Table1[[#This Row],[Lift  ]]-Table1[[#This Row],[Plan lift, %]],"")</f>
        <v>0.3817341329335332</v>
      </c>
      <c r="AK258" s="11"/>
      <c r="AL258" s="71" t="s">
        <v>1400</v>
      </c>
    </row>
    <row r="259" spans="1:39" x14ac:dyDescent="0.35">
      <c r="A259" t="s">
        <v>574</v>
      </c>
      <c r="B259" s="82">
        <v>950</v>
      </c>
      <c r="C259" s="21" t="s">
        <v>314</v>
      </c>
      <c r="D259" s="15" t="s">
        <v>1512</v>
      </c>
      <c r="F259" s="21" t="s">
        <v>575</v>
      </c>
      <c r="G259" t="s">
        <v>23</v>
      </c>
      <c r="H259" s="14">
        <v>46113</v>
      </c>
      <c r="I259" s="14">
        <v>46142</v>
      </c>
      <c r="J259" s="13" t="s">
        <v>24</v>
      </c>
      <c r="L259" s="2">
        <v>6047.02</v>
      </c>
      <c r="M259" s="2">
        <v>6718.9</v>
      </c>
      <c r="N259" s="2">
        <v>1343.78</v>
      </c>
      <c r="O259" s="2">
        <v>8062.68</v>
      </c>
      <c r="P259" s="3">
        <v>0.2</v>
      </c>
      <c r="Q259" s="3"/>
      <c r="R259" s="2">
        <v>0</v>
      </c>
      <c r="S259" s="3">
        <v>0</v>
      </c>
      <c r="T259" s="2">
        <v>0</v>
      </c>
      <c r="U259" s="13" t="s">
        <v>25</v>
      </c>
      <c r="V259" s="13" t="str">
        <f t="shared" si="25"/>
        <v>No</v>
      </c>
      <c r="W259" s="13" t="str">
        <f t="shared" si="25"/>
        <v>Yes</v>
      </c>
      <c r="X259" s="13" t="str">
        <f t="shared" si="25"/>
        <v>No</v>
      </c>
      <c r="Y259" s="13" t="str">
        <f t="shared" si="25"/>
        <v>No</v>
      </c>
      <c r="Z259" s="13" t="str">
        <f t="shared" si="25"/>
        <v>No</v>
      </c>
      <c r="AA259" s="71">
        <f>+(Table1[[#This Row],[Everyday price]]-Table1[[#This Row],[Promo Price]])/Table1[[#This Row],[Everyday price]]</f>
        <v>0.24666666666666673</v>
      </c>
      <c r="AB259" s="74">
        <v>2.2599999999999998</v>
      </c>
      <c r="AC259" s="74">
        <v>3</v>
      </c>
      <c r="AD259" s="41" t="s">
        <v>1257</v>
      </c>
      <c r="AE259" s="5">
        <v>46153</v>
      </c>
      <c r="AF259" s="5">
        <v>46194</v>
      </c>
      <c r="AG259" s="20">
        <v>8726</v>
      </c>
      <c r="AH259" s="6">
        <v>6665</v>
      </c>
      <c r="AI259" s="11">
        <f>Table1[[#This Row],[Incremental Units]]/Table1[[#This Row],[Base Units]]</f>
        <v>0.76380930552372217</v>
      </c>
      <c r="AJ259" s="11">
        <f>IF(AND(ISNUMBER(Table1[[#This Row],[Lift  ]]),ISNUMBER(Table1[[#This Row],[Plan lift, %]]),Table1[[#This Row],[Plan lift, %]]&lt;&gt;0),Table1[[#This Row],[Lift  ]]-Table1[[#This Row],[Plan lift, %]],"")</f>
        <v>0.5638093055237221</v>
      </c>
      <c r="AK259" s="11"/>
      <c r="AL259" s="71" t="s">
        <v>1400</v>
      </c>
      <c r="AM259" t="s">
        <v>1294</v>
      </c>
    </row>
    <row r="260" spans="1:39" x14ac:dyDescent="0.35">
      <c r="A260" t="s">
        <v>897</v>
      </c>
      <c r="B260" s="12">
        <v>951</v>
      </c>
      <c r="C260" s="21" t="s">
        <v>314</v>
      </c>
      <c r="D260" s="15" t="s">
        <v>1512</v>
      </c>
      <c r="F260" s="21" t="s">
        <v>898</v>
      </c>
      <c r="G260" t="s">
        <v>60</v>
      </c>
      <c r="H260" s="14">
        <v>46204</v>
      </c>
      <c r="I260" s="14">
        <v>46245</v>
      </c>
      <c r="J260" s="13" t="s">
        <v>24</v>
      </c>
      <c r="L260" s="2">
        <v>3506.43</v>
      </c>
      <c r="M260" s="2">
        <v>9740.08</v>
      </c>
      <c r="N260" s="2">
        <v>1948.02</v>
      </c>
      <c r="O260" s="2">
        <v>11688.1</v>
      </c>
      <c r="P260" s="3">
        <v>0.2</v>
      </c>
      <c r="Q260" s="3"/>
      <c r="R260" s="2">
        <v>0</v>
      </c>
      <c r="S260" s="3">
        <v>0</v>
      </c>
      <c r="T260" s="2">
        <v>0</v>
      </c>
      <c r="U260" s="13" t="s">
        <v>25</v>
      </c>
      <c r="V260" s="13" t="str">
        <f t="shared" si="25"/>
        <v>No</v>
      </c>
      <c r="W260" s="13" t="str">
        <f t="shared" si="25"/>
        <v>Yes</v>
      </c>
      <c r="X260" s="13" t="str">
        <f t="shared" si="25"/>
        <v>No</v>
      </c>
      <c r="Y260" s="13" t="str">
        <f t="shared" si="25"/>
        <v>No</v>
      </c>
      <c r="Z260" s="13" t="str">
        <f t="shared" si="25"/>
        <v>No</v>
      </c>
      <c r="AA260" s="71" t="e">
        <f>+(Table1[[#This Row],[Everyday price]]-Table1[[#This Row],[Promo Price]])/Table1[[#This Row],[Everyday price]]</f>
        <v>#DIV/0!</v>
      </c>
      <c r="AC260" s="69"/>
      <c r="AH260" s="6"/>
      <c r="AJ260" s="116" t="str">
        <f>IF(AND(ISNUMBER(Table1[[#This Row],[Lift  ]]),ISNUMBER(Table1[[#This Row],[Plan lift, %]]),Table1[[#This Row],[Plan lift, %]]&lt;&gt;0),Table1[[#This Row],[Lift  ]]-Table1[[#This Row],[Plan lift, %]],"")</f>
        <v/>
      </c>
      <c r="AK260" s="116"/>
    </row>
    <row r="261" spans="1:39" x14ac:dyDescent="0.35">
      <c r="A261" t="s">
        <v>895</v>
      </c>
      <c r="B261" s="12">
        <v>952</v>
      </c>
      <c r="C261" s="21" t="s">
        <v>314</v>
      </c>
      <c r="D261" s="15" t="s">
        <v>1512</v>
      </c>
      <c r="F261" s="21" t="s">
        <v>896</v>
      </c>
      <c r="G261" t="s">
        <v>44</v>
      </c>
      <c r="H261" s="14">
        <v>46266</v>
      </c>
      <c r="I261" s="14">
        <v>46303</v>
      </c>
      <c r="J261" s="13" t="s">
        <v>24</v>
      </c>
      <c r="L261" s="2">
        <v>4155.08</v>
      </c>
      <c r="M261" s="2">
        <v>7226.26</v>
      </c>
      <c r="N261" s="2">
        <v>1083.93</v>
      </c>
      <c r="O261" s="2">
        <v>8310.19</v>
      </c>
      <c r="P261" s="3">
        <v>0.15</v>
      </c>
      <c r="Q261" s="3"/>
      <c r="R261" s="2">
        <v>0</v>
      </c>
      <c r="S261" s="3">
        <v>0</v>
      </c>
      <c r="T261" s="2">
        <v>0</v>
      </c>
      <c r="U261" s="13" t="s">
        <v>25</v>
      </c>
      <c r="V261" s="13" t="str">
        <f t="shared" si="25"/>
        <v>No</v>
      </c>
      <c r="W261" s="13" t="str">
        <f t="shared" si="25"/>
        <v>Yes</v>
      </c>
      <c r="X261" s="13" t="str">
        <f t="shared" si="25"/>
        <v>No</v>
      </c>
      <c r="Y261" s="13" t="str">
        <f t="shared" si="25"/>
        <v>No</v>
      </c>
      <c r="Z261" s="13" t="str">
        <f t="shared" si="25"/>
        <v>No</v>
      </c>
      <c r="AA261" s="71" t="e">
        <f>+(Table1[[#This Row],[Everyday price]]-Table1[[#This Row],[Promo Price]])/Table1[[#This Row],[Everyday price]]</f>
        <v>#DIV/0!</v>
      </c>
      <c r="AC261" s="69"/>
      <c r="AH261" s="6"/>
      <c r="AJ261" s="116" t="str">
        <f>IF(AND(ISNUMBER(Table1[[#This Row],[Lift  ]]),ISNUMBER(Table1[[#This Row],[Plan lift, %]]),Table1[[#This Row],[Plan lift, %]]&lt;&gt;0),Table1[[#This Row],[Lift  ]]-Table1[[#This Row],[Plan lift, %]],"")</f>
        <v/>
      </c>
      <c r="AK261" s="116"/>
    </row>
    <row r="262" spans="1:39" x14ac:dyDescent="0.35">
      <c r="A262" t="s">
        <v>313</v>
      </c>
      <c r="B262" s="12">
        <v>953</v>
      </c>
      <c r="C262" s="21" t="s">
        <v>314</v>
      </c>
      <c r="D262" s="15" t="s">
        <v>1512</v>
      </c>
      <c r="F262" s="21" t="s">
        <v>315</v>
      </c>
      <c r="G262" t="s">
        <v>44</v>
      </c>
      <c r="H262" s="14">
        <v>46357</v>
      </c>
      <c r="I262" s="14">
        <v>46395</v>
      </c>
      <c r="J262" s="13" t="s">
        <v>24</v>
      </c>
      <c r="L262" s="2">
        <v>2333.56</v>
      </c>
      <c r="M262" s="2">
        <v>6482.11</v>
      </c>
      <c r="N262" s="2">
        <v>1296.42</v>
      </c>
      <c r="O262" s="2">
        <v>7778.53</v>
      </c>
      <c r="P262" s="3">
        <v>0.2</v>
      </c>
      <c r="Q262" s="3"/>
      <c r="R262" s="2">
        <v>0</v>
      </c>
      <c r="S262" s="3">
        <v>0</v>
      </c>
      <c r="T262" s="2">
        <v>0</v>
      </c>
      <c r="U262" s="13" t="s">
        <v>25</v>
      </c>
      <c r="V262" s="13" t="str">
        <f t="shared" ref="V262:Z271" si="26">IF(ISNUMBER(SEARCH(V$1,$U262)),"Yes","No")</f>
        <v>No</v>
      </c>
      <c r="W262" s="13" t="str">
        <f t="shared" si="26"/>
        <v>Yes</v>
      </c>
      <c r="X262" s="13" t="str">
        <f t="shared" si="26"/>
        <v>No</v>
      </c>
      <c r="Y262" s="13" t="str">
        <f t="shared" si="26"/>
        <v>No</v>
      </c>
      <c r="Z262" s="13" t="str">
        <f t="shared" si="26"/>
        <v>No</v>
      </c>
      <c r="AA262" s="71" t="e">
        <f>+(Table1[[#This Row],[Everyday price]]-Table1[[#This Row],[Promo Price]])/Table1[[#This Row],[Everyday price]]</f>
        <v>#DIV/0!</v>
      </c>
      <c r="AC262" s="69"/>
      <c r="AH262" s="6"/>
      <c r="AJ262" s="116" t="str">
        <f>IF(AND(ISNUMBER(Table1[[#This Row],[Lift  ]]),ISNUMBER(Table1[[#This Row],[Plan lift, %]]),Table1[[#This Row],[Plan lift, %]]&lt;&gt;0),Table1[[#This Row],[Lift  ]]-Table1[[#This Row],[Plan lift, %]],"")</f>
        <v/>
      </c>
      <c r="AK262" s="116"/>
    </row>
    <row r="263" spans="1:39" x14ac:dyDescent="0.35">
      <c r="A263" t="s">
        <v>1070</v>
      </c>
      <c r="B263" s="82">
        <v>954</v>
      </c>
      <c r="C263" s="21" t="s">
        <v>302</v>
      </c>
      <c r="D263" s="13" t="s">
        <v>1232</v>
      </c>
      <c r="F263" s="21" t="s">
        <v>1071</v>
      </c>
      <c r="G263" t="s">
        <v>23</v>
      </c>
      <c r="H263" s="14">
        <v>46023</v>
      </c>
      <c r="I263" s="14">
        <v>46053</v>
      </c>
      <c r="J263" s="13" t="s">
        <v>24</v>
      </c>
      <c r="L263" s="2">
        <v>3290.99</v>
      </c>
      <c r="M263" s="2">
        <v>6550.82</v>
      </c>
      <c r="N263" s="2">
        <v>4913.1099999999997</v>
      </c>
      <c r="O263" s="2">
        <v>11463.93</v>
      </c>
      <c r="P263" s="3">
        <v>0.75</v>
      </c>
      <c r="Q263" s="3"/>
      <c r="R263" s="2">
        <v>0</v>
      </c>
      <c r="S263" s="3">
        <v>0</v>
      </c>
      <c r="T263" s="2">
        <v>0</v>
      </c>
      <c r="U263" s="13" t="s">
        <v>33</v>
      </c>
      <c r="V263" s="13" t="str">
        <f t="shared" si="26"/>
        <v>No</v>
      </c>
      <c r="W263" s="13" t="str">
        <f t="shared" si="26"/>
        <v>Yes</v>
      </c>
      <c r="X263" s="13" t="str">
        <f t="shared" si="26"/>
        <v>Yes</v>
      </c>
      <c r="Y263" s="13" t="str">
        <f t="shared" si="26"/>
        <v>No</v>
      </c>
      <c r="Z263" s="13" t="str">
        <f t="shared" si="26"/>
        <v>No</v>
      </c>
      <c r="AA263" s="71">
        <f>+(Table1[[#This Row],[Everyday price]]-Table1[[#This Row],[Promo Price]])/Table1[[#This Row],[Everyday price]]</f>
        <v>0.25000000000000006</v>
      </c>
      <c r="AB263" s="74">
        <v>2.5499999999999998</v>
      </c>
      <c r="AC263" s="74">
        <v>3.4</v>
      </c>
      <c r="AD263" s="40" t="s">
        <v>1257</v>
      </c>
      <c r="AE263" s="5">
        <v>46090</v>
      </c>
      <c r="AF263" s="5">
        <v>46103</v>
      </c>
      <c r="AG263" s="20">
        <v>1308</v>
      </c>
      <c r="AH263" s="6">
        <v>894</v>
      </c>
      <c r="AI263" s="11">
        <f>Table1[[#This Row],[Incremental Units]]/Table1[[#This Row],[Base Units]]</f>
        <v>0.6834862385321101</v>
      </c>
      <c r="AJ263" s="11">
        <f>IF(AND(ISNUMBER(Table1[[#This Row],[Lift  ]]),ISNUMBER(Table1[[#This Row],[Plan lift, %]]),Table1[[#This Row],[Plan lift, %]]&lt;&gt;0),Table1[[#This Row],[Lift  ]]-Table1[[#This Row],[Plan lift, %]],"")</f>
        <v>-6.6513761467889898E-2</v>
      </c>
      <c r="AK263" s="11"/>
      <c r="AL263" s="71" t="s">
        <v>1400</v>
      </c>
      <c r="AM263" s="4" t="s">
        <v>1297</v>
      </c>
    </row>
    <row r="264" spans="1:39" x14ac:dyDescent="0.35">
      <c r="A264" t="s">
        <v>301</v>
      </c>
      <c r="B264" s="73">
        <v>958</v>
      </c>
      <c r="C264" s="21" t="s">
        <v>302</v>
      </c>
      <c r="D264" s="13" t="s">
        <v>1232</v>
      </c>
      <c r="F264" s="21" t="s">
        <v>303</v>
      </c>
      <c r="G264" t="s">
        <v>23</v>
      </c>
      <c r="H264" s="14">
        <v>46054</v>
      </c>
      <c r="I264" s="14">
        <v>46081</v>
      </c>
      <c r="J264" s="13" t="s">
        <v>29</v>
      </c>
      <c r="L264" s="2">
        <v>1086.07</v>
      </c>
      <c r="M264" s="2">
        <v>755.52</v>
      </c>
      <c r="N264" s="2">
        <v>566.64</v>
      </c>
      <c r="O264" s="2">
        <v>1322.16</v>
      </c>
      <c r="P264" s="3">
        <v>0.75</v>
      </c>
      <c r="Q264" s="3"/>
      <c r="R264" s="2">
        <v>0</v>
      </c>
      <c r="S264" s="3">
        <v>0</v>
      </c>
      <c r="T264" s="2">
        <v>0</v>
      </c>
      <c r="U264" s="13" t="s">
        <v>33</v>
      </c>
      <c r="V264" s="13" t="str">
        <f t="shared" si="26"/>
        <v>No</v>
      </c>
      <c r="W264" s="13" t="str">
        <f t="shared" si="26"/>
        <v>Yes</v>
      </c>
      <c r="X264" s="13" t="str">
        <f t="shared" si="26"/>
        <v>Yes</v>
      </c>
      <c r="Y264" s="13" t="str">
        <f t="shared" si="26"/>
        <v>No</v>
      </c>
      <c r="Z264" s="13" t="str">
        <f t="shared" si="26"/>
        <v>No</v>
      </c>
      <c r="AA264" s="71" t="e">
        <f>+(Table1[[#This Row],[Everyday price]]-Table1[[#This Row],[Promo Price]])/Table1[[#This Row],[Everyday price]]</f>
        <v>#DIV/0!</v>
      </c>
      <c r="AC264" s="69"/>
      <c r="AH264" s="6"/>
      <c r="AJ264" s="116" t="str">
        <f>IF(AND(ISNUMBER(Table1[[#This Row],[Lift  ]]),ISNUMBER(Table1[[#This Row],[Plan lift, %]]),Table1[[#This Row],[Plan lift, %]]&lt;&gt;0),Table1[[#This Row],[Lift  ]]-Table1[[#This Row],[Plan lift, %]],"")</f>
        <v/>
      </c>
      <c r="AK264" s="116"/>
      <c r="AM264" t="s">
        <v>1295</v>
      </c>
    </row>
    <row r="265" spans="1:39" x14ac:dyDescent="0.35">
      <c r="A265" t="s">
        <v>760</v>
      </c>
      <c r="B265" s="82">
        <v>959</v>
      </c>
      <c r="C265" s="21" t="s">
        <v>302</v>
      </c>
      <c r="D265" s="13" t="s">
        <v>1232</v>
      </c>
      <c r="F265" s="21" t="s">
        <v>761</v>
      </c>
      <c r="G265" t="s">
        <v>23</v>
      </c>
      <c r="H265" s="14">
        <v>46113</v>
      </c>
      <c r="I265" s="14">
        <v>46142</v>
      </c>
      <c r="J265" s="13" t="s">
        <v>29</v>
      </c>
      <c r="L265" s="2">
        <v>1159.1600000000001</v>
      </c>
      <c r="M265" s="2">
        <v>839.04</v>
      </c>
      <c r="N265" s="2">
        <v>629.28</v>
      </c>
      <c r="O265" s="2">
        <v>1468.32</v>
      </c>
      <c r="P265" s="3">
        <v>0.75</v>
      </c>
      <c r="Q265" s="3"/>
      <c r="R265" s="2">
        <v>0</v>
      </c>
      <c r="S265" s="3">
        <v>0</v>
      </c>
      <c r="T265" s="2">
        <v>0</v>
      </c>
      <c r="U265" s="13" t="s">
        <v>33</v>
      </c>
      <c r="V265" s="13" t="str">
        <f t="shared" si="26"/>
        <v>No</v>
      </c>
      <c r="W265" s="13" t="str">
        <f t="shared" si="26"/>
        <v>Yes</v>
      </c>
      <c r="X265" s="13" t="str">
        <f t="shared" si="26"/>
        <v>Yes</v>
      </c>
      <c r="Y265" s="13" t="str">
        <f t="shared" si="26"/>
        <v>No</v>
      </c>
      <c r="Z265" s="13" t="str">
        <f t="shared" si="26"/>
        <v>No</v>
      </c>
      <c r="AA265" s="71">
        <f>+(Table1[[#This Row],[Everyday price]]-Table1[[#This Row],[Promo Price]])/Table1[[#This Row],[Everyday price]]</f>
        <v>0.25020850708924103</v>
      </c>
      <c r="AB265" s="69">
        <v>8.99</v>
      </c>
      <c r="AC265" s="69">
        <v>11.99</v>
      </c>
      <c r="AD265" s="40" t="s">
        <v>1257</v>
      </c>
      <c r="AE265" s="5">
        <v>46146</v>
      </c>
      <c r="AF265" s="5">
        <v>46173</v>
      </c>
      <c r="AG265" s="20">
        <v>430</v>
      </c>
      <c r="AH265" s="6">
        <v>271</v>
      </c>
      <c r="AI265" s="11">
        <f>Table1[[#This Row],[Incremental Units]]/Table1[[#This Row],[Base Units]]</f>
        <v>0.63023255813953494</v>
      </c>
      <c r="AJ265" s="11">
        <f>IF(AND(ISNUMBER(Table1[[#This Row],[Lift  ]]),ISNUMBER(Table1[[#This Row],[Plan lift, %]]),Table1[[#This Row],[Plan lift, %]]&lt;&gt;0),Table1[[#This Row],[Lift  ]]-Table1[[#This Row],[Plan lift, %]],"")</f>
        <v>-0.11976744186046506</v>
      </c>
      <c r="AK265" s="11"/>
      <c r="AL265" s="71" t="s">
        <v>1400</v>
      </c>
      <c r="AM265" s="4" t="s">
        <v>1296</v>
      </c>
    </row>
    <row r="266" spans="1:39" x14ac:dyDescent="0.35">
      <c r="A266" t="s">
        <v>487</v>
      </c>
      <c r="B266" s="82">
        <v>955</v>
      </c>
      <c r="C266" s="21" t="s">
        <v>302</v>
      </c>
      <c r="D266" s="13" t="s">
        <v>1232</v>
      </c>
      <c r="F266" s="21" t="s">
        <v>488</v>
      </c>
      <c r="G266" t="s">
        <v>23</v>
      </c>
      <c r="H266" s="14">
        <v>46158</v>
      </c>
      <c r="I266" s="14">
        <v>46191</v>
      </c>
      <c r="J266" s="13" t="s">
        <v>24</v>
      </c>
      <c r="L266" s="2">
        <v>7700.59</v>
      </c>
      <c r="M266" s="2">
        <v>6444.97</v>
      </c>
      <c r="N266" s="2">
        <v>8056.21</v>
      </c>
      <c r="O266" s="2">
        <v>14501.18</v>
      </c>
      <c r="P266" s="3">
        <v>1.25</v>
      </c>
      <c r="Q266" s="3"/>
      <c r="R266" s="2">
        <v>0</v>
      </c>
      <c r="S266" s="3">
        <v>0</v>
      </c>
      <c r="T266" s="2">
        <v>0</v>
      </c>
      <c r="U266" s="13" t="s">
        <v>33</v>
      </c>
      <c r="V266" s="13" t="str">
        <f t="shared" si="26"/>
        <v>No</v>
      </c>
      <c r="W266" s="13" t="str">
        <f t="shared" si="26"/>
        <v>Yes</v>
      </c>
      <c r="X266" s="13" t="str">
        <f t="shared" si="26"/>
        <v>Yes</v>
      </c>
      <c r="Y266" s="13" t="str">
        <f t="shared" si="26"/>
        <v>No</v>
      </c>
      <c r="Z266" s="13" t="str">
        <f t="shared" si="26"/>
        <v>No</v>
      </c>
      <c r="AA266" s="71">
        <f>+(Table1[[#This Row],[Everyday price]]-Table1[[#This Row],[Promo Price]])/Table1[[#This Row],[Everyday price]]</f>
        <v>0.16666666666666666</v>
      </c>
      <c r="AB266" s="69">
        <v>2.5</v>
      </c>
      <c r="AC266" s="69">
        <v>3</v>
      </c>
      <c r="AD266" s="40" t="s">
        <v>1298</v>
      </c>
      <c r="AE266" s="5">
        <v>46153</v>
      </c>
      <c r="AF266" s="5">
        <v>46166</v>
      </c>
      <c r="AG266" s="20">
        <v>1530</v>
      </c>
      <c r="AH266" s="6">
        <v>776</v>
      </c>
      <c r="AI266" s="11">
        <f>Table1[[#This Row],[Incremental Units]]/Table1[[#This Row],[Base Units]]</f>
        <v>0.50718954248366011</v>
      </c>
      <c r="AJ266" s="11">
        <f>IF(AND(ISNUMBER(Table1[[#This Row],[Lift  ]]),ISNUMBER(Table1[[#This Row],[Plan lift, %]]),Table1[[#This Row],[Plan lift, %]]&lt;&gt;0),Table1[[#This Row],[Lift  ]]-Table1[[#This Row],[Plan lift, %]],"")</f>
        <v>-0.74281045751633989</v>
      </c>
      <c r="AK266" s="11"/>
      <c r="AL266" s="71" t="s">
        <v>1400</v>
      </c>
    </row>
    <row r="267" spans="1:39" x14ac:dyDescent="0.35">
      <c r="A267" t="s">
        <v>346</v>
      </c>
      <c r="B267" s="12">
        <v>960</v>
      </c>
      <c r="C267" s="21" t="s">
        <v>302</v>
      </c>
      <c r="D267" s="13" t="s">
        <v>1232</v>
      </c>
      <c r="F267" s="21" t="s">
        <v>347</v>
      </c>
      <c r="G267" t="s">
        <v>23</v>
      </c>
      <c r="H267" s="14">
        <v>46204</v>
      </c>
      <c r="I267" s="14">
        <v>46234</v>
      </c>
      <c r="J267" s="13" t="s">
        <v>29</v>
      </c>
      <c r="L267" s="2">
        <v>1202.8399999999999</v>
      </c>
      <c r="M267" s="2">
        <v>888.96</v>
      </c>
      <c r="N267" s="2">
        <v>666.72</v>
      </c>
      <c r="O267" s="2">
        <v>1555.68</v>
      </c>
      <c r="P267" s="3">
        <v>0.75</v>
      </c>
      <c r="Q267" s="3"/>
      <c r="R267" s="2">
        <v>0</v>
      </c>
      <c r="S267" s="3">
        <v>0</v>
      </c>
      <c r="T267" s="2">
        <v>0</v>
      </c>
      <c r="U267" s="13" t="s">
        <v>33</v>
      </c>
      <c r="V267" s="13" t="str">
        <f t="shared" si="26"/>
        <v>No</v>
      </c>
      <c r="W267" s="13" t="str">
        <f t="shared" si="26"/>
        <v>Yes</v>
      </c>
      <c r="X267" s="13" t="str">
        <f t="shared" si="26"/>
        <v>Yes</v>
      </c>
      <c r="Y267" s="13" t="str">
        <f t="shared" si="26"/>
        <v>No</v>
      </c>
      <c r="Z267" s="13" t="str">
        <f t="shared" si="26"/>
        <v>No</v>
      </c>
      <c r="AA267" s="71" t="e">
        <f>+(Table1[[#This Row],[Everyday price]]-Table1[[#This Row],[Promo Price]])/Table1[[#This Row],[Everyday price]]</f>
        <v>#DIV/0!</v>
      </c>
      <c r="AC267" s="69"/>
      <c r="AH267" s="6"/>
      <c r="AI267" s="11"/>
      <c r="AJ267" s="11" t="str">
        <f>IF(AND(ISNUMBER(Table1[[#This Row],[Lift  ]]),ISNUMBER(Table1[[#This Row],[Plan lift, %]]),Table1[[#This Row],[Plan lift, %]]&lt;&gt;0),Table1[[#This Row],[Lift  ]]-Table1[[#This Row],[Plan lift, %]],"")</f>
        <v/>
      </c>
      <c r="AK267" s="11"/>
      <c r="AL267" s="71"/>
    </row>
    <row r="268" spans="1:39" x14ac:dyDescent="0.35">
      <c r="A268" t="s">
        <v>1094</v>
      </c>
      <c r="B268" s="12">
        <v>956</v>
      </c>
      <c r="C268" s="21" t="s">
        <v>302</v>
      </c>
      <c r="D268" s="13" t="s">
        <v>1232</v>
      </c>
      <c r="F268" s="21" t="s">
        <v>1095</v>
      </c>
      <c r="G268" t="s">
        <v>60</v>
      </c>
      <c r="H268" s="14">
        <v>46235</v>
      </c>
      <c r="I268" s="14">
        <v>46265</v>
      </c>
      <c r="J268" s="13" t="s">
        <v>24</v>
      </c>
      <c r="L268" s="2">
        <v>3348.68</v>
      </c>
      <c r="M268" s="2">
        <v>6625.55</v>
      </c>
      <c r="N268" s="2">
        <v>4969.1499999999996</v>
      </c>
      <c r="O268" s="2">
        <v>11594.7</v>
      </c>
      <c r="P268" s="3">
        <v>0.75</v>
      </c>
      <c r="Q268" s="3"/>
      <c r="R268" s="2">
        <v>0</v>
      </c>
      <c r="S268" s="3">
        <v>0</v>
      </c>
      <c r="T268" s="2">
        <v>0</v>
      </c>
      <c r="U268" s="13" t="s">
        <v>33</v>
      </c>
      <c r="V268" s="13" t="str">
        <f t="shared" si="26"/>
        <v>No</v>
      </c>
      <c r="W268" s="13" t="str">
        <f t="shared" si="26"/>
        <v>Yes</v>
      </c>
      <c r="X268" s="13" t="str">
        <f t="shared" si="26"/>
        <v>Yes</v>
      </c>
      <c r="Y268" s="13" t="str">
        <f t="shared" si="26"/>
        <v>No</v>
      </c>
      <c r="Z268" s="13" t="str">
        <f t="shared" si="26"/>
        <v>No</v>
      </c>
      <c r="AA268" s="71" t="e">
        <f>+(Table1[[#This Row],[Everyday price]]-Table1[[#This Row],[Promo Price]])/Table1[[#This Row],[Everyday price]]</f>
        <v>#DIV/0!</v>
      </c>
      <c r="AC268" s="69"/>
      <c r="AH268" s="6"/>
      <c r="AI268" s="11"/>
      <c r="AJ268" s="11" t="str">
        <f>IF(AND(ISNUMBER(Table1[[#This Row],[Lift  ]]),ISNUMBER(Table1[[#This Row],[Plan lift, %]]),Table1[[#This Row],[Plan lift, %]]&lt;&gt;0),Table1[[#This Row],[Lift  ]]-Table1[[#This Row],[Plan lift, %]],"")</f>
        <v/>
      </c>
      <c r="AK268" s="11"/>
      <c r="AL268" s="71"/>
    </row>
    <row r="269" spans="1:39" x14ac:dyDescent="0.35">
      <c r="A269" t="s">
        <v>872</v>
      </c>
      <c r="B269" s="12">
        <v>961</v>
      </c>
      <c r="C269" s="21" t="s">
        <v>302</v>
      </c>
      <c r="D269" s="13" t="s">
        <v>1232</v>
      </c>
      <c r="F269" s="21" t="s">
        <v>873</v>
      </c>
      <c r="G269" t="s">
        <v>44</v>
      </c>
      <c r="H269" s="14">
        <v>46266</v>
      </c>
      <c r="I269" s="14">
        <v>46295</v>
      </c>
      <c r="J269" s="13" t="s">
        <v>29</v>
      </c>
      <c r="L269" s="2">
        <v>1029.8</v>
      </c>
      <c r="M269" s="2">
        <v>691.2</v>
      </c>
      <c r="N269" s="2">
        <v>518.4</v>
      </c>
      <c r="O269" s="2">
        <v>1209.5999999999999</v>
      </c>
      <c r="P269" s="3">
        <v>0.75</v>
      </c>
      <c r="Q269" s="3"/>
      <c r="R269" s="2">
        <v>0</v>
      </c>
      <c r="S269" s="3">
        <v>0</v>
      </c>
      <c r="T269" s="2">
        <v>0</v>
      </c>
      <c r="U269" s="13" t="s">
        <v>33</v>
      </c>
      <c r="V269" s="13" t="str">
        <f t="shared" si="26"/>
        <v>No</v>
      </c>
      <c r="W269" s="13" t="str">
        <f t="shared" si="26"/>
        <v>Yes</v>
      </c>
      <c r="X269" s="13" t="str">
        <f t="shared" si="26"/>
        <v>Yes</v>
      </c>
      <c r="Y269" s="13" t="str">
        <f t="shared" si="26"/>
        <v>No</v>
      </c>
      <c r="Z269" s="13" t="str">
        <f t="shared" si="26"/>
        <v>No</v>
      </c>
      <c r="AA269" s="71" t="e">
        <f>+(Table1[[#This Row],[Everyday price]]-Table1[[#This Row],[Promo Price]])/Table1[[#This Row],[Everyday price]]</f>
        <v>#DIV/0!</v>
      </c>
      <c r="AC269" s="69"/>
      <c r="AH269" s="6"/>
      <c r="AI269" s="11"/>
      <c r="AJ269" s="11" t="str">
        <f>IF(AND(ISNUMBER(Table1[[#This Row],[Lift  ]]),ISNUMBER(Table1[[#This Row],[Plan lift, %]]),Table1[[#This Row],[Plan lift, %]]&lt;&gt;0),Table1[[#This Row],[Lift  ]]-Table1[[#This Row],[Plan lift, %]],"")</f>
        <v/>
      </c>
      <c r="AK269" s="11"/>
      <c r="AL269" s="71"/>
    </row>
    <row r="270" spans="1:39" x14ac:dyDescent="0.35">
      <c r="A270" t="s">
        <v>669</v>
      </c>
      <c r="B270" s="12">
        <v>957</v>
      </c>
      <c r="C270" s="21" t="s">
        <v>302</v>
      </c>
      <c r="D270" s="13" t="s">
        <v>1232</v>
      </c>
      <c r="F270" s="21" t="s">
        <v>670</v>
      </c>
      <c r="G270" t="s">
        <v>44</v>
      </c>
      <c r="H270" s="14">
        <v>46296</v>
      </c>
      <c r="I270" s="14">
        <v>46326</v>
      </c>
      <c r="J270" s="13" t="s">
        <v>24</v>
      </c>
      <c r="L270" s="2">
        <v>3834.14</v>
      </c>
      <c r="M270" s="2">
        <v>7735.2</v>
      </c>
      <c r="N270" s="2">
        <v>5801.39</v>
      </c>
      <c r="O270" s="2">
        <v>13536.59</v>
      </c>
      <c r="P270" s="3">
        <v>0.75</v>
      </c>
      <c r="Q270" s="3"/>
      <c r="R270" s="2">
        <v>0</v>
      </c>
      <c r="S270" s="3">
        <v>0</v>
      </c>
      <c r="T270" s="2">
        <v>0</v>
      </c>
      <c r="U270" s="13" t="s">
        <v>33</v>
      </c>
      <c r="V270" s="13" t="str">
        <f t="shared" si="26"/>
        <v>No</v>
      </c>
      <c r="W270" s="13" t="str">
        <f t="shared" si="26"/>
        <v>Yes</v>
      </c>
      <c r="X270" s="13" t="str">
        <f t="shared" si="26"/>
        <v>Yes</v>
      </c>
      <c r="Y270" s="13" t="str">
        <f t="shared" si="26"/>
        <v>No</v>
      </c>
      <c r="Z270" s="13" t="str">
        <f t="shared" si="26"/>
        <v>No</v>
      </c>
      <c r="AA270" s="71" t="e">
        <f>+(Table1[[#This Row],[Everyday price]]-Table1[[#This Row],[Promo Price]])/Table1[[#This Row],[Everyday price]]</f>
        <v>#DIV/0!</v>
      </c>
      <c r="AC270" s="69"/>
      <c r="AH270" s="6"/>
      <c r="AI270" s="11"/>
      <c r="AJ270" s="11" t="str">
        <f>IF(AND(ISNUMBER(Table1[[#This Row],[Lift  ]]),ISNUMBER(Table1[[#This Row],[Plan lift, %]]),Table1[[#This Row],[Plan lift, %]]&lt;&gt;0),Table1[[#This Row],[Lift  ]]-Table1[[#This Row],[Plan lift, %]],"")</f>
        <v/>
      </c>
      <c r="AK270" s="11"/>
      <c r="AL270" s="71"/>
    </row>
    <row r="271" spans="1:39" x14ac:dyDescent="0.35">
      <c r="A271" t="s">
        <v>1077</v>
      </c>
      <c r="B271" s="82">
        <v>1179</v>
      </c>
      <c r="C271" s="21" t="s">
        <v>649</v>
      </c>
      <c r="D271" s="13" t="s">
        <v>1230</v>
      </c>
      <c r="F271" t="s">
        <v>1078</v>
      </c>
      <c r="G271" t="s">
        <v>23</v>
      </c>
      <c r="H271" s="1">
        <v>46023</v>
      </c>
      <c r="I271" s="1">
        <v>46081</v>
      </c>
      <c r="J271" s="13" t="s">
        <v>24</v>
      </c>
      <c r="L271" s="2">
        <v>4675.05</v>
      </c>
      <c r="M271" s="2">
        <v>11615.02</v>
      </c>
      <c r="N271" s="2">
        <v>1742.25</v>
      </c>
      <c r="O271" s="2">
        <v>13357.27</v>
      </c>
      <c r="P271" s="3">
        <v>0.15</v>
      </c>
      <c r="Q271" s="3"/>
      <c r="R271" s="2">
        <v>0</v>
      </c>
      <c r="S271" s="3">
        <v>0</v>
      </c>
      <c r="T271" s="2">
        <v>0</v>
      </c>
      <c r="U271" t="s">
        <v>25</v>
      </c>
      <c r="V271" s="13" t="str">
        <f t="shared" si="26"/>
        <v>No</v>
      </c>
      <c r="W271" s="13" t="str">
        <f t="shared" si="26"/>
        <v>Yes</v>
      </c>
      <c r="X271" s="13" t="str">
        <f t="shared" si="26"/>
        <v>No</v>
      </c>
      <c r="Y271" s="13" t="str">
        <f t="shared" si="26"/>
        <v>No</v>
      </c>
      <c r="Z271" s="13" t="str">
        <f t="shared" si="26"/>
        <v>No</v>
      </c>
      <c r="AA271" s="71">
        <f>+(Table1[[#This Row],[Everyday price]]-Table1[[#This Row],[Promo Price]])/Table1[[#This Row],[Everyday price]]</f>
        <v>0.19197707736389694</v>
      </c>
      <c r="AB271" s="69">
        <v>2.82</v>
      </c>
      <c r="AC271" s="69">
        <v>3.49</v>
      </c>
      <c r="AD271" s="13"/>
      <c r="AE271" s="5">
        <v>46083</v>
      </c>
      <c r="AF271" s="5">
        <v>46145</v>
      </c>
      <c r="AG271" s="20">
        <v>13178</v>
      </c>
      <c r="AH271" s="6">
        <v>5331</v>
      </c>
      <c r="AI271" s="11">
        <v>0.40453786614053727</v>
      </c>
      <c r="AJ271" s="11">
        <f>IF(AND(ISNUMBER(Table1[[#This Row],[Lift  ]]),ISNUMBER(Table1[[#This Row],[Plan lift, %]]),Table1[[#This Row],[Plan lift, %]]&lt;&gt;0),Table1[[#This Row],[Lift  ]]-Table1[[#This Row],[Plan lift, %]],"")</f>
        <v>0.25453786614053731</v>
      </c>
      <c r="AK271" s="11"/>
      <c r="AL271" s="71" t="s">
        <v>1400</v>
      </c>
      <c r="AM271" s="4" t="s">
        <v>1387</v>
      </c>
    </row>
    <row r="272" spans="1:39" x14ac:dyDescent="0.35">
      <c r="A272" t="s">
        <v>1127</v>
      </c>
      <c r="B272" s="12">
        <v>1180</v>
      </c>
      <c r="C272" s="21" t="s">
        <v>649</v>
      </c>
      <c r="D272" s="13" t="s">
        <v>1230</v>
      </c>
      <c r="F272" t="s">
        <v>1128</v>
      </c>
      <c r="G272" t="s">
        <v>23</v>
      </c>
      <c r="H272" s="1">
        <v>46143</v>
      </c>
      <c r="I272" s="1">
        <v>46203</v>
      </c>
      <c r="J272" s="13" t="s">
        <v>24</v>
      </c>
      <c r="L272" s="2">
        <v>4300.58</v>
      </c>
      <c r="M272" s="2">
        <v>10684.66</v>
      </c>
      <c r="N272" s="2">
        <v>1602.7</v>
      </c>
      <c r="O272" s="2">
        <v>12287.36</v>
      </c>
      <c r="P272" s="3">
        <v>0.15</v>
      </c>
      <c r="Q272" s="3"/>
      <c r="R272" s="2">
        <v>0</v>
      </c>
      <c r="S272" s="3">
        <v>0</v>
      </c>
      <c r="T272" s="2">
        <v>0</v>
      </c>
      <c r="U272" t="s">
        <v>25</v>
      </c>
      <c r="V272" s="13" t="str">
        <f t="shared" ref="V272:Z281" si="27">IF(ISNUMBER(SEARCH(V$1,$U272)),"Yes","No")</f>
        <v>No</v>
      </c>
      <c r="W272" s="13" t="str">
        <f t="shared" si="27"/>
        <v>Yes</v>
      </c>
      <c r="X272" s="13" t="str">
        <f t="shared" si="27"/>
        <v>No</v>
      </c>
      <c r="Y272" s="13" t="str">
        <f t="shared" si="27"/>
        <v>No</v>
      </c>
      <c r="Z272" s="13" t="str">
        <f t="shared" si="27"/>
        <v>No</v>
      </c>
      <c r="AA272" s="71" t="e">
        <f>+(Table1[[#This Row],[Everyday price]]-Table1[[#This Row],[Promo Price]])/Table1[[#This Row],[Everyday price]]</f>
        <v>#DIV/0!</v>
      </c>
      <c r="AC272" s="69"/>
      <c r="AD272" s="13"/>
      <c r="AH272" s="6"/>
      <c r="AI272" s="11"/>
      <c r="AJ272" s="11" t="str">
        <f>IF(AND(ISNUMBER(Table1[[#This Row],[Lift  ]]),ISNUMBER(Table1[[#This Row],[Plan lift, %]]),Table1[[#This Row],[Plan lift, %]]&lt;&gt;0),Table1[[#This Row],[Lift  ]]-Table1[[#This Row],[Plan lift, %]],"")</f>
        <v/>
      </c>
      <c r="AK272" s="11"/>
      <c r="AL272" s="71"/>
    </row>
    <row r="273" spans="1:39" x14ac:dyDescent="0.35">
      <c r="A273" t="s">
        <v>648</v>
      </c>
      <c r="B273" s="12">
        <v>1181</v>
      </c>
      <c r="C273" s="21" t="s">
        <v>649</v>
      </c>
      <c r="D273" s="13" t="s">
        <v>1230</v>
      </c>
      <c r="F273" t="s">
        <v>650</v>
      </c>
      <c r="G273" t="s">
        <v>44</v>
      </c>
      <c r="H273" s="1">
        <v>46266</v>
      </c>
      <c r="I273" s="1">
        <v>46326</v>
      </c>
      <c r="J273" s="13" t="s">
        <v>24</v>
      </c>
      <c r="L273" s="2">
        <v>4236.5</v>
      </c>
      <c r="M273" s="2">
        <v>10525.47</v>
      </c>
      <c r="N273" s="2">
        <v>1578.83</v>
      </c>
      <c r="O273" s="2">
        <v>12104.3</v>
      </c>
      <c r="P273" s="3">
        <v>0.15</v>
      </c>
      <c r="Q273" s="3"/>
      <c r="R273" s="2">
        <v>0</v>
      </c>
      <c r="S273" s="3">
        <v>0</v>
      </c>
      <c r="T273" s="2">
        <v>0</v>
      </c>
      <c r="U273" t="s">
        <v>25</v>
      </c>
      <c r="V273" s="13" t="str">
        <f t="shared" si="27"/>
        <v>No</v>
      </c>
      <c r="W273" s="13" t="str">
        <f t="shared" si="27"/>
        <v>Yes</v>
      </c>
      <c r="X273" s="13" t="str">
        <f t="shared" si="27"/>
        <v>No</v>
      </c>
      <c r="Y273" s="13" t="str">
        <f t="shared" si="27"/>
        <v>No</v>
      </c>
      <c r="Z273" s="13" t="str">
        <f t="shared" si="27"/>
        <v>No</v>
      </c>
      <c r="AA273" s="71" t="e">
        <f>+(Table1[[#This Row],[Everyday price]]-Table1[[#This Row],[Promo Price]])/Table1[[#This Row],[Everyday price]]</f>
        <v>#DIV/0!</v>
      </c>
      <c r="AC273" s="69"/>
      <c r="AD273" s="13"/>
      <c r="AH273" s="6"/>
      <c r="AI273" s="11"/>
      <c r="AJ273" s="11" t="str">
        <f>IF(AND(ISNUMBER(Table1[[#This Row],[Lift  ]]),ISNUMBER(Table1[[#This Row],[Plan lift, %]]),Table1[[#This Row],[Plan lift, %]]&lt;&gt;0),Table1[[#This Row],[Lift  ]]-Table1[[#This Row],[Plan lift, %]],"")</f>
        <v/>
      </c>
      <c r="AK273" s="11"/>
      <c r="AL273" s="71"/>
    </row>
    <row r="274" spans="1:39" x14ac:dyDescent="0.35">
      <c r="A274" t="s">
        <v>1178</v>
      </c>
      <c r="B274" s="82">
        <v>1062</v>
      </c>
      <c r="C274" s="21" t="s">
        <v>858</v>
      </c>
      <c r="D274" s="13" t="s">
        <v>1232</v>
      </c>
      <c r="F274" s="21" t="s">
        <v>1179</v>
      </c>
      <c r="G274" t="s">
        <v>23</v>
      </c>
      <c r="H274" s="14">
        <v>46047</v>
      </c>
      <c r="I274" s="14">
        <v>46078</v>
      </c>
      <c r="J274" s="13" t="s">
        <v>24</v>
      </c>
      <c r="L274" s="2">
        <v>14089.08</v>
      </c>
      <c r="M274" s="2">
        <v>22286.66</v>
      </c>
      <c r="N274" s="2">
        <v>0</v>
      </c>
      <c r="O274" s="2">
        <v>22286.66</v>
      </c>
      <c r="P274" s="3">
        <v>0</v>
      </c>
      <c r="Q274" s="3"/>
      <c r="R274" s="2">
        <v>12086.02</v>
      </c>
      <c r="S274" s="3">
        <v>0.5</v>
      </c>
      <c r="T274" s="2">
        <v>36127.160000000003</v>
      </c>
      <c r="U274" s="13" t="s">
        <v>33</v>
      </c>
      <c r="V274" s="13" t="str">
        <f t="shared" si="27"/>
        <v>No</v>
      </c>
      <c r="W274" s="13" t="str">
        <f t="shared" si="27"/>
        <v>Yes</v>
      </c>
      <c r="X274" s="13" t="str">
        <f t="shared" si="27"/>
        <v>Yes</v>
      </c>
      <c r="Y274" s="13" t="str">
        <f t="shared" si="27"/>
        <v>No</v>
      </c>
      <c r="Z274" s="13" t="str">
        <f t="shared" si="27"/>
        <v>No</v>
      </c>
      <c r="AA274" s="71">
        <f>+(Table1[[#This Row],[Everyday price]]-Table1[[#This Row],[Promo Price]])/Table1[[#This Row],[Everyday price]]</f>
        <v>0.27272727272727271</v>
      </c>
      <c r="AB274" s="69">
        <v>2</v>
      </c>
      <c r="AC274" s="69">
        <v>2.75</v>
      </c>
      <c r="AD274" s="40" t="s">
        <v>1251</v>
      </c>
      <c r="AE274" s="5">
        <v>46055</v>
      </c>
      <c r="AF274" s="5">
        <v>46082</v>
      </c>
      <c r="AG274" s="20">
        <v>14744</v>
      </c>
      <c r="AH274" s="6">
        <v>12141</v>
      </c>
      <c r="AI274" s="11">
        <f>Table1[[#This Row],[Incremental Units]]/Table1[[#This Row],[Base Units]]</f>
        <v>0.82345360824742264</v>
      </c>
      <c r="AJ274" s="11" t="str">
        <f>IF(AND(ISNUMBER(Table1[[#This Row],[Lift  ]]),ISNUMBER(Table1[[#This Row],[Plan lift, %]]),Table1[[#This Row],[Plan lift, %]]&lt;&gt;0),Table1[[#This Row],[Lift  ]]-Table1[[#This Row],[Plan lift, %]],"")</f>
        <v/>
      </c>
      <c r="AK274" s="11"/>
      <c r="AL274" s="71" t="s">
        <v>1400</v>
      </c>
      <c r="AM274" s="4" t="s">
        <v>1300</v>
      </c>
    </row>
    <row r="275" spans="1:39" x14ac:dyDescent="0.35">
      <c r="A275" t="s">
        <v>944</v>
      </c>
      <c r="B275" s="82">
        <v>1063</v>
      </c>
      <c r="C275" s="21" t="s">
        <v>858</v>
      </c>
      <c r="D275" s="13" t="s">
        <v>1232</v>
      </c>
      <c r="F275" s="21" t="s">
        <v>945</v>
      </c>
      <c r="G275" t="s">
        <v>23</v>
      </c>
      <c r="H275" s="14">
        <v>46174</v>
      </c>
      <c r="I275" s="14">
        <v>46203</v>
      </c>
      <c r="J275" s="13" t="s">
        <v>24</v>
      </c>
      <c r="L275" s="2">
        <v>4921.96</v>
      </c>
      <c r="M275" s="2">
        <v>15687.86</v>
      </c>
      <c r="N275" s="2">
        <v>0</v>
      </c>
      <c r="O275" s="2">
        <v>15687.86</v>
      </c>
      <c r="P275" s="3">
        <v>0</v>
      </c>
      <c r="Q275" s="3"/>
      <c r="R275" s="2">
        <v>8633.0300000000007</v>
      </c>
      <c r="S275" s="3">
        <v>0.56000000000000005</v>
      </c>
      <c r="T275" s="2">
        <v>24097</v>
      </c>
      <c r="U275" s="13" t="s">
        <v>33</v>
      </c>
      <c r="V275" s="13" t="str">
        <f t="shared" si="27"/>
        <v>No</v>
      </c>
      <c r="W275" s="13" t="str">
        <f t="shared" si="27"/>
        <v>Yes</v>
      </c>
      <c r="X275" s="13" t="str">
        <f t="shared" si="27"/>
        <v>Yes</v>
      </c>
      <c r="Y275" s="13" t="str">
        <f t="shared" si="27"/>
        <v>No</v>
      </c>
      <c r="Z275" s="13" t="str">
        <f t="shared" si="27"/>
        <v>No</v>
      </c>
      <c r="AA275" s="71">
        <f>+(Table1[[#This Row],[Everyday price]]-Table1[[#This Row],[Promo Price]])/Table1[[#This Row],[Everyday price]]</f>
        <v>0.28315412186379929</v>
      </c>
      <c r="AB275" s="69">
        <v>2</v>
      </c>
      <c r="AC275" s="69">
        <v>2.79</v>
      </c>
      <c r="AD275" s="40" t="s">
        <v>1229</v>
      </c>
      <c r="AE275" s="5">
        <v>46174</v>
      </c>
      <c r="AF275" s="5">
        <v>46201</v>
      </c>
      <c r="AG275" s="20">
        <v>11971</v>
      </c>
      <c r="AH275" s="6">
        <v>9567</v>
      </c>
      <c r="AI275" s="11">
        <f>Table1[[#This Row],[Incremental Units]]/Table1[[#This Row],[Base Units]]</f>
        <v>0.79918135494110765</v>
      </c>
      <c r="AJ275" s="11" t="str">
        <f>IF(AND(ISNUMBER(Table1[[#This Row],[Lift  ]]),ISNUMBER(Table1[[#This Row],[Plan lift, %]]),Table1[[#This Row],[Plan lift, %]]&lt;&gt;0),Table1[[#This Row],[Lift  ]]-Table1[[#This Row],[Plan lift, %]],"")</f>
        <v/>
      </c>
      <c r="AK275" s="11"/>
      <c r="AL275" s="71" t="s">
        <v>1400</v>
      </c>
    </row>
    <row r="276" spans="1:39" x14ac:dyDescent="0.35">
      <c r="A276" t="s">
        <v>857</v>
      </c>
      <c r="B276" s="12">
        <v>1064</v>
      </c>
      <c r="C276" s="21" t="s">
        <v>858</v>
      </c>
      <c r="D276" s="13" t="s">
        <v>1232</v>
      </c>
      <c r="F276" s="21" t="s">
        <v>859</v>
      </c>
      <c r="G276" t="s">
        <v>44</v>
      </c>
      <c r="H276" s="14">
        <v>46327</v>
      </c>
      <c r="I276" s="14">
        <v>46356</v>
      </c>
      <c r="J276" s="13" t="s">
        <v>24</v>
      </c>
      <c r="L276" s="2">
        <v>14027.3</v>
      </c>
      <c r="M276" s="2">
        <v>22167.86</v>
      </c>
      <c r="N276" s="2">
        <v>0</v>
      </c>
      <c r="O276" s="2">
        <v>22167.86</v>
      </c>
      <c r="P276" s="3">
        <v>0</v>
      </c>
      <c r="Q276" s="3"/>
      <c r="R276" s="2">
        <v>0</v>
      </c>
      <c r="S276" s="3">
        <v>0</v>
      </c>
      <c r="T276" s="2">
        <v>0</v>
      </c>
      <c r="U276" s="13" t="s">
        <v>33</v>
      </c>
      <c r="V276" s="13" t="str">
        <f t="shared" si="27"/>
        <v>No</v>
      </c>
      <c r="W276" s="13" t="str">
        <f t="shared" si="27"/>
        <v>Yes</v>
      </c>
      <c r="X276" s="13" t="str">
        <f t="shared" si="27"/>
        <v>Yes</v>
      </c>
      <c r="Y276" s="13" t="str">
        <f t="shared" si="27"/>
        <v>No</v>
      </c>
      <c r="Z276" s="13" t="str">
        <f t="shared" si="27"/>
        <v>No</v>
      </c>
      <c r="AA276" s="71" t="e">
        <f>+(Table1[[#This Row],[Everyday price]]-Table1[[#This Row],[Promo Price]])/Table1[[#This Row],[Everyday price]]</f>
        <v>#DIV/0!</v>
      </c>
      <c r="AC276" s="69"/>
      <c r="AH276" s="6"/>
      <c r="AI276" s="11"/>
      <c r="AJ276" s="11" t="str">
        <f>IF(AND(ISNUMBER(Table1[[#This Row],[Lift  ]]),ISNUMBER(Table1[[#This Row],[Plan lift, %]]),Table1[[#This Row],[Plan lift, %]]&lt;&gt;0),Table1[[#This Row],[Lift  ]]-Table1[[#This Row],[Plan lift, %]],"")</f>
        <v/>
      </c>
      <c r="AK276" s="11"/>
      <c r="AL276" s="71"/>
    </row>
    <row r="277" spans="1:39" x14ac:dyDescent="0.35">
      <c r="A277" t="s">
        <v>851</v>
      </c>
      <c r="B277" s="82">
        <v>1066</v>
      </c>
      <c r="C277" s="21" t="s">
        <v>425</v>
      </c>
      <c r="D277" s="13" t="s">
        <v>1232</v>
      </c>
      <c r="F277" s="21" t="s">
        <v>852</v>
      </c>
      <c r="G277" t="s">
        <v>23</v>
      </c>
      <c r="H277" s="14">
        <v>46023</v>
      </c>
      <c r="I277" s="14">
        <v>46052</v>
      </c>
      <c r="J277" s="13" t="s">
        <v>24</v>
      </c>
      <c r="L277" s="2">
        <v>4599.79</v>
      </c>
      <c r="M277" s="2">
        <v>6195</v>
      </c>
      <c r="N277" s="2">
        <v>2168.25</v>
      </c>
      <c r="O277" s="2">
        <v>8363.25</v>
      </c>
      <c r="P277" s="3">
        <v>0.35</v>
      </c>
      <c r="Q277" s="3"/>
      <c r="R277" s="2">
        <v>0</v>
      </c>
      <c r="S277" s="3">
        <v>0</v>
      </c>
      <c r="T277" s="2">
        <v>0</v>
      </c>
      <c r="U277" s="13" t="s">
        <v>25</v>
      </c>
      <c r="V277" s="13" t="str">
        <f t="shared" si="27"/>
        <v>No</v>
      </c>
      <c r="W277" s="13" t="str">
        <f t="shared" si="27"/>
        <v>Yes</v>
      </c>
      <c r="X277" s="13" t="str">
        <f t="shared" si="27"/>
        <v>No</v>
      </c>
      <c r="Y277" s="13" t="str">
        <f t="shared" si="27"/>
        <v>No</v>
      </c>
      <c r="Z277" s="13" t="str">
        <f t="shared" si="27"/>
        <v>No</v>
      </c>
      <c r="AA277" s="71">
        <f>+(Table1[[#This Row],[Everyday price]]-Table1[[#This Row],[Promo Price]])/Table1[[#This Row],[Everyday price]]</f>
        <v>0.31103678929765888</v>
      </c>
      <c r="AB277" s="69">
        <v>2.06</v>
      </c>
      <c r="AC277" s="69">
        <v>2.99</v>
      </c>
      <c r="AD277" s="40" t="s">
        <v>1251</v>
      </c>
      <c r="AE277" s="5">
        <v>46020</v>
      </c>
      <c r="AF277" s="5">
        <v>46054</v>
      </c>
      <c r="AG277" s="20">
        <v>28285</v>
      </c>
      <c r="AH277" s="6">
        <v>13772</v>
      </c>
      <c r="AI277" s="11">
        <f>Table1[[#This Row],[Incremental Units]]/Table1[[#This Row],[Base Units]]</f>
        <v>0.48690118437334279</v>
      </c>
      <c r="AJ277" s="11">
        <f>IF(AND(ISNUMBER(Table1[[#This Row],[Lift  ]]),ISNUMBER(Table1[[#This Row],[Plan lift, %]]),Table1[[#This Row],[Plan lift, %]]&lt;&gt;0),Table1[[#This Row],[Lift  ]]-Table1[[#This Row],[Plan lift, %]],"")</f>
        <v>0.13690118437334281</v>
      </c>
      <c r="AK277" s="11"/>
      <c r="AL277" s="71" t="s">
        <v>1400</v>
      </c>
    </row>
    <row r="278" spans="1:39" x14ac:dyDescent="0.35">
      <c r="A278" t="s">
        <v>424</v>
      </c>
      <c r="B278" s="82">
        <v>1065</v>
      </c>
      <c r="C278" s="21" t="s">
        <v>425</v>
      </c>
      <c r="D278" s="13" t="s">
        <v>1232</v>
      </c>
      <c r="F278" s="21" t="s">
        <v>426</v>
      </c>
      <c r="G278" t="s">
        <v>23</v>
      </c>
      <c r="H278" s="14">
        <v>46113</v>
      </c>
      <c r="I278" s="14">
        <v>46142</v>
      </c>
      <c r="J278" s="13" t="s">
        <v>24</v>
      </c>
      <c r="L278" s="2">
        <v>1757.81</v>
      </c>
      <c r="M278" s="2">
        <v>5625</v>
      </c>
      <c r="N278" s="2">
        <v>1406.25</v>
      </c>
      <c r="O278" s="2">
        <v>7031.25</v>
      </c>
      <c r="P278" s="3">
        <v>0.25</v>
      </c>
      <c r="Q278" s="3"/>
      <c r="R278" s="2">
        <v>0</v>
      </c>
      <c r="S278" s="3">
        <v>0</v>
      </c>
      <c r="T278" s="2">
        <v>0</v>
      </c>
      <c r="U278" s="13" t="s">
        <v>25</v>
      </c>
      <c r="V278" s="13" t="str">
        <f t="shared" si="27"/>
        <v>No</v>
      </c>
      <c r="W278" s="13" t="str">
        <f t="shared" si="27"/>
        <v>Yes</v>
      </c>
      <c r="X278" s="13" t="str">
        <f t="shared" si="27"/>
        <v>No</v>
      </c>
      <c r="Y278" s="13" t="str">
        <f t="shared" si="27"/>
        <v>No</v>
      </c>
      <c r="Z278" s="13" t="str">
        <f t="shared" si="27"/>
        <v>No</v>
      </c>
      <c r="AA278" s="71">
        <f>+(Table1[[#This Row],[Everyday price]]-Table1[[#This Row],[Promo Price]])/Table1[[#This Row],[Everyday price]]</f>
        <v>0.14189189189189186</v>
      </c>
      <c r="AB278" s="69">
        <v>2.54</v>
      </c>
      <c r="AC278" s="69">
        <v>2.96</v>
      </c>
      <c r="AD278" s="40" t="s">
        <v>1251</v>
      </c>
      <c r="AE278" s="5">
        <v>46119</v>
      </c>
      <c r="AF278" s="5">
        <v>46152</v>
      </c>
      <c r="AG278" s="20">
        <v>28153</v>
      </c>
      <c r="AH278" s="6">
        <v>10852</v>
      </c>
      <c r="AI278" s="11">
        <f>Table1[[#This Row],[Incremental Units]]/Table1[[#This Row],[Base Units]]</f>
        <v>0.3854651369303449</v>
      </c>
      <c r="AJ278" s="11">
        <f>IF(AND(ISNUMBER(Table1[[#This Row],[Lift  ]]),ISNUMBER(Table1[[#This Row],[Plan lift, %]]),Table1[[#This Row],[Plan lift, %]]&lt;&gt;0),Table1[[#This Row],[Lift  ]]-Table1[[#This Row],[Plan lift, %]],"")</f>
        <v>0.1354651369303449</v>
      </c>
      <c r="AK278" s="11"/>
      <c r="AL278" s="71" t="s">
        <v>1400</v>
      </c>
      <c r="AM278" s="4"/>
    </row>
    <row r="279" spans="1:39" x14ac:dyDescent="0.35">
      <c r="A279" t="s">
        <v>1133</v>
      </c>
      <c r="B279" s="12">
        <v>1067</v>
      </c>
      <c r="C279" s="21" t="s">
        <v>425</v>
      </c>
      <c r="D279" s="13" t="s">
        <v>1232</v>
      </c>
      <c r="F279" s="21" t="s">
        <v>1134</v>
      </c>
      <c r="G279" t="s">
        <v>23</v>
      </c>
      <c r="H279" s="14">
        <v>46204</v>
      </c>
      <c r="I279" s="14">
        <v>46234</v>
      </c>
      <c r="J279" s="13" t="s">
        <v>24</v>
      </c>
      <c r="L279" s="2">
        <v>4315.78</v>
      </c>
      <c r="M279" s="2">
        <v>5812.5</v>
      </c>
      <c r="N279" s="2">
        <v>2034.37</v>
      </c>
      <c r="O279" s="2">
        <v>7846.87</v>
      </c>
      <c r="P279" s="3">
        <v>0.35</v>
      </c>
      <c r="Q279" s="3"/>
      <c r="R279" s="2">
        <v>0</v>
      </c>
      <c r="S279" s="3">
        <v>0</v>
      </c>
      <c r="T279" s="2">
        <v>0</v>
      </c>
      <c r="U279" s="13" t="s">
        <v>25</v>
      </c>
      <c r="V279" s="13" t="str">
        <f t="shared" si="27"/>
        <v>No</v>
      </c>
      <c r="W279" s="13" t="str">
        <f t="shared" si="27"/>
        <v>Yes</v>
      </c>
      <c r="X279" s="13" t="str">
        <f t="shared" si="27"/>
        <v>No</v>
      </c>
      <c r="Y279" s="13" t="str">
        <f t="shared" si="27"/>
        <v>No</v>
      </c>
      <c r="Z279" s="13" t="str">
        <f t="shared" si="27"/>
        <v>No</v>
      </c>
      <c r="AA279" s="71" t="e">
        <f>+(Table1[[#This Row],[Everyday price]]-Table1[[#This Row],[Promo Price]])/Table1[[#This Row],[Everyday price]]</f>
        <v>#DIV/0!</v>
      </c>
      <c r="AC279" s="69"/>
      <c r="AH279" s="6"/>
      <c r="AJ279" s="116" t="str">
        <f>IF(AND(ISNUMBER(Table1[[#This Row],[Lift  ]]),ISNUMBER(Table1[[#This Row],[Plan lift, %]]),Table1[[#This Row],[Plan lift, %]]&lt;&gt;0),Table1[[#This Row],[Lift  ]]-Table1[[#This Row],[Plan lift, %]],"")</f>
        <v/>
      </c>
      <c r="AK279" s="116"/>
    </row>
    <row r="280" spans="1:39" x14ac:dyDescent="0.35">
      <c r="A280" t="s">
        <v>762</v>
      </c>
      <c r="B280" s="12">
        <v>1068</v>
      </c>
      <c r="C280" s="21" t="s">
        <v>425</v>
      </c>
      <c r="D280" s="13" t="s">
        <v>1232</v>
      </c>
      <c r="F280" s="21" t="s">
        <v>763</v>
      </c>
      <c r="G280" t="s">
        <v>44</v>
      </c>
      <c r="H280" s="14">
        <v>46266</v>
      </c>
      <c r="I280" s="14">
        <v>46295</v>
      </c>
      <c r="J280" s="13" t="s">
        <v>24</v>
      </c>
      <c r="L280" s="2">
        <v>1757.81</v>
      </c>
      <c r="M280" s="2">
        <v>5625</v>
      </c>
      <c r="N280" s="2">
        <v>1406.25</v>
      </c>
      <c r="O280" s="2">
        <v>7031.25</v>
      </c>
      <c r="P280" s="3">
        <v>0.25</v>
      </c>
      <c r="Q280" s="3"/>
      <c r="R280" s="2">
        <v>0</v>
      </c>
      <c r="S280" s="3">
        <v>0</v>
      </c>
      <c r="T280" s="2">
        <v>0</v>
      </c>
      <c r="U280" s="13" t="s">
        <v>25</v>
      </c>
      <c r="V280" s="13" t="str">
        <f t="shared" si="27"/>
        <v>No</v>
      </c>
      <c r="W280" s="13" t="str">
        <f t="shared" si="27"/>
        <v>Yes</v>
      </c>
      <c r="X280" s="13" t="str">
        <f t="shared" si="27"/>
        <v>No</v>
      </c>
      <c r="Y280" s="13" t="str">
        <f t="shared" si="27"/>
        <v>No</v>
      </c>
      <c r="Z280" s="13" t="str">
        <f t="shared" si="27"/>
        <v>No</v>
      </c>
      <c r="AA280" s="71" t="e">
        <f>+(Table1[[#This Row],[Everyday price]]-Table1[[#This Row],[Promo Price]])/Table1[[#This Row],[Everyday price]]</f>
        <v>#DIV/0!</v>
      </c>
      <c r="AC280" s="69"/>
      <c r="AH280" s="6"/>
      <c r="AJ280" s="116" t="str">
        <f>IF(AND(ISNUMBER(Table1[[#This Row],[Lift  ]]),ISNUMBER(Table1[[#This Row],[Plan lift, %]]),Table1[[#This Row],[Plan lift, %]]&lt;&gt;0),Table1[[#This Row],[Lift  ]]-Table1[[#This Row],[Plan lift, %]],"")</f>
        <v/>
      </c>
      <c r="AK280" s="116"/>
    </row>
    <row r="281" spans="1:39" x14ac:dyDescent="0.35">
      <c r="A281" t="s">
        <v>1045</v>
      </c>
      <c r="B281" s="12">
        <v>1182</v>
      </c>
      <c r="C281" s="21" t="s">
        <v>1046</v>
      </c>
      <c r="D281" s="13" t="s">
        <v>1230</v>
      </c>
      <c r="F281" s="21" t="s">
        <v>1047</v>
      </c>
      <c r="G281" t="s">
        <v>23</v>
      </c>
      <c r="H281" s="14">
        <v>46023</v>
      </c>
      <c r="I281" s="14">
        <v>46081</v>
      </c>
      <c r="J281" s="13" t="s">
        <v>24</v>
      </c>
      <c r="L281" s="2">
        <v>35253.22</v>
      </c>
      <c r="M281" s="2">
        <v>12810.04</v>
      </c>
      <c r="N281" s="2">
        <v>7686.02</v>
      </c>
      <c r="O281" s="2">
        <v>20496.060000000001</v>
      </c>
      <c r="P281" s="3">
        <v>0.6</v>
      </c>
      <c r="Q281" s="3"/>
      <c r="R281" s="2">
        <v>0</v>
      </c>
      <c r="S281" s="3">
        <v>0</v>
      </c>
      <c r="T281" s="2">
        <v>0</v>
      </c>
      <c r="U281" s="13" t="s">
        <v>25</v>
      </c>
      <c r="V281" s="13" t="str">
        <f t="shared" si="27"/>
        <v>No</v>
      </c>
      <c r="W281" s="13" t="str">
        <f t="shared" si="27"/>
        <v>Yes</v>
      </c>
      <c r="X281" s="13" t="str">
        <f t="shared" si="27"/>
        <v>No</v>
      </c>
      <c r="Y281" s="13" t="str">
        <f t="shared" si="27"/>
        <v>No</v>
      </c>
      <c r="Z281" s="13" t="str">
        <f t="shared" si="27"/>
        <v>No</v>
      </c>
      <c r="AA281" s="71" t="e">
        <f>+(Table1[[#This Row],[Everyday price]]-Table1[[#This Row],[Promo Price]])/Table1[[#This Row],[Everyday price]]</f>
        <v>#DIV/0!</v>
      </c>
      <c r="AC281" s="69"/>
      <c r="AH281" s="6"/>
      <c r="AJ281" s="116" t="str">
        <f>IF(AND(ISNUMBER(Table1[[#This Row],[Lift  ]]),ISNUMBER(Table1[[#This Row],[Plan lift, %]]),Table1[[#This Row],[Plan lift, %]]&lt;&gt;0),Table1[[#This Row],[Lift  ]]-Table1[[#This Row],[Plan lift, %]],"")</f>
        <v/>
      </c>
      <c r="AK281" s="116"/>
    </row>
    <row r="282" spans="1:39" x14ac:dyDescent="0.35">
      <c r="A282" t="s">
        <v>910</v>
      </c>
      <c r="B282" s="12">
        <v>1183</v>
      </c>
      <c r="C282" s="21" t="s">
        <v>911</v>
      </c>
      <c r="D282" s="13" t="s">
        <v>1230</v>
      </c>
      <c r="F282" s="21" t="s">
        <v>912</v>
      </c>
      <c r="G282" t="s">
        <v>23</v>
      </c>
      <c r="H282" s="14">
        <v>46023</v>
      </c>
      <c r="I282" s="14">
        <v>46203</v>
      </c>
      <c r="J282" s="13" t="s">
        <v>24</v>
      </c>
      <c r="L282" s="2">
        <v>85215.679999999993</v>
      </c>
      <c r="M282" s="2">
        <v>174663.24</v>
      </c>
      <c r="N282" s="2">
        <v>26199.48</v>
      </c>
      <c r="O282" s="2">
        <v>200862.72</v>
      </c>
      <c r="P282" s="3">
        <v>0.15</v>
      </c>
      <c r="Q282" s="3"/>
      <c r="R282" s="2">
        <v>0</v>
      </c>
      <c r="S282" s="3">
        <v>0</v>
      </c>
      <c r="T282" s="2">
        <v>0</v>
      </c>
      <c r="U282" s="13" t="s">
        <v>33</v>
      </c>
      <c r="V282" s="13" t="str">
        <f t="shared" ref="V282:Z291" si="28">IF(ISNUMBER(SEARCH(V$1,$U282)),"Yes","No")</f>
        <v>No</v>
      </c>
      <c r="W282" s="13" t="str">
        <f t="shared" si="28"/>
        <v>Yes</v>
      </c>
      <c r="X282" s="13" t="str">
        <f t="shared" si="28"/>
        <v>Yes</v>
      </c>
      <c r="Y282" s="13" t="str">
        <f t="shared" si="28"/>
        <v>No</v>
      </c>
      <c r="Z282" s="13" t="str">
        <f t="shared" si="28"/>
        <v>No</v>
      </c>
      <c r="AA282" s="71" t="e">
        <f>+(Table1[[#This Row],[Everyday price]]-Table1[[#This Row],[Promo Price]])/Table1[[#This Row],[Everyday price]]</f>
        <v>#DIV/0!</v>
      </c>
      <c r="AC282" s="69"/>
      <c r="AH282" s="6"/>
      <c r="AJ282" s="116" t="str">
        <f>IF(AND(ISNUMBER(Table1[[#This Row],[Lift  ]]),ISNUMBER(Table1[[#This Row],[Plan lift, %]]),Table1[[#This Row],[Plan lift, %]]&lt;&gt;0),Table1[[#This Row],[Lift  ]]-Table1[[#This Row],[Plan lift, %]],"")</f>
        <v/>
      </c>
      <c r="AK282" s="116"/>
      <c r="AM282" s="4" t="s">
        <v>1388</v>
      </c>
    </row>
    <row r="283" spans="1:39" x14ac:dyDescent="0.35">
      <c r="A283" t="s">
        <v>660</v>
      </c>
      <c r="B283" s="12">
        <v>1259</v>
      </c>
      <c r="C283" s="21" t="s">
        <v>272</v>
      </c>
      <c r="D283" s="13" t="s">
        <v>1232</v>
      </c>
      <c r="F283" s="21" t="s">
        <v>661</v>
      </c>
      <c r="G283" t="s">
        <v>23</v>
      </c>
      <c r="H283" s="14">
        <v>46082</v>
      </c>
      <c r="I283" s="14">
        <v>46111</v>
      </c>
      <c r="J283" s="13" t="s">
        <v>24</v>
      </c>
      <c r="L283" s="2">
        <v>9957.14</v>
      </c>
      <c r="M283" s="2">
        <v>13714.28</v>
      </c>
      <c r="N283" s="2">
        <v>4114.28</v>
      </c>
      <c r="O283" s="2">
        <v>17828.560000000001</v>
      </c>
      <c r="P283" s="3">
        <v>0.3</v>
      </c>
      <c r="Q283" s="3"/>
      <c r="R283" s="2">
        <v>0</v>
      </c>
      <c r="S283" s="3">
        <v>0</v>
      </c>
      <c r="T283" s="2">
        <v>0</v>
      </c>
      <c r="U283" s="13" t="s">
        <v>33</v>
      </c>
      <c r="V283" s="13" t="str">
        <f t="shared" si="28"/>
        <v>No</v>
      </c>
      <c r="W283" s="13" t="str">
        <f t="shared" si="28"/>
        <v>Yes</v>
      </c>
      <c r="X283" s="13" t="str">
        <f t="shared" si="28"/>
        <v>Yes</v>
      </c>
      <c r="Y283" s="13" t="str">
        <f t="shared" si="28"/>
        <v>No</v>
      </c>
      <c r="Z283" s="13" t="str">
        <f t="shared" si="28"/>
        <v>No</v>
      </c>
      <c r="AA283" s="71" t="e">
        <f>+(Table1[[#This Row],[Everyday price]]-Table1[[#This Row],[Promo Price]])/Table1[[#This Row],[Everyday price]]</f>
        <v>#DIV/0!</v>
      </c>
      <c r="AC283" s="69"/>
      <c r="AH283" s="6"/>
      <c r="AJ283" s="116" t="str">
        <f>IF(AND(ISNUMBER(Table1[[#This Row],[Lift  ]]),ISNUMBER(Table1[[#This Row],[Plan lift, %]]),Table1[[#This Row],[Plan lift, %]]&lt;&gt;0),Table1[[#This Row],[Lift  ]]-Table1[[#This Row],[Plan lift, %]],"")</f>
        <v/>
      </c>
      <c r="AK283" s="116"/>
    </row>
    <row r="284" spans="1:39" x14ac:dyDescent="0.35">
      <c r="A284" t="s">
        <v>271</v>
      </c>
      <c r="B284" s="12">
        <v>1260</v>
      </c>
      <c r="C284" s="21" t="s">
        <v>272</v>
      </c>
      <c r="D284" s="13" t="s">
        <v>1232</v>
      </c>
      <c r="F284" s="21" t="s">
        <v>273</v>
      </c>
      <c r="G284" t="s">
        <v>23</v>
      </c>
      <c r="H284" s="14">
        <v>46204</v>
      </c>
      <c r="I284" s="14">
        <v>46234</v>
      </c>
      <c r="J284" s="13" t="s">
        <v>24</v>
      </c>
      <c r="L284" s="2">
        <v>10105.700000000001</v>
      </c>
      <c r="M284" s="2">
        <v>14171.42</v>
      </c>
      <c r="N284" s="2">
        <v>4251.42</v>
      </c>
      <c r="O284" s="2">
        <v>18422.84</v>
      </c>
      <c r="P284" s="3">
        <v>0.3</v>
      </c>
      <c r="Q284" s="3"/>
      <c r="R284" s="2">
        <v>0</v>
      </c>
      <c r="S284" s="3">
        <v>0</v>
      </c>
      <c r="T284" s="2">
        <v>0</v>
      </c>
      <c r="U284" s="13" t="s">
        <v>33</v>
      </c>
      <c r="V284" s="13" t="str">
        <f t="shared" si="28"/>
        <v>No</v>
      </c>
      <c r="W284" s="13" t="str">
        <f t="shared" si="28"/>
        <v>Yes</v>
      </c>
      <c r="X284" s="13" t="str">
        <f t="shared" si="28"/>
        <v>Yes</v>
      </c>
      <c r="Y284" s="13" t="str">
        <f t="shared" si="28"/>
        <v>No</v>
      </c>
      <c r="Z284" s="13" t="str">
        <f t="shared" si="28"/>
        <v>No</v>
      </c>
      <c r="AA284" s="71" t="e">
        <f>+(Table1[[#This Row],[Everyday price]]-Table1[[#This Row],[Promo Price]])/Table1[[#This Row],[Everyday price]]</f>
        <v>#DIV/0!</v>
      </c>
      <c r="AC284" s="69"/>
      <c r="AH284" s="6"/>
      <c r="AJ284" s="116" t="str">
        <f>IF(AND(ISNUMBER(Table1[[#This Row],[Lift  ]]),ISNUMBER(Table1[[#This Row],[Plan lift, %]]),Table1[[#This Row],[Plan lift, %]]&lt;&gt;0),Table1[[#This Row],[Lift  ]]-Table1[[#This Row],[Plan lift, %]],"")</f>
        <v/>
      </c>
      <c r="AK284" s="116"/>
    </row>
    <row r="285" spans="1:39" x14ac:dyDescent="0.35">
      <c r="A285" t="s">
        <v>478</v>
      </c>
      <c r="B285" s="12">
        <v>1261</v>
      </c>
      <c r="C285" s="21" t="s">
        <v>272</v>
      </c>
      <c r="D285" s="13" t="s">
        <v>1232</v>
      </c>
      <c r="F285" s="21" t="s">
        <v>479</v>
      </c>
      <c r="G285" t="s">
        <v>44</v>
      </c>
      <c r="H285" s="14">
        <v>46266</v>
      </c>
      <c r="I285" s="14">
        <v>46295</v>
      </c>
      <c r="J285" s="13" t="s">
        <v>24</v>
      </c>
      <c r="L285" s="2">
        <v>3000</v>
      </c>
      <c r="M285" s="2">
        <v>13714.28</v>
      </c>
      <c r="N285" s="2">
        <v>4114.28</v>
      </c>
      <c r="O285" s="2">
        <v>17828.560000000001</v>
      </c>
      <c r="P285" s="3">
        <v>0.3</v>
      </c>
      <c r="Q285" s="3"/>
      <c r="R285" s="2">
        <v>0</v>
      </c>
      <c r="S285" s="3">
        <v>0</v>
      </c>
      <c r="T285" s="2">
        <v>0</v>
      </c>
      <c r="U285" s="13" t="s">
        <v>367</v>
      </c>
      <c r="V285" s="13" t="str">
        <f t="shared" si="28"/>
        <v>No</v>
      </c>
      <c r="W285" s="13" t="str">
        <f t="shared" si="28"/>
        <v>No</v>
      </c>
      <c r="X285" s="13" t="str">
        <f t="shared" si="28"/>
        <v>Yes</v>
      </c>
      <c r="Y285" s="13" t="str">
        <f t="shared" si="28"/>
        <v>No</v>
      </c>
      <c r="Z285" s="13" t="str">
        <f t="shared" si="28"/>
        <v>No</v>
      </c>
      <c r="AA285" s="71" t="e">
        <f>+(Table1[[#This Row],[Everyday price]]-Table1[[#This Row],[Promo Price]])/Table1[[#This Row],[Everyday price]]</f>
        <v>#DIV/0!</v>
      </c>
      <c r="AC285" s="69"/>
      <c r="AH285" s="6"/>
      <c r="AJ285" s="116" t="str">
        <f>IF(AND(ISNUMBER(Table1[[#This Row],[Lift  ]]),ISNUMBER(Table1[[#This Row],[Plan lift, %]]),Table1[[#This Row],[Plan lift, %]]&lt;&gt;0),Table1[[#This Row],[Lift  ]]-Table1[[#This Row],[Plan lift, %]],"")</f>
        <v/>
      </c>
      <c r="AK285" s="116"/>
    </row>
    <row r="286" spans="1:39" x14ac:dyDescent="0.35">
      <c r="A286" t="s">
        <v>878</v>
      </c>
      <c r="B286" s="12">
        <v>1262</v>
      </c>
      <c r="C286" s="21" t="s">
        <v>272</v>
      </c>
      <c r="D286" s="13" t="s">
        <v>1232</v>
      </c>
      <c r="F286" s="21" t="s">
        <v>879</v>
      </c>
      <c r="G286" t="s">
        <v>44</v>
      </c>
      <c r="H286" s="14">
        <v>46327</v>
      </c>
      <c r="I286" s="14">
        <v>46356</v>
      </c>
      <c r="J286" s="13" t="s">
        <v>24</v>
      </c>
      <c r="L286" s="2">
        <v>7457.14</v>
      </c>
      <c r="M286" s="2">
        <v>13714.28</v>
      </c>
      <c r="N286" s="2">
        <v>4114.28</v>
      </c>
      <c r="O286" s="2">
        <v>17828.560000000001</v>
      </c>
      <c r="P286" s="3">
        <v>0.3</v>
      </c>
      <c r="Q286" s="3"/>
      <c r="R286" s="2">
        <v>0</v>
      </c>
      <c r="S286" s="3">
        <v>0</v>
      </c>
      <c r="T286" s="2">
        <v>0</v>
      </c>
      <c r="U286" s="13" t="s">
        <v>33</v>
      </c>
      <c r="V286" s="13" t="str">
        <f t="shared" si="28"/>
        <v>No</v>
      </c>
      <c r="W286" s="13" t="str">
        <f t="shared" si="28"/>
        <v>Yes</v>
      </c>
      <c r="X286" s="13" t="str">
        <f t="shared" si="28"/>
        <v>Yes</v>
      </c>
      <c r="Y286" s="13" t="str">
        <f t="shared" si="28"/>
        <v>No</v>
      </c>
      <c r="Z286" s="13" t="str">
        <f t="shared" si="28"/>
        <v>No</v>
      </c>
      <c r="AA286" s="71" t="e">
        <f>+(Table1[[#This Row],[Everyday price]]-Table1[[#This Row],[Promo Price]])/Table1[[#This Row],[Everyday price]]</f>
        <v>#DIV/0!</v>
      </c>
      <c r="AC286" s="69"/>
      <c r="AH286" s="6"/>
      <c r="AJ286" s="116" t="str">
        <f>IF(AND(ISNUMBER(Table1[[#This Row],[Lift  ]]),ISNUMBER(Table1[[#This Row],[Plan lift, %]]),Table1[[#This Row],[Plan lift, %]]&lt;&gt;0),Table1[[#This Row],[Lift  ]]-Table1[[#This Row],[Plan lift, %]],"")</f>
        <v/>
      </c>
      <c r="AK286" s="116"/>
    </row>
    <row r="287" spans="1:39" x14ac:dyDescent="0.35">
      <c r="A287" t="s">
        <v>671</v>
      </c>
      <c r="B287" s="82">
        <v>962</v>
      </c>
      <c r="C287" s="21" t="s">
        <v>90</v>
      </c>
      <c r="D287" s="13" t="s">
        <v>1232</v>
      </c>
      <c r="F287" s="21" t="s">
        <v>672</v>
      </c>
      <c r="G287" t="s">
        <v>23</v>
      </c>
      <c r="H287" s="14">
        <v>46023</v>
      </c>
      <c r="I287" s="14">
        <v>46053</v>
      </c>
      <c r="J287" s="13" t="s">
        <v>24</v>
      </c>
      <c r="L287" s="2">
        <v>13443.63</v>
      </c>
      <c r="M287" s="2">
        <v>22516.36</v>
      </c>
      <c r="N287" s="2">
        <v>11258.18</v>
      </c>
      <c r="O287" s="2">
        <v>33774.54</v>
      </c>
      <c r="P287" s="3">
        <v>0.5</v>
      </c>
      <c r="Q287" s="3"/>
      <c r="R287" s="2">
        <v>15323.45</v>
      </c>
      <c r="S287" s="3">
        <v>0.57999999999999996</v>
      </c>
      <c r="T287" s="2">
        <v>41929.729999999996</v>
      </c>
      <c r="U287" s="13" t="s">
        <v>33</v>
      </c>
      <c r="V287" s="13" t="str">
        <f t="shared" si="28"/>
        <v>No</v>
      </c>
      <c r="W287" s="13" t="str">
        <f t="shared" si="28"/>
        <v>Yes</v>
      </c>
      <c r="X287" s="13" t="str">
        <f t="shared" si="28"/>
        <v>Yes</v>
      </c>
      <c r="Y287" s="13" t="str">
        <f t="shared" si="28"/>
        <v>No</v>
      </c>
      <c r="Z287" s="13" t="str">
        <f t="shared" si="28"/>
        <v>No</v>
      </c>
      <c r="AA287" s="71">
        <f>+(Table1[[#This Row],[Everyday price]]-Table1[[#This Row],[Promo Price]])/Table1[[#This Row],[Everyday price]]</f>
        <v>0.27759197324414714</v>
      </c>
      <c r="AB287" s="69">
        <v>2.16</v>
      </c>
      <c r="AC287" s="69">
        <v>2.99</v>
      </c>
      <c r="AE287" s="5">
        <v>46020</v>
      </c>
      <c r="AF287" s="5">
        <v>46026</v>
      </c>
      <c r="AG287" s="20">
        <v>5761</v>
      </c>
      <c r="AH287" s="6">
        <v>16935</v>
      </c>
      <c r="AI287" s="11">
        <f>Table1[[#This Row],[Incremental Units]]/Table1[[#This Row],[Base Units]]</f>
        <v>2.9395938205172714</v>
      </c>
      <c r="AJ287" s="11">
        <f>IF(AND(ISNUMBER(Table1[[#This Row],[Lift  ]]),ISNUMBER(Table1[[#This Row],[Plan lift, %]]),Table1[[#This Row],[Plan lift, %]]&lt;&gt;0),Table1[[#This Row],[Lift  ]]-Table1[[#This Row],[Plan lift, %]],"")</f>
        <v>2.4395938205172714</v>
      </c>
      <c r="AK287" s="11"/>
      <c r="AL287" s="71" t="s">
        <v>1400</v>
      </c>
      <c r="AM287" s="4" t="s">
        <v>1304</v>
      </c>
    </row>
    <row r="288" spans="1:39" x14ac:dyDescent="0.35">
      <c r="A288" t="s">
        <v>662</v>
      </c>
      <c r="B288" s="82">
        <v>963</v>
      </c>
      <c r="C288" s="21" t="s">
        <v>90</v>
      </c>
      <c r="D288" s="13" t="s">
        <v>1232</v>
      </c>
      <c r="F288" s="21" t="s">
        <v>663</v>
      </c>
      <c r="G288" t="s">
        <v>23</v>
      </c>
      <c r="H288" s="14">
        <v>46143</v>
      </c>
      <c r="I288" s="14">
        <v>46173</v>
      </c>
      <c r="J288" s="13" t="s">
        <v>24</v>
      </c>
      <c r="L288" s="2">
        <v>15253.19</v>
      </c>
      <c r="M288" s="2">
        <v>32810.18</v>
      </c>
      <c r="N288" s="2">
        <v>8202.5300000000007</v>
      </c>
      <c r="O288" s="2">
        <v>41012.71</v>
      </c>
      <c r="P288" s="3">
        <v>0.25</v>
      </c>
      <c r="Q288" s="3"/>
      <c r="R288" s="2">
        <v>3644.45</v>
      </c>
      <c r="S288" s="3">
        <v>0.17</v>
      </c>
      <c r="T288" s="2">
        <v>24631.57</v>
      </c>
      <c r="U288" s="13" t="s">
        <v>33</v>
      </c>
      <c r="V288" s="13" t="str">
        <f t="shared" si="28"/>
        <v>No</v>
      </c>
      <c r="W288" s="13" t="str">
        <f t="shared" si="28"/>
        <v>Yes</v>
      </c>
      <c r="X288" s="13" t="str">
        <f t="shared" si="28"/>
        <v>Yes</v>
      </c>
      <c r="Y288" s="13" t="str">
        <f t="shared" si="28"/>
        <v>No</v>
      </c>
      <c r="Z288" s="13" t="str">
        <f t="shared" si="28"/>
        <v>No</v>
      </c>
      <c r="AA288" s="71">
        <f>+(Table1[[#This Row],[Everyday price]]-Table1[[#This Row],[Promo Price]])/Table1[[#This Row],[Everyday price]]</f>
        <v>0.15000000000000005</v>
      </c>
      <c r="AB288" s="69">
        <v>2.5499999999999998</v>
      </c>
      <c r="AC288" s="69">
        <v>3</v>
      </c>
      <c r="AE288" s="5">
        <v>46132</v>
      </c>
      <c r="AF288" s="5">
        <v>46138</v>
      </c>
      <c r="AG288" s="20">
        <v>4803</v>
      </c>
      <c r="AH288" s="6">
        <v>13988</v>
      </c>
      <c r="AI288" s="11">
        <f>Table1[[#This Row],[Incremental Units]]/Table1[[#This Row],[Base Units]]</f>
        <v>2.912346450135332</v>
      </c>
      <c r="AJ288" s="11">
        <f>IF(AND(ISNUMBER(Table1[[#This Row],[Lift  ]]),ISNUMBER(Table1[[#This Row],[Plan lift, %]]),Table1[[#This Row],[Plan lift, %]]&lt;&gt;0),Table1[[#This Row],[Lift  ]]-Table1[[#This Row],[Plan lift, %]],"")</f>
        <v>2.662346450135332</v>
      </c>
      <c r="AK288" s="11"/>
      <c r="AL288" s="71" t="s">
        <v>1400</v>
      </c>
      <c r="AM288" s="4" t="s">
        <v>1305</v>
      </c>
    </row>
    <row r="289" spans="1:39" x14ac:dyDescent="0.35">
      <c r="A289" t="s">
        <v>89</v>
      </c>
      <c r="B289" s="12">
        <v>964</v>
      </c>
      <c r="C289" s="21" t="s">
        <v>90</v>
      </c>
      <c r="D289" s="13" t="s">
        <v>1232</v>
      </c>
      <c r="F289" s="21" t="s">
        <v>91</v>
      </c>
      <c r="G289" t="s">
        <v>23</v>
      </c>
      <c r="H289" s="14">
        <v>46204</v>
      </c>
      <c r="I289" s="14">
        <v>46234</v>
      </c>
      <c r="J289" s="13" t="s">
        <v>24</v>
      </c>
      <c r="L289" s="2">
        <v>14910.7</v>
      </c>
      <c r="M289" s="2">
        <v>31714.23</v>
      </c>
      <c r="N289" s="2">
        <v>7928.53</v>
      </c>
      <c r="O289" s="2">
        <v>39642.76</v>
      </c>
      <c r="P289" s="3">
        <v>0.25</v>
      </c>
      <c r="Q289" s="3"/>
      <c r="R289" s="2">
        <v>0.01</v>
      </c>
      <c r="S289" s="3">
        <v>0</v>
      </c>
      <c r="T289" s="2">
        <v>6799.86</v>
      </c>
      <c r="U289" s="13" t="s">
        <v>33</v>
      </c>
      <c r="V289" s="13" t="str">
        <f t="shared" si="28"/>
        <v>No</v>
      </c>
      <c r="W289" s="13" t="str">
        <f t="shared" si="28"/>
        <v>Yes</v>
      </c>
      <c r="X289" s="13" t="str">
        <f t="shared" si="28"/>
        <v>Yes</v>
      </c>
      <c r="Y289" s="13" t="str">
        <f t="shared" si="28"/>
        <v>No</v>
      </c>
      <c r="Z289" s="13" t="str">
        <f t="shared" si="28"/>
        <v>No</v>
      </c>
      <c r="AA289" s="71" t="e">
        <f>+(Table1[[#This Row],[Everyday price]]-Table1[[#This Row],[Promo Price]])/Table1[[#This Row],[Everyday price]]</f>
        <v>#DIV/0!</v>
      </c>
      <c r="AC289" s="69"/>
      <c r="AH289" s="6"/>
      <c r="AJ289" s="116" t="str">
        <f>IF(AND(ISNUMBER(Table1[[#This Row],[Lift  ]]),ISNUMBER(Table1[[#This Row],[Plan lift, %]]),Table1[[#This Row],[Plan lift, %]]&lt;&gt;0),Table1[[#This Row],[Lift  ]]-Table1[[#This Row],[Plan lift, %]],"")</f>
        <v/>
      </c>
      <c r="AK289" s="116"/>
    </row>
    <row r="290" spans="1:39" x14ac:dyDescent="0.35">
      <c r="A290" t="s">
        <v>870</v>
      </c>
      <c r="B290" s="12">
        <v>965</v>
      </c>
      <c r="C290" s="21" t="s">
        <v>90</v>
      </c>
      <c r="D290" s="13" t="s">
        <v>1232</v>
      </c>
      <c r="F290" s="21" t="s">
        <v>871</v>
      </c>
      <c r="G290" t="s">
        <v>44</v>
      </c>
      <c r="H290" s="14">
        <v>46266</v>
      </c>
      <c r="I290" s="14">
        <v>46295</v>
      </c>
      <c r="J290" s="13" t="s">
        <v>24</v>
      </c>
      <c r="L290" s="2">
        <v>12705.95</v>
      </c>
      <c r="M290" s="2">
        <v>24659.05</v>
      </c>
      <c r="N290" s="2">
        <v>6164.76</v>
      </c>
      <c r="O290" s="2">
        <v>30823.81</v>
      </c>
      <c r="P290" s="3">
        <v>0.25</v>
      </c>
      <c r="Q290" s="3"/>
      <c r="R290" s="2">
        <v>0</v>
      </c>
      <c r="S290" s="3">
        <v>0</v>
      </c>
      <c r="T290" s="2">
        <v>0</v>
      </c>
      <c r="U290" s="13" t="s">
        <v>33</v>
      </c>
      <c r="V290" s="13" t="str">
        <f t="shared" si="28"/>
        <v>No</v>
      </c>
      <c r="W290" s="13" t="str">
        <f t="shared" si="28"/>
        <v>Yes</v>
      </c>
      <c r="X290" s="13" t="str">
        <f t="shared" si="28"/>
        <v>Yes</v>
      </c>
      <c r="Y290" s="13" t="str">
        <f t="shared" si="28"/>
        <v>No</v>
      </c>
      <c r="Z290" s="13" t="str">
        <f t="shared" si="28"/>
        <v>No</v>
      </c>
      <c r="AA290" s="71" t="e">
        <f>+(Table1[[#This Row],[Everyday price]]-Table1[[#This Row],[Promo Price]])/Table1[[#This Row],[Everyday price]]</f>
        <v>#DIV/0!</v>
      </c>
      <c r="AC290" s="81"/>
      <c r="AH290" s="6"/>
      <c r="AJ290" s="116" t="str">
        <f>IF(AND(ISNUMBER(Table1[[#This Row],[Lift  ]]),ISNUMBER(Table1[[#This Row],[Plan lift, %]]),Table1[[#This Row],[Plan lift, %]]&lt;&gt;0),Table1[[#This Row],[Lift  ]]-Table1[[#This Row],[Plan lift, %]],"")</f>
        <v/>
      </c>
      <c r="AK290" s="116"/>
    </row>
    <row r="291" spans="1:39" x14ac:dyDescent="0.35">
      <c r="A291" t="s">
        <v>721</v>
      </c>
      <c r="B291" s="12">
        <v>966</v>
      </c>
      <c r="C291" s="21" t="s">
        <v>90</v>
      </c>
      <c r="D291" s="13" t="s">
        <v>1232</v>
      </c>
      <c r="F291" s="21" t="s">
        <v>722</v>
      </c>
      <c r="G291" t="s">
        <v>44</v>
      </c>
      <c r="H291" s="14">
        <v>46327</v>
      </c>
      <c r="I291" s="14">
        <v>46356</v>
      </c>
      <c r="J291" s="13" t="s">
        <v>24</v>
      </c>
      <c r="L291" s="2">
        <v>12587.44</v>
      </c>
      <c r="M291" s="2">
        <v>30679.91</v>
      </c>
      <c r="N291" s="2">
        <v>7669.96</v>
      </c>
      <c r="O291" s="2">
        <v>38349.870000000003</v>
      </c>
      <c r="P291" s="3">
        <v>0.25</v>
      </c>
      <c r="Q291" s="3"/>
      <c r="R291" s="2">
        <v>0</v>
      </c>
      <c r="S291" s="3">
        <v>0</v>
      </c>
      <c r="T291" s="2">
        <v>0</v>
      </c>
      <c r="U291" s="13" t="s">
        <v>33</v>
      </c>
      <c r="V291" s="13" t="str">
        <f t="shared" si="28"/>
        <v>No</v>
      </c>
      <c r="W291" s="13" t="str">
        <f t="shared" si="28"/>
        <v>Yes</v>
      </c>
      <c r="X291" s="13" t="str">
        <f t="shared" si="28"/>
        <v>Yes</v>
      </c>
      <c r="Y291" s="13" t="str">
        <f t="shared" si="28"/>
        <v>No</v>
      </c>
      <c r="Z291" s="13" t="str">
        <f t="shared" si="28"/>
        <v>No</v>
      </c>
      <c r="AA291" s="71" t="e">
        <f>+(Table1[[#This Row],[Everyday price]]-Table1[[#This Row],[Promo Price]])/Table1[[#This Row],[Everyday price]]</f>
        <v>#DIV/0!</v>
      </c>
      <c r="AC291" s="69"/>
      <c r="AH291" s="6"/>
      <c r="AJ291" s="116" t="str">
        <f>IF(AND(ISNUMBER(Table1[[#This Row],[Lift  ]]),ISNUMBER(Table1[[#This Row],[Plan lift, %]]),Table1[[#This Row],[Plan lift, %]]&lt;&gt;0),Table1[[#This Row],[Lift  ]]-Table1[[#This Row],[Plan lift, %]],"")</f>
        <v/>
      </c>
      <c r="AK291" s="116"/>
    </row>
    <row r="292" spans="1:39" x14ac:dyDescent="0.35">
      <c r="A292" t="s">
        <v>646</v>
      </c>
      <c r="B292" s="82">
        <v>1071</v>
      </c>
      <c r="C292" s="21" t="s">
        <v>361</v>
      </c>
      <c r="D292" s="13" t="s">
        <v>1232</v>
      </c>
      <c r="E292" t="s">
        <v>362</v>
      </c>
      <c r="F292" s="21" t="s">
        <v>647</v>
      </c>
      <c r="G292" t="s">
        <v>23</v>
      </c>
      <c r="H292" s="14">
        <v>46029</v>
      </c>
      <c r="I292" s="14">
        <v>46049</v>
      </c>
      <c r="J292" s="13" t="s">
        <v>24</v>
      </c>
      <c r="L292" s="2">
        <v>7127.5</v>
      </c>
      <c r="M292" s="2">
        <v>13950</v>
      </c>
      <c r="N292" s="2">
        <v>0</v>
      </c>
      <c r="O292" s="2">
        <v>13950</v>
      </c>
      <c r="P292" s="3">
        <v>0</v>
      </c>
      <c r="Q292" s="3"/>
      <c r="R292" s="2">
        <v>0</v>
      </c>
      <c r="S292" s="3">
        <v>0</v>
      </c>
      <c r="T292" s="2">
        <v>0</v>
      </c>
      <c r="U292" s="13" t="s">
        <v>33</v>
      </c>
      <c r="V292" s="13" t="str">
        <f t="shared" ref="V292:Z301" si="29">IF(ISNUMBER(SEARCH(V$1,$U292)),"Yes","No")</f>
        <v>No</v>
      </c>
      <c r="W292" s="13" t="str">
        <f t="shared" si="29"/>
        <v>Yes</v>
      </c>
      <c r="X292" s="13" t="str">
        <f t="shared" si="29"/>
        <v>Yes</v>
      </c>
      <c r="Y292" s="13" t="str">
        <f t="shared" si="29"/>
        <v>No</v>
      </c>
      <c r="Z292" s="13" t="str">
        <f t="shared" si="29"/>
        <v>No</v>
      </c>
      <c r="AA292" s="71">
        <f>+(Table1[[#This Row],[Everyday price]]-Table1[[#This Row],[Promo Price]])/Table1[[#This Row],[Everyday price]]</f>
        <v>0.27240143369175635</v>
      </c>
      <c r="AB292" s="69">
        <v>2.0299999999999998</v>
      </c>
      <c r="AC292" s="69">
        <v>2.79</v>
      </c>
      <c r="AE292" s="5">
        <v>46027</v>
      </c>
      <c r="AF292" s="5">
        <v>46047</v>
      </c>
      <c r="AG292" s="20">
        <v>14908</v>
      </c>
      <c r="AH292" s="6">
        <v>11014</v>
      </c>
      <c r="AI292" s="11">
        <f>Table1[[#This Row],[Incremental Units]]/Table1[[#This Row],[Base Units]]</f>
        <v>0.73879796082640192</v>
      </c>
      <c r="AJ292" s="11" t="str">
        <f>IF(AND(ISNUMBER(Table1[[#This Row],[Lift  ]]),ISNUMBER(Table1[[#This Row],[Plan lift, %]]),Table1[[#This Row],[Plan lift, %]]&lt;&gt;0),Table1[[#This Row],[Lift  ]]-Table1[[#This Row],[Plan lift, %]],"")</f>
        <v/>
      </c>
      <c r="AK292" s="11"/>
      <c r="AL292" s="71" t="s">
        <v>1400</v>
      </c>
    </row>
    <row r="293" spans="1:39" x14ac:dyDescent="0.35">
      <c r="A293" t="s">
        <v>1105</v>
      </c>
      <c r="B293" s="82">
        <v>1070</v>
      </c>
      <c r="C293" s="21" t="s">
        <v>361</v>
      </c>
      <c r="D293" s="13" t="s">
        <v>1232</v>
      </c>
      <c r="E293" t="s">
        <v>362</v>
      </c>
      <c r="F293" s="21" t="s">
        <v>1106</v>
      </c>
      <c r="G293" t="s">
        <v>23</v>
      </c>
      <c r="H293" s="14">
        <v>46050</v>
      </c>
      <c r="I293" s="14">
        <v>46077</v>
      </c>
      <c r="J293" s="13" t="s">
        <v>24</v>
      </c>
      <c r="L293" s="2">
        <v>12260.72</v>
      </c>
      <c r="M293" s="2">
        <v>17121.439999999999</v>
      </c>
      <c r="N293" s="2">
        <v>0</v>
      </c>
      <c r="O293" s="2">
        <v>17121.439999999999</v>
      </c>
      <c r="P293" s="3">
        <v>0</v>
      </c>
      <c r="Q293" s="3"/>
      <c r="R293" s="2">
        <v>0</v>
      </c>
      <c r="S293" s="3">
        <v>0</v>
      </c>
      <c r="T293" s="2">
        <v>0</v>
      </c>
      <c r="U293" s="13" t="s">
        <v>33</v>
      </c>
      <c r="V293" s="13" t="str">
        <f t="shared" si="29"/>
        <v>No</v>
      </c>
      <c r="W293" s="13" t="str">
        <f t="shared" si="29"/>
        <v>Yes</v>
      </c>
      <c r="X293" s="13" t="str">
        <f t="shared" si="29"/>
        <v>Yes</v>
      </c>
      <c r="Y293" s="13" t="str">
        <f t="shared" si="29"/>
        <v>No</v>
      </c>
      <c r="Z293" s="13" t="str">
        <f t="shared" si="29"/>
        <v>No</v>
      </c>
      <c r="AA293" s="71">
        <f>+(Table1[[#This Row],[Everyday price]]-Table1[[#This Row],[Promo Price]])/Table1[[#This Row],[Everyday price]]</f>
        <v>0.2437275985663083</v>
      </c>
      <c r="AB293" s="69">
        <v>2.11</v>
      </c>
      <c r="AC293" s="69">
        <v>2.79</v>
      </c>
      <c r="AE293" s="5">
        <v>46055</v>
      </c>
      <c r="AF293" s="5">
        <v>46075</v>
      </c>
      <c r="AG293" s="20">
        <v>16549</v>
      </c>
      <c r="AH293" s="6">
        <v>15676</v>
      </c>
      <c r="AI293" s="11">
        <f>Table1[[#This Row],[Incremental Units]]/Table1[[#This Row],[Base Units]]</f>
        <v>0.94724756782887187</v>
      </c>
      <c r="AJ293" s="11" t="str">
        <f>IF(AND(ISNUMBER(Table1[[#This Row],[Lift  ]]),ISNUMBER(Table1[[#This Row],[Plan lift, %]]),Table1[[#This Row],[Plan lift, %]]&lt;&gt;0),Table1[[#This Row],[Lift  ]]-Table1[[#This Row],[Plan lift, %]],"")</f>
        <v/>
      </c>
      <c r="AK293" s="11"/>
      <c r="AL293" s="71" t="s">
        <v>1400</v>
      </c>
      <c r="AM293" s="4" t="s">
        <v>1308</v>
      </c>
    </row>
    <row r="294" spans="1:39" x14ac:dyDescent="0.35">
      <c r="A294" t="s">
        <v>360</v>
      </c>
      <c r="B294" s="12">
        <v>1072</v>
      </c>
      <c r="C294" s="21" t="s">
        <v>361</v>
      </c>
      <c r="D294" s="13" t="s">
        <v>1232</v>
      </c>
      <c r="E294" t="s">
        <v>362</v>
      </c>
      <c r="F294" s="21" t="s">
        <v>363</v>
      </c>
      <c r="G294" t="s">
        <v>23</v>
      </c>
      <c r="H294" s="14">
        <v>46204</v>
      </c>
      <c r="I294" s="14">
        <v>46224</v>
      </c>
      <c r="J294" s="13" t="s">
        <v>24</v>
      </c>
      <c r="L294" s="2">
        <v>4112.5</v>
      </c>
      <c r="M294" s="2">
        <v>10875</v>
      </c>
      <c r="N294" s="2">
        <v>0</v>
      </c>
      <c r="O294" s="2">
        <v>10875</v>
      </c>
      <c r="P294" s="3">
        <v>0</v>
      </c>
      <c r="Q294" s="3"/>
      <c r="R294" s="2">
        <v>0</v>
      </c>
      <c r="S294" s="3">
        <v>0</v>
      </c>
      <c r="T294" s="2">
        <v>0</v>
      </c>
      <c r="U294" s="13" t="s">
        <v>33</v>
      </c>
      <c r="V294" s="13" t="str">
        <f t="shared" si="29"/>
        <v>No</v>
      </c>
      <c r="W294" s="13" t="str">
        <f t="shared" si="29"/>
        <v>Yes</v>
      </c>
      <c r="X294" s="13" t="str">
        <f t="shared" si="29"/>
        <v>Yes</v>
      </c>
      <c r="Y294" s="13" t="str">
        <f t="shared" si="29"/>
        <v>No</v>
      </c>
      <c r="Z294" s="13" t="str">
        <f t="shared" si="29"/>
        <v>No</v>
      </c>
      <c r="AA294" s="71">
        <f>+(Table1[[#This Row],[Everyday price]]-Table1[[#This Row],[Promo Price]])/Table1[[#This Row],[Everyday price]]</f>
        <v>1</v>
      </c>
      <c r="AC294" s="69">
        <f>AC293-AB293</f>
        <v>0.68000000000000016</v>
      </c>
      <c r="AH294" s="6"/>
      <c r="AJ294" s="116" t="str">
        <f>IF(AND(ISNUMBER(Table1[[#This Row],[Lift  ]]),ISNUMBER(Table1[[#This Row],[Plan lift, %]]),Table1[[#This Row],[Plan lift, %]]&lt;&gt;0),Table1[[#This Row],[Lift  ]]-Table1[[#This Row],[Plan lift, %]],"")</f>
        <v/>
      </c>
      <c r="AK294" s="116"/>
    </row>
    <row r="295" spans="1:39" x14ac:dyDescent="0.35">
      <c r="A295" t="s">
        <v>1221</v>
      </c>
      <c r="B295" s="12">
        <v>1069</v>
      </c>
      <c r="C295" s="21" t="s">
        <v>361</v>
      </c>
      <c r="D295" s="13" t="s">
        <v>1232</v>
      </c>
      <c r="E295" t="s">
        <v>362</v>
      </c>
      <c r="F295" s="21" t="s">
        <v>1222</v>
      </c>
      <c r="G295" t="s">
        <v>60</v>
      </c>
      <c r="H295" s="14">
        <v>46235</v>
      </c>
      <c r="I295" s="14">
        <v>46255</v>
      </c>
      <c r="J295" s="13" t="s">
        <v>24</v>
      </c>
      <c r="L295" s="2">
        <v>5743.75</v>
      </c>
      <c r="M295" s="2">
        <v>10875</v>
      </c>
      <c r="N295" s="2">
        <v>0</v>
      </c>
      <c r="O295" s="2">
        <v>10875</v>
      </c>
      <c r="P295" s="3">
        <v>0</v>
      </c>
      <c r="Q295" s="3"/>
      <c r="R295" s="2">
        <v>0</v>
      </c>
      <c r="S295" s="3">
        <v>0</v>
      </c>
      <c r="T295" s="2">
        <v>0</v>
      </c>
      <c r="U295" s="13" t="s">
        <v>33</v>
      </c>
      <c r="V295" s="13" t="str">
        <f t="shared" si="29"/>
        <v>No</v>
      </c>
      <c r="W295" s="13" t="str">
        <f t="shared" si="29"/>
        <v>Yes</v>
      </c>
      <c r="X295" s="13" t="str">
        <f t="shared" si="29"/>
        <v>Yes</v>
      </c>
      <c r="Y295" s="13" t="str">
        <f t="shared" si="29"/>
        <v>No</v>
      </c>
      <c r="Z295" s="13" t="str">
        <f t="shared" si="29"/>
        <v>No</v>
      </c>
      <c r="AA295" s="71">
        <f>+(Table1[[#This Row],[Everyday price]]-Table1[[#This Row],[Promo Price]])/Table1[[#This Row],[Everyday price]]</f>
        <v>1</v>
      </c>
      <c r="AC295" s="69">
        <f>AC294/AC292</f>
        <v>0.2437275985663083</v>
      </c>
      <c r="AH295" s="6"/>
      <c r="AJ295" s="116" t="str">
        <f>IF(AND(ISNUMBER(Table1[[#This Row],[Lift  ]]),ISNUMBER(Table1[[#This Row],[Plan lift, %]]),Table1[[#This Row],[Plan lift, %]]&lt;&gt;0),Table1[[#This Row],[Lift  ]]-Table1[[#This Row],[Plan lift, %]],"")</f>
        <v/>
      </c>
      <c r="AK295" s="116"/>
    </row>
    <row r="296" spans="1:39" x14ac:dyDescent="0.35">
      <c r="A296" t="s">
        <v>442</v>
      </c>
      <c r="B296" s="12">
        <v>1073</v>
      </c>
      <c r="C296" s="21" t="s">
        <v>361</v>
      </c>
      <c r="D296" s="13" t="s">
        <v>1232</v>
      </c>
      <c r="E296" t="s">
        <v>362</v>
      </c>
      <c r="F296" s="21" t="s">
        <v>443</v>
      </c>
      <c r="G296" t="s">
        <v>44</v>
      </c>
      <c r="H296" s="14">
        <v>46296</v>
      </c>
      <c r="I296" s="14">
        <v>46316</v>
      </c>
      <c r="J296" s="13" t="s">
        <v>24</v>
      </c>
      <c r="L296" s="2">
        <v>4112.5</v>
      </c>
      <c r="M296" s="2">
        <v>10875</v>
      </c>
      <c r="N296" s="2">
        <v>0</v>
      </c>
      <c r="O296" s="2">
        <v>10875</v>
      </c>
      <c r="P296" s="3">
        <v>0</v>
      </c>
      <c r="Q296" s="3"/>
      <c r="R296" s="2">
        <v>0</v>
      </c>
      <c r="S296" s="3">
        <v>0</v>
      </c>
      <c r="T296" s="2">
        <v>0</v>
      </c>
      <c r="U296" s="13" t="s">
        <v>33</v>
      </c>
      <c r="V296" s="13" t="str">
        <f t="shared" si="29"/>
        <v>No</v>
      </c>
      <c r="W296" s="13" t="str">
        <f t="shared" si="29"/>
        <v>Yes</v>
      </c>
      <c r="X296" s="13" t="str">
        <f t="shared" si="29"/>
        <v>Yes</v>
      </c>
      <c r="Y296" s="13" t="str">
        <f t="shared" si="29"/>
        <v>No</v>
      </c>
      <c r="Z296" s="13" t="str">
        <f t="shared" si="29"/>
        <v>No</v>
      </c>
      <c r="AA296" s="71" t="e">
        <f>+(Table1[[#This Row],[Everyday price]]-Table1[[#This Row],[Promo Price]])/Table1[[#This Row],[Everyday price]]</f>
        <v>#DIV/0!</v>
      </c>
      <c r="AC296" s="69"/>
      <c r="AH296" s="6"/>
      <c r="AJ296" s="116" t="str">
        <f>IF(AND(ISNUMBER(Table1[[#This Row],[Lift  ]]),ISNUMBER(Table1[[#This Row],[Plan lift, %]]),Table1[[#This Row],[Plan lift, %]]&lt;&gt;0),Table1[[#This Row],[Lift  ]]-Table1[[#This Row],[Plan lift, %]],"")</f>
        <v/>
      </c>
      <c r="AK296" s="116"/>
    </row>
    <row r="297" spans="1:39" x14ac:dyDescent="0.35">
      <c r="A297" t="s">
        <v>322</v>
      </c>
      <c r="B297" s="12">
        <v>926</v>
      </c>
      <c r="C297" s="21" t="s">
        <v>58</v>
      </c>
      <c r="D297" s="13" t="s">
        <v>1232</v>
      </c>
      <c r="F297" s="21" t="s">
        <v>323</v>
      </c>
      <c r="G297" t="s">
        <v>23</v>
      </c>
      <c r="H297" s="14">
        <v>46023</v>
      </c>
      <c r="I297" s="14">
        <v>46036</v>
      </c>
      <c r="J297" s="13" t="s">
        <v>29</v>
      </c>
      <c r="L297" s="2">
        <v>1450.55</v>
      </c>
      <c r="M297" s="2">
        <v>2912.73</v>
      </c>
      <c r="N297" s="2">
        <v>582.54999999999995</v>
      </c>
      <c r="O297" s="2">
        <v>3495.28</v>
      </c>
      <c r="P297" s="3">
        <v>0.2</v>
      </c>
      <c r="Q297" s="3"/>
      <c r="R297" s="2">
        <v>-1646.73</v>
      </c>
      <c r="S297" s="3">
        <v>-0.56999999999999995</v>
      </c>
      <c r="T297" s="2">
        <v>1266</v>
      </c>
      <c r="U297" s="13" t="s">
        <v>324</v>
      </c>
      <c r="V297" s="13" t="str">
        <f t="shared" si="29"/>
        <v>No</v>
      </c>
      <c r="W297" s="13" t="str">
        <f t="shared" si="29"/>
        <v>No</v>
      </c>
      <c r="X297" s="13" t="str">
        <f t="shared" si="29"/>
        <v>No</v>
      </c>
      <c r="Y297" s="13" t="str">
        <f t="shared" si="29"/>
        <v>No</v>
      </c>
      <c r="Z297" s="13" t="str">
        <f t="shared" si="29"/>
        <v>No</v>
      </c>
      <c r="AA297" s="71" t="e">
        <f>+(Table1[[#This Row],[Everyday price]]-Table1[[#This Row],[Promo Price]])/Table1[[#This Row],[Everyday price]]</f>
        <v>#DIV/0!</v>
      </c>
      <c r="AC297" s="69"/>
      <c r="AH297" s="6"/>
      <c r="AJ297" s="116" t="str">
        <f>IF(AND(ISNUMBER(Table1[[#This Row],[Lift  ]]),ISNUMBER(Table1[[#This Row],[Plan lift, %]]),Table1[[#This Row],[Plan lift, %]]&lt;&gt;0),Table1[[#This Row],[Lift  ]]-Table1[[#This Row],[Plan lift, %]],"")</f>
        <v/>
      </c>
      <c r="AK297" s="116"/>
      <c r="AM297" s="4" t="s">
        <v>1306</v>
      </c>
    </row>
    <row r="298" spans="1:39" x14ac:dyDescent="0.35">
      <c r="A298" t="s">
        <v>1024</v>
      </c>
      <c r="B298" s="12">
        <v>922</v>
      </c>
      <c r="C298" s="21" t="s">
        <v>58</v>
      </c>
      <c r="D298" s="13" t="s">
        <v>1232</v>
      </c>
      <c r="F298" s="21" t="s">
        <v>1025</v>
      </c>
      <c r="G298" t="s">
        <v>23</v>
      </c>
      <c r="H298" s="14">
        <v>46029</v>
      </c>
      <c r="I298" s="14">
        <v>46049</v>
      </c>
      <c r="J298" s="13" t="s">
        <v>24</v>
      </c>
      <c r="L298" s="2">
        <v>264896.59000000003</v>
      </c>
      <c r="M298" s="2">
        <v>155777.01</v>
      </c>
      <c r="N298" s="2">
        <v>272609.77</v>
      </c>
      <c r="O298" s="2">
        <v>428386.78</v>
      </c>
      <c r="P298" s="3">
        <v>1.75</v>
      </c>
      <c r="Q298" s="3"/>
      <c r="R298" s="2">
        <v>-70673.009999999995</v>
      </c>
      <c r="S298" s="3">
        <v>-0.45</v>
      </c>
      <c r="T298" s="2">
        <v>85104</v>
      </c>
      <c r="U298" s="13" t="s">
        <v>1026</v>
      </c>
      <c r="V298" s="13" t="str">
        <f t="shared" si="29"/>
        <v>No</v>
      </c>
      <c r="W298" s="13" t="str">
        <f t="shared" si="29"/>
        <v>No</v>
      </c>
      <c r="X298" s="13" t="str">
        <f t="shared" si="29"/>
        <v>Yes</v>
      </c>
      <c r="Y298" s="13" t="str">
        <f t="shared" si="29"/>
        <v>No</v>
      </c>
      <c r="Z298" s="13" t="str">
        <f t="shared" si="29"/>
        <v>No</v>
      </c>
      <c r="AA298" s="71" t="e">
        <f>+(Table1[[#This Row],[Everyday price]]-Table1[[#This Row],[Promo Price]])/Table1[[#This Row],[Everyday price]]</f>
        <v>#DIV/0!</v>
      </c>
      <c r="AC298" s="69"/>
      <c r="AH298" s="6"/>
      <c r="AJ298" s="116" t="str">
        <f>IF(AND(ISNUMBER(Table1[[#This Row],[Lift  ]]),ISNUMBER(Table1[[#This Row],[Plan lift, %]]),Table1[[#This Row],[Plan lift, %]]&lt;&gt;0),Table1[[#This Row],[Lift  ]]-Table1[[#This Row],[Plan lift, %]],"")</f>
        <v/>
      </c>
      <c r="AK298" s="116"/>
      <c r="AM298" s="4" t="s">
        <v>1306</v>
      </c>
    </row>
    <row r="299" spans="1:39" x14ac:dyDescent="0.35">
      <c r="A299" t="s">
        <v>452</v>
      </c>
      <c r="B299" s="12">
        <v>1384</v>
      </c>
      <c r="C299" s="21" t="s">
        <v>58</v>
      </c>
      <c r="D299" s="13" t="s">
        <v>1232</v>
      </c>
      <c r="F299" s="21" t="s">
        <v>453</v>
      </c>
      <c r="G299" t="s">
        <v>60</v>
      </c>
      <c r="H299" s="14">
        <v>46052</v>
      </c>
      <c r="I299" s="14">
        <v>46386</v>
      </c>
      <c r="J299" s="13" t="s">
        <v>29</v>
      </c>
      <c r="L299" s="2">
        <v>62748.69</v>
      </c>
      <c r="M299" s="2">
        <v>114088.52</v>
      </c>
      <c r="N299" s="2">
        <v>11408.86</v>
      </c>
      <c r="O299" s="2">
        <v>125497.38</v>
      </c>
      <c r="P299" s="3">
        <v>0.1</v>
      </c>
      <c r="Q299" s="3"/>
      <c r="R299" s="2">
        <v>90415.48</v>
      </c>
      <c r="S299" s="3">
        <v>0.79</v>
      </c>
      <c r="T299" s="2">
        <v>204504</v>
      </c>
      <c r="U299" s="13" t="s">
        <v>61</v>
      </c>
      <c r="V299" s="13" t="str">
        <f t="shared" si="29"/>
        <v>No</v>
      </c>
      <c r="W299" s="13" t="str">
        <f t="shared" si="29"/>
        <v>No</v>
      </c>
      <c r="X299" s="13" t="str">
        <f t="shared" si="29"/>
        <v>No</v>
      </c>
      <c r="Y299" s="13" t="str">
        <f t="shared" si="29"/>
        <v>No</v>
      </c>
      <c r="Z299" s="13" t="str">
        <f t="shared" si="29"/>
        <v>No</v>
      </c>
      <c r="AA299" s="71" t="e">
        <f>+(Table1[[#This Row],[Everyday price]]-Table1[[#This Row],[Promo Price]])/Table1[[#This Row],[Everyday price]]</f>
        <v>#DIV/0!</v>
      </c>
      <c r="AC299" s="69"/>
      <c r="AH299" s="6"/>
      <c r="AJ299" s="116" t="str">
        <f>IF(AND(ISNUMBER(Table1[[#This Row],[Lift  ]]),ISNUMBER(Table1[[#This Row],[Plan lift, %]]),Table1[[#This Row],[Plan lift, %]]&lt;&gt;0),Table1[[#This Row],[Lift  ]]-Table1[[#This Row],[Plan lift, %]],"")</f>
        <v/>
      </c>
      <c r="AK299" s="116"/>
      <c r="AM299" s="4" t="s">
        <v>1306</v>
      </c>
    </row>
    <row r="300" spans="1:39" x14ac:dyDescent="0.35">
      <c r="A300" t="s">
        <v>57</v>
      </c>
      <c r="B300" s="12">
        <v>1533</v>
      </c>
      <c r="C300" s="21" t="s">
        <v>58</v>
      </c>
      <c r="D300" s="13" t="s">
        <v>1232</v>
      </c>
      <c r="F300" s="21" t="s">
        <v>59</v>
      </c>
      <c r="G300" t="s">
        <v>60</v>
      </c>
      <c r="H300" s="14">
        <v>46139</v>
      </c>
      <c r="I300" s="14">
        <v>46387</v>
      </c>
      <c r="J300" s="13" t="s">
        <v>24</v>
      </c>
      <c r="L300" s="2">
        <v>341966.51</v>
      </c>
      <c r="M300" s="2">
        <v>1554393.26</v>
      </c>
      <c r="N300" s="2">
        <v>155439.34</v>
      </c>
      <c r="O300" s="2">
        <v>1709832.6</v>
      </c>
      <c r="P300" s="3">
        <v>0.1</v>
      </c>
      <c r="Q300" s="3"/>
      <c r="R300" s="2">
        <v>-1225209.26</v>
      </c>
      <c r="S300" s="3">
        <v>-0.79</v>
      </c>
      <c r="T300" s="2">
        <v>329184</v>
      </c>
      <c r="U300" s="13" t="s">
        <v>61</v>
      </c>
      <c r="V300" s="13" t="str">
        <f t="shared" si="29"/>
        <v>No</v>
      </c>
      <c r="W300" s="13" t="str">
        <f t="shared" si="29"/>
        <v>No</v>
      </c>
      <c r="X300" s="13" t="str">
        <f t="shared" si="29"/>
        <v>No</v>
      </c>
      <c r="Y300" s="13" t="str">
        <f t="shared" si="29"/>
        <v>No</v>
      </c>
      <c r="Z300" s="13" t="str">
        <f t="shared" si="29"/>
        <v>No</v>
      </c>
      <c r="AA300" s="71" t="e">
        <f>+(Table1[[#This Row],[Everyday price]]-Table1[[#This Row],[Promo Price]])/Table1[[#This Row],[Everyday price]]</f>
        <v>#DIV/0!</v>
      </c>
      <c r="AC300" s="69"/>
      <c r="AH300" s="6"/>
      <c r="AJ300" s="116" t="str">
        <f>IF(AND(ISNUMBER(Table1[[#This Row],[Lift  ]]),ISNUMBER(Table1[[#This Row],[Plan lift, %]]),Table1[[#This Row],[Plan lift, %]]&lt;&gt;0),Table1[[#This Row],[Lift  ]]-Table1[[#This Row],[Plan lift, %]],"")</f>
        <v/>
      </c>
      <c r="AK300" s="116"/>
      <c r="AM300" s="4" t="s">
        <v>1306</v>
      </c>
    </row>
    <row r="301" spans="1:39" x14ac:dyDescent="0.35">
      <c r="A301" t="s">
        <v>552</v>
      </c>
      <c r="B301" s="12">
        <v>1574</v>
      </c>
      <c r="C301" s="21" t="s">
        <v>58</v>
      </c>
      <c r="D301" s="13" t="s">
        <v>1232</v>
      </c>
      <c r="F301" s="21" t="s">
        <v>553</v>
      </c>
      <c r="G301" t="s">
        <v>44</v>
      </c>
      <c r="H301" s="14">
        <v>46267</v>
      </c>
      <c r="I301" s="14">
        <v>46280</v>
      </c>
      <c r="J301" s="13" t="s">
        <v>24</v>
      </c>
      <c r="L301" s="2">
        <v>1426689.94</v>
      </c>
      <c r="M301" s="2">
        <v>82182.600000000006</v>
      </c>
      <c r="N301" s="2">
        <v>493095.6</v>
      </c>
      <c r="O301" s="2">
        <v>575278.19999999995</v>
      </c>
      <c r="P301" s="3">
        <v>6</v>
      </c>
      <c r="Q301" s="3"/>
      <c r="R301" s="2">
        <v>0</v>
      </c>
      <c r="S301" s="3">
        <v>0</v>
      </c>
      <c r="T301" s="2">
        <v>0</v>
      </c>
      <c r="U301" s="13" t="s">
        <v>199</v>
      </c>
      <c r="V301" s="13" t="str">
        <f t="shared" si="29"/>
        <v>No</v>
      </c>
      <c r="W301" s="13" t="str">
        <f t="shared" si="29"/>
        <v>No</v>
      </c>
      <c r="X301" s="13" t="str">
        <f t="shared" si="29"/>
        <v>No</v>
      </c>
      <c r="Y301" s="13" t="str">
        <f t="shared" si="29"/>
        <v>No</v>
      </c>
      <c r="Z301" s="13" t="str">
        <f t="shared" si="29"/>
        <v>No</v>
      </c>
      <c r="AA301" s="71" t="e">
        <f>+(Table1[[#This Row],[Everyday price]]-Table1[[#This Row],[Promo Price]])/Table1[[#This Row],[Everyday price]]</f>
        <v>#DIV/0!</v>
      </c>
      <c r="AC301" s="69"/>
      <c r="AH301" s="6"/>
      <c r="AJ301" s="116" t="str">
        <f>IF(AND(ISNUMBER(Table1[[#This Row],[Lift  ]]),ISNUMBER(Table1[[#This Row],[Plan lift, %]]),Table1[[#This Row],[Plan lift, %]]&lt;&gt;0),Table1[[#This Row],[Lift  ]]-Table1[[#This Row],[Plan lift, %]],"")</f>
        <v/>
      </c>
      <c r="AK301" s="116"/>
      <c r="AM301" s="4" t="s">
        <v>1306</v>
      </c>
    </row>
    <row r="302" spans="1:39" x14ac:dyDescent="0.35">
      <c r="A302" t="s">
        <v>539</v>
      </c>
      <c r="B302" s="12">
        <v>1575</v>
      </c>
      <c r="C302" s="21" t="s">
        <v>58</v>
      </c>
      <c r="D302" s="13" t="s">
        <v>1232</v>
      </c>
      <c r="F302" s="21" t="s">
        <v>540</v>
      </c>
      <c r="G302" t="s">
        <v>44</v>
      </c>
      <c r="H302" s="14">
        <v>46281</v>
      </c>
      <c r="I302" s="14">
        <v>46294</v>
      </c>
      <c r="J302" s="13" t="s">
        <v>29</v>
      </c>
      <c r="L302" s="2">
        <v>25742.11</v>
      </c>
      <c r="M302" s="2">
        <v>4875.3999999999996</v>
      </c>
      <c r="N302" s="2">
        <v>14626.2</v>
      </c>
      <c r="O302" s="2">
        <v>19501.599999999999</v>
      </c>
      <c r="P302" s="3">
        <v>3</v>
      </c>
      <c r="Q302" s="3"/>
      <c r="R302" s="2">
        <v>0</v>
      </c>
      <c r="S302" s="3">
        <v>0</v>
      </c>
      <c r="T302" s="2">
        <v>0</v>
      </c>
      <c r="U302" s="13" t="s">
        <v>261</v>
      </c>
      <c r="V302" s="13" t="str">
        <f t="shared" ref="V302:Z311" si="30">IF(ISNUMBER(SEARCH(V$1,$U302)),"Yes","No")</f>
        <v>Yes</v>
      </c>
      <c r="W302" s="13" t="str">
        <f t="shared" si="30"/>
        <v>No</v>
      </c>
      <c r="X302" s="13" t="str">
        <f t="shared" si="30"/>
        <v>No</v>
      </c>
      <c r="Y302" s="13" t="str">
        <f t="shared" si="30"/>
        <v>No</v>
      </c>
      <c r="Z302" s="13" t="str">
        <f t="shared" si="30"/>
        <v>No</v>
      </c>
      <c r="AA302" s="71" t="e">
        <f>+(Table1[[#This Row],[Everyday price]]-Table1[[#This Row],[Promo Price]])/Table1[[#This Row],[Everyday price]]</f>
        <v>#DIV/0!</v>
      </c>
      <c r="AC302" s="69"/>
      <c r="AH302" s="6"/>
      <c r="AJ302" s="116" t="str">
        <f>IF(AND(ISNUMBER(Table1[[#This Row],[Lift  ]]),ISNUMBER(Table1[[#This Row],[Plan lift, %]]),Table1[[#This Row],[Plan lift, %]]&lt;&gt;0),Table1[[#This Row],[Lift  ]]-Table1[[#This Row],[Plan lift, %]],"")</f>
        <v/>
      </c>
      <c r="AK302" s="116"/>
      <c r="AM302" s="4" t="s">
        <v>1306</v>
      </c>
    </row>
    <row r="303" spans="1:39" x14ac:dyDescent="0.35">
      <c r="A303" t="s">
        <v>348</v>
      </c>
      <c r="B303" s="12" t="s">
        <v>1716</v>
      </c>
      <c r="C303" s="21" t="s">
        <v>349</v>
      </c>
      <c r="D303" s="13" t="s">
        <v>1230</v>
      </c>
      <c r="F303" t="s">
        <v>350</v>
      </c>
      <c r="G303" t="s">
        <v>23</v>
      </c>
      <c r="H303" s="1">
        <v>46082</v>
      </c>
      <c r="I303" s="1">
        <v>46111</v>
      </c>
      <c r="J303" s="13" t="s">
        <v>24</v>
      </c>
      <c r="L303" s="2">
        <v>2125.77</v>
      </c>
      <c r="M303" s="2">
        <v>7393.95</v>
      </c>
      <c r="N303" s="2">
        <v>1109.08</v>
      </c>
      <c r="O303" s="2">
        <v>8503.0300000000007</v>
      </c>
      <c r="P303" s="3">
        <v>0.15</v>
      </c>
      <c r="Q303" s="3"/>
      <c r="R303" s="2">
        <v>0</v>
      </c>
      <c r="S303" s="3">
        <v>0</v>
      </c>
      <c r="T303" s="2">
        <v>0</v>
      </c>
      <c r="U303" t="s">
        <v>25</v>
      </c>
      <c r="V303" s="13" t="str">
        <f t="shared" si="30"/>
        <v>No</v>
      </c>
      <c r="W303" s="13" t="str">
        <f t="shared" si="30"/>
        <v>Yes</v>
      </c>
      <c r="X303" s="13" t="str">
        <f t="shared" si="30"/>
        <v>No</v>
      </c>
      <c r="Y303" s="13" t="str">
        <f t="shared" si="30"/>
        <v>No</v>
      </c>
      <c r="Z303" s="13" t="str">
        <f t="shared" si="30"/>
        <v>No</v>
      </c>
      <c r="AA303" s="71" t="e">
        <f>+(Table1[[#This Row],[Everyday price]]-Table1[[#This Row],[Promo Price]])/Table1[[#This Row],[Everyday price]]</f>
        <v>#DIV/0!</v>
      </c>
      <c r="AC303" s="69"/>
      <c r="AD303" s="13"/>
      <c r="AH303" s="6"/>
      <c r="AJ303" s="116" t="str">
        <f>IF(AND(ISNUMBER(Table1[[#This Row],[Lift  ]]),ISNUMBER(Table1[[#This Row],[Plan lift, %]]),Table1[[#This Row],[Plan lift, %]]&lt;&gt;0),Table1[[#This Row],[Lift  ]]-Table1[[#This Row],[Plan lift, %]],"")</f>
        <v/>
      </c>
      <c r="AK303" s="116"/>
    </row>
    <row r="304" spans="1:39" x14ac:dyDescent="0.35">
      <c r="A304" t="s">
        <v>348</v>
      </c>
      <c r="B304" s="12" t="s">
        <v>1717</v>
      </c>
      <c r="C304" s="21" t="s">
        <v>349</v>
      </c>
      <c r="D304" s="13" t="s">
        <v>1230</v>
      </c>
      <c r="F304" t="s">
        <v>350</v>
      </c>
      <c r="G304" t="s">
        <v>23</v>
      </c>
      <c r="H304" s="1">
        <v>46082</v>
      </c>
      <c r="I304" s="1">
        <v>46111</v>
      </c>
      <c r="J304" s="301" t="s">
        <v>351</v>
      </c>
      <c r="L304" s="2">
        <v>0</v>
      </c>
      <c r="M304" s="2">
        <v>0</v>
      </c>
      <c r="N304" s="2">
        <v>0</v>
      </c>
      <c r="O304" s="2">
        <v>0</v>
      </c>
      <c r="P304" s="3">
        <v>0.15</v>
      </c>
      <c r="Q304" s="3"/>
      <c r="R304" s="2">
        <v>0</v>
      </c>
      <c r="S304" s="3">
        <v>0</v>
      </c>
      <c r="T304" s="2">
        <v>0</v>
      </c>
      <c r="U304" t="s">
        <v>25</v>
      </c>
      <c r="V304" s="13" t="str">
        <f t="shared" si="30"/>
        <v>No</v>
      </c>
      <c r="W304" s="13" t="str">
        <f t="shared" si="30"/>
        <v>Yes</v>
      </c>
      <c r="X304" s="13" t="str">
        <f t="shared" si="30"/>
        <v>No</v>
      </c>
      <c r="Y304" s="13" t="str">
        <f t="shared" si="30"/>
        <v>No</v>
      </c>
      <c r="Z304" s="13" t="str">
        <f t="shared" si="30"/>
        <v>No</v>
      </c>
      <c r="AA304" s="71" t="e">
        <f>+(Table1[[#This Row],[Everyday price]]-Table1[[#This Row],[Promo Price]])/Table1[[#This Row],[Everyday price]]</f>
        <v>#DIV/0!</v>
      </c>
      <c r="AC304" s="69"/>
      <c r="AD304" s="13"/>
      <c r="AH304" s="6"/>
      <c r="AJ304" s="116" t="str">
        <f>IF(AND(ISNUMBER(Table1[[#This Row],[Lift  ]]),ISNUMBER(Table1[[#This Row],[Plan lift, %]]),Table1[[#This Row],[Plan lift, %]]&lt;&gt;0),Table1[[#This Row],[Lift  ]]-Table1[[#This Row],[Plan lift, %]],"")</f>
        <v/>
      </c>
      <c r="AK304" s="116"/>
    </row>
    <row r="305" spans="1:39" x14ac:dyDescent="0.35">
      <c r="A305" t="s">
        <v>625</v>
      </c>
      <c r="B305" s="12" t="s">
        <v>1718</v>
      </c>
      <c r="C305" s="21" t="s">
        <v>349</v>
      </c>
      <c r="D305" s="13" t="s">
        <v>1230</v>
      </c>
      <c r="F305" t="s">
        <v>626</v>
      </c>
      <c r="G305" t="s">
        <v>23</v>
      </c>
      <c r="H305" s="1">
        <v>46113</v>
      </c>
      <c r="I305" s="1">
        <v>46142</v>
      </c>
      <c r="J305" s="13" t="s">
        <v>24</v>
      </c>
      <c r="L305" s="2">
        <v>2730.67</v>
      </c>
      <c r="M305" s="2">
        <v>9497.98</v>
      </c>
      <c r="N305" s="2">
        <v>1424.7</v>
      </c>
      <c r="O305" s="2">
        <v>10922.68</v>
      </c>
      <c r="P305" s="3">
        <v>0.15</v>
      </c>
      <c r="Q305" s="3"/>
      <c r="R305" s="2">
        <v>0</v>
      </c>
      <c r="S305" s="3">
        <v>0</v>
      </c>
      <c r="T305" s="2">
        <v>0</v>
      </c>
      <c r="U305" t="s">
        <v>25</v>
      </c>
      <c r="V305" s="13" t="str">
        <f t="shared" si="30"/>
        <v>No</v>
      </c>
      <c r="W305" s="13" t="str">
        <f t="shared" si="30"/>
        <v>Yes</v>
      </c>
      <c r="X305" s="13" t="str">
        <f t="shared" si="30"/>
        <v>No</v>
      </c>
      <c r="Y305" s="13" t="str">
        <f t="shared" si="30"/>
        <v>No</v>
      </c>
      <c r="Z305" s="13" t="str">
        <f t="shared" si="30"/>
        <v>No</v>
      </c>
      <c r="AA305" s="71" t="e">
        <f>+(Table1[[#This Row],[Everyday price]]-Table1[[#This Row],[Promo Price]])/Table1[[#This Row],[Everyday price]]</f>
        <v>#DIV/0!</v>
      </c>
      <c r="AC305" s="69"/>
      <c r="AD305" s="13"/>
      <c r="AH305" s="6"/>
      <c r="AJ305" s="116" t="str">
        <f>IF(AND(ISNUMBER(Table1[[#This Row],[Lift  ]]),ISNUMBER(Table1[[#This Row],[Plan lift, %]]),Table1[[#This Row],[Plan lift, %]]&lt;&gt;0),Table1[[#This Row],[Lift  ]]-Table1[[#This Row],[Plan lift, %]],"")</f>
        <v/>
      </c>
      <c r="AK305" s="116"/>
    </row>
    <row r="306" spans="1:39" x14ac:dyDescent="0.35">
      <c r="A306" t="s">
        <v>625</v>
      </c>
      <c r="B306" s="12" t="s">
        <v>1719</v>
      </c>
      <c r="C306" s="21" t="s">
        <v>349</v>
      </c>
      <c r="D306" s="13" t="s">
        <v>1230</v>
      </c>
      <c r="F306" t="s">
        <v>626</v>
      </c>
      <c r="G306" t="s">
        <v>23</v>
      </c>
      <c r="H306" s="1">
        <v>46113</v>
      </c>
      <c r="I306" s="1">
        <v>46142</v>
      </c>
      <c r="J306" s="13" t="s">
        <v>351</v>
      </c>
      <c r="L306" s="2">
        <v>0</v>
      </c>
      <c r="M306" s="2">
        <v>0</v>
      </c>
      <c r="N306" s="2">
        <v>0</v>
      </c>
      <c r="O306" s="2">
        <v>0</v>
      </c>
      <c r="P306" s="3">
        <v>0.15</v>
      </c>
      <c r="Q306" s="3"/>
      <c r="R306" s="2">
        <v>0</v>
      </c>
      <c r="S306" s="3">
        <v>0</v>
      </c>
      <c r="T306" s="2">
        <v>0</v>
      </c>
      <c r="U306" t="s">
        <v>25</v>
      </c>
      <c r="V306" s="13" t="str">
        <f t="shared" si="30"/>
        <v>No</v>
      </c>
      <c r="W306" s="13" t="str">
        <f t="shared" si="30"/>
        <v>Yes</v>
      </c>
      <c r="X306" s="13" t="str">
        <f t="shared" si="30"/>
        <v>No</v>
      </c>
      <c r="Y306" s="13" t="str">
        <f t="shared" si="30"/>
        <v>No</v>
      </c>
      <c r="Z306" s="13" t="str">
        <f t="shared" si="30"/>
        <v>No</v>
      </c>
      <c r="AA306" s="71" t="e">
        <f>+(Table1[[#This Row],[Everyday price]]-Table1[[#This Row],[Promo Price]])/Table1[[#This Row],[Everyday price]]</f>
        <v>#DIV/0!</v>
      </c>
      <c r="AC306" s="69"/>
      <c r="AD306" s="13"/>
      <c r="AH306" s="6"/>
      <c r="AJ306" s="116" t="str">
        <f>IF(AND(ISNUMBER(Table1[[#This Row],[Lift  ]]),ISNUMBER(Table1[[#This Row],[Plan lift, %]]),Table1[[#This Row],[Plan lift, %]]&lt;&gt;0),Table1[[#This Row],[Lift  ]]-Table1[[#This Row],[Plan lift, %]],"")</f>
        <v/>
      </c>
      <c r="AK306" s="116"/>
    </row>
    <row r="307" spans="1:39" x14ac:dyDescent="0.35">
      <c r="A307" t="s">
        <v>978</v>
      </c>
      <c r="B307" s="12" t="s">
        <v>1720</v>
      </c>
      <c r="C307" s="21" t="s">
        <v>349</v>
      </c>
      <c r="D307" s="13" t="s">
        <v>1230</v>
      </c>
      <c r="F307" t="s">
        <v>979</v>
      </c>
      <c r="G307" t="s">
        <v>23</v>
      </c>
      <c r="H307" s="1">
        <v>46204</v>
      </c>
      <c r="I307" s="1">
        <v>46234</v>
      </c>
      <c r="J307" s="13" t="s">
        <v>24</v>
      </c>
      <c r="L307" s="2">
        <v>2883.83</v>
      </c>
      <c r="M307" s="2">
        <v>10030.77</v>
      </c>
      <c r="N307" s="2">
        <v>1504.64</v>
      </c>
      <c r="O307" s="2">
        <v>11535.41</v>
      </c>
      <c r="P307" s="3">
        <v>0.15</v>
      </c>
      <c r="Q307" s="3"/>
      <c r="R307" s="2">
        <v>0</v>
      </c>
      <c r="S307" s="3">
        <v>0</v>
      </c>
      <c r="T307" s="2">
        <v>0</v>
      </c>
      <c r="U307" t="s">
        <v>25</v>
      </c>
      <c r="V307" s="13" t="str">
        <f t="shared" si="30"/>
        <v>No</v>
      </c>
      <c r="W307" s="13" t="str">
        <f t="shared" si="30"/>
        <v>Yes</v>
      </c>
      <c r="X307" s="13" t="str">
        <f t="shared" si="30"/>
        <v>No</v>
      </c>
      <c r="Y307" s="13" t="str">
        <f t="shared" si="30"/>
        <v>No</v>
      </c>
      <c r="Z307" s="13" t="str">
        <f t="shared" si="30"/>
        <v>No</v>
      </c>
      <c r="AA307" s="71" t="e">
        <f>+(Table1[[#This Row],[Everyday price]]-Table1[[#This Row],[Promo Price]])/Table1[[#This Row],[Everyday price]]</f>
        <v>#DIV/0!</v>
      </c>
      <c r="AC307" s="69"/>
      <c r="AD307" s="13"/>
      <c r="AH307" s="6"/>
      <c r="AJ307" s="116" t="str">
        <f>IF(AND(ISNUMBER(Table1[[#This Row],[Lift  ]]),ISNUMBER(Table1[[#This Row],[Plan lift, %]]),Table1[[#This Row],[Plan lift, %]]&lt;&gt;0),Table1[[#This Row],[Lift  ]]-Table1[[#This Row],[Plan lift, %]],"")</f>
        <v/>
      </c>
      <c r="AK307" s="116"/>
    </row>
    <row r="308" spans="1:39" x14ac:dyDescent="0.35">
      <c r="A308" t="s">
        <v>978</v>
      </c>
      <c r="B308" s="12" t="s">
        <v>1721</v>
      </c>
      <c r="C308" s="21" t="s">
        <v>349</v>
      </c>
      <c r="D308" s="13" t="s">
        <v>1230</v>
      </c>
      <c r="F308" t="s">
        <v>979</v>
      </c>
      <c r="G308" t="s">
        <v>23</v>
      </c>
      <c r="H308" s="1">
        <v>46204</v>
      </c>
      <c r="I308" s="1">
        <v>46234</v>
      </c>
      <c r="J308" s="13" t="s">
        <v>351</v>
      </c>
      <c r="L308" s="2">
        <v>0</v>
      </c>
      <c r="M308" s="2">
        <v>0</v>
      </c>
      <c r="N308" s="2">
        <v>0</v>
      </c>
      <c r="O308" s="2">
        <v>0</v>
      </c>
      <c r="P308" s="3">
        <v>0.15</v>
      </c>
      <c r="Q308" s="3"/>
      <c r="R308" s="2">
        <v>0</v>
      </c>
      <c r="S308" s="3">
        <v>0</v>
      </c>
      <c r="T308" s="2">
        <v>0</v>
      </c>
      <c r="U308" t="s">
        <v>25</v>
      </c>
      <c r="V308" s="13" t="str">
        <f t="shared" si="30"/>
        <v>No</v>
      </c>
      <c r="W308" s="13" t="str">
        <f t="shared" si="30"/>
        <v>Yes</v>
      </c>
      <c r="X308" s="13" t="str">
        <f t="shared" si="30"/>
        <v>No</v>
      </c>
      <c r="Y308" s="13" t="str">
        <f t="shared" si="30"/>
        <v>No</v>
      </c>
      <c r="Z308" s="13" t="str">
        <f t="shared" si="30"/>
        <v>No</v>
      </c>
      <c r="AA308" s="71" t="e">
        <f>+(Table1[[#This Row],[Everyday price]]-Table1[[#This Row],[Promo Price]])/Table1[[#This Row],[Everyday price]]</f>
        <v>#DIV/0!</v>
      </c>
      <c r="AC308" s="69"/>
      <c r="AD308" s="13"/>
      <c r="AH308" s="6"/>
      <c r="AJ308" s="116" t="str">
        <f>IF(AND(ISNUMBER(Table1[[#This Row],[Lift  ]]),ISNUMBER(Table1[[#This Row],[Plan lift, %]]),Table1[[#This Row],[Plan lift, %]]&lt;&gt;0),Table1[[#This Row],[Lift  ]]-Table1[[#This Row],[Plan lift, %]],"")</f>
        <v/>
      </c>
      <c r="AK308" s="116"/>
    </row>
    <row r="309" spans="1:39" x14ac:dyDescent="0.35">
      <c r="A309" t="s">
        <v>502</v>
      </c>
      <c r="B309" s="12" t="s">
        <v>1722</v>
      </c>
      <c r="C309" s="21" t="s">
        <v>349</v>
      </c>
      <c r="D309" s="13" t="s">
        <v>1230</v>
      </c>
      <c r="F309" t="s">
        <v>503</v>
      </c>
      <c r="G309" t="s">
        <v>60</v>
      </c>
      <c r="H309" s="1">
        <v>46235</v>
      </c>
      <c r="I309" s="1">
        <v>46264</v>
      </c>
      <c r="J309" s="13" t="s">
        <v>24</v>
      </c>
      <c r="L309" s="2">
        <v>2882.91</v>
      </c>
      <c r="M309" s="2">
        <v>10027.469999999999</v>
      </c>
      <c r="N309" s="2">
        <v>1504.1</v>
      </c>
      <c r="O309" s="2">
        <v>11531.57</v>
      </c>
      <c r="P309" s="3">
        <v>0.15</v>
      </c>
      <c r="Q309" s="3"/>
      <c r="R309" s="2">
        <v>0</v>
      </c>
      <c r="S309" s="3">
        <v>0</v>
      </c>
      <c r="T309" s="2">
        <v>0</v>
      </c>
      <c r="U309" t="s">
        <v>25</v>
      </c>
      <c r="V309" s="13" t="str">
        <f t="shared" si="30"/>
        <v>No</v>
      </c>
      <c r="W309" s="13" t="str">
        <f t="shared" si="30"/>
        <v>Yes</v>
      </c>
      <c r="X309" s="13" t="str">
        <f t="shared" si="30"/>
        <v>No</v>
      </c>
      <c r="Y309" s="13" t="str">
        <f t="shared" si="30"/>
        <v>No</v>
      </c>
      <c r="Z309" s="13" t="str">
        <f t="shared" si="30"/>
        <v>No</v>
      </c>
      <c r="AA309" s="71" t="e">
        <f>+(Table1[[#This Row],[Everyday price]]-Table1[[#This Row],[Promo Price]])/Table1[[#This Row],[Everyday price]]</f>
        <v>#DIV/0!</v>
      </c>
      <c r="AC309" s="69"/>
      <c r="AD309" s="13"/>
      <c r="AH309" s="6"/>
      <c r="AJ309" s="116" t="str">
        <f>IF(AND(ISNUMBER(Table1[[#This Row],[Lift  ]]),ISNUMBER(Table1[[#This Row],[Plan lift, %]]),Table1[[#This Row],[Plan lift, %]]&lt;&gt;0),Table1[[#This Row],[Lift  ]]-Table1[[#This Row],[Plan lift, %]],"")</f>
        <v/>
      </c>
      <c r="AK309" s="116"/>
    </row>
    <row r="310" spans="1:39" x14ac:dyDescent="0.35">
      <c r="A310" t="s">
        <v>502</v>
      </c>
      <c r="B310" s="12" t="s">
        <v>1723</v>
      </c>
      <c r="C310" s="21" t="s">
        <v>349</v>
      </c>
      <c r="D310" s="13" t="s">
        <v>1230</v>
      </c>
      <c r="F310" t="s">
        <v>503</v>
      </c>
      <c r="G310" t="s">
        <v>60</v>
      </c>
      <c r="H310" s="1">
        <v>46235</v>
      </c>
      <c r="I310" s="1">
        <v>46264</v>
      </c>
      <c r="J310" s="13" t="s">
        <v>351</v>
      </c>
      <c r="L310" s="2">
        <v>0</v>
      </c>
      <c r="M310" s="2">
        <v>0</v>
      </c>
      <c r="N310" s="2">
        <v>0</v>
      </c>
      <c r="O310" s="2">
        <v>0</v>
      </c>
      <c r="P310" s="3">
        <v>0.15</v>
      </c>
      <c r="Q310" s="3"/>
      <c r="R310" s="2">
        <v>0</v>
      </c>
      <c r="S310" s="3">
        <v>0</v>
      </c>
      <c r="T310" s="2">
        <v>0</v>
      </c>
      <c r="U310" t="s">
        <v>25</v>
      </c>
      <c r="V310" s="13" t="str">
        <f t="shared" si="30"/>
        <v>No</v>
      </c>
      <c r="W310" s="13" t="str">
        <f t="shared" si="30"/>
        <v>Yes</v>
      </c>
      <c r="X310" s="13" t="str">
        <f t="shared" si="30"/>
        <v>No</v>
      </c>
      <c r="Y310" s="13" t="str">
        <f t="shared" si="30"/>
        <v>No</v>
      </c>
      <c r="Z310" s="13" t="str">
        <f t="shared" si="30"/>
        <v>No</v>
      </c>
      <c r="AA310" s="71" t="e">
        <f>+(Table1[[#This Row],[Everyday price]]-Table1[[#This Row],[Promo Price]])/Table1[[#This Row],[Everyday price]]</f>
        <v>#DIV/0!</v>
      </c>
      <c r="AC310" s="69"/>
      <c r="AD310" s="13"/>
      <c r="AH310" s="6"/>
      <c r="AJ310" s="116" t="str">
        <f>IF(AND(ISNUMBER(Table1[[#This Row],[Lift  ]]),ISNUMBER(Table1[[#This Row],[Plan lift, %]]),Table1[[#This Row],[Plan lift, %]]&lt;&gt;0),Table1[[#This Row],[Lift  ]]-Table1[[#This Row],[Plan lift, %]],"")</f>
        <v/>
      </c>
      <c r="AK310" s="116"/>
    </row>
    <row r="311" spans="1:39" x14ac:dyDescent="0.35">
      <c r="A311" t="s">
        <v>780</v>
      </c>
      <c r="B311" s="12" t="s">
        <v>1724</v>
      </c>
      <c r="C311" s="21" t="s">
        <v>349</v>
      </c>
      <c r="D311" s="13" t="s">
        <v>1230</v>
      </c>
      <c r="F311" t="s">
        <v>781</v>
      </c>
      <c r="G311" t="s">
        <v>44</v>
      </c>
      <c r="H311" s="1">
        <v>46327</v>
      </c>
      <c r="I311" s="1">
        <v>46356</v>
      </c>
      <c r="J311" s="13" t="s">
        <v>24</v>
      </c>
      <c r="L311" s="2">
        <v>2789.92</v>
      </c>
      <c r="M311" s="2">
        <v>9704.1</v>
      </c>
      <c r="N311" s="2">
        <v>1455.62</v>
      </c>
      <c r="O311" s="2">
        <v>11159.72</v>
      </c>
      <c r="P311" s="3">
        <v>0.15</v>
      </c>
      <c r="Q311" s="3"/>
      <c r="R311" s="2">
        <v>0</v>
      </c>
      <c r="S311" s="3">
        <v>0</v>
      </c>
      <c r="T311" s="2">
        <v>0</v>
      </c>
      <c r="U311" t="s">
        <v>25</v>
      </c>
      <c r="V311" s="13" t="str">
        <f t="shared" si="30"/>
        <v>No</v>
      </c>
      <c r="W311" s="13" t="str">
        <f t="shared" si="30"/>
        <v>Yes</v>
      </c>
      <c r="X311" s="13" t="str">
        <f t="shared" si="30"/>
        <v>No</v>
      </c>
      <c r="Y311" s="13" t="str">
        <f t="shared" si="30"/>
        <v>No</v>
      </c>
      <c r="Z311" s="13" t="str">
        <f t="shared" si="30"/>
        <v>No</v>
      </c>
      <c r="AA311" s="71" t="e">
        <f>+(Table1[[#This Row],[Everyday price]]-Table1[[#This Row],[Promo Price]])/Table1[[#This Row],[Everyday price]]</f>
        <v>#DIV/0!</v>
      </c>
      <c r="AC311" s="69"/>
      <c r="AD311" s="13"/>
      <c r="AH311" s="6"/>
      <c r="AJ311" s="116" t="str">
        <f>IF(AND(ISNUMBER(Table1[[#This Row],[Lift  ]]),ISNUMBER(Table1[[#This Row],[Plan lift, %]]),Table1[[#This Row],[Plan lift, %]]&lt;&gt;0),Table1[[#This Row],[Lift  ]]-Table1[[#This Row],[Plan lift, %]],"")</f>
        <v/>
      </c>
      <c r="AK311" s="116"/>
    </row>
    <row r="312" spans="1:39" x14ac:dyDescent="0.35">
      <c r="A312" t="s">
        <v>780</v>
      </c>
      <c r="B312" s="12" t="s">
        <v>1725</v>
      </c>
      <c r="C312" s="21" t="s">
        <v>349</v>
      </c>
      <c r="D312" s="13" t="s">
        <v>1230</v>
      </c>
      <c r="F312" t="s">
        <v>781</v>
      </c>
      <c r="G312" t="s">
        <v>44</v>
      </c>
      <c r="H312" s="1">
        <v>46327</v>
      </c>
      <c r="I312" s="1">
        <v>46356</v>
      </c>
      <c r="J312" s="13" t="s">
        <v>351</v>
      </c>
      <c r="L312" s="2">
        <v>0</v>
      </c>
      <c r="M312" s="2">
        <v>0</v>
      </c>
      <c r="N312" s="2">
        <v>0</v>
      </c>
      <c r="O312" s="2">
        <v>0</v>
      </c>
      <c r="P312" s="3">
        <v>0.15</v>
      </c>
      <c r="Q312" s="3"/>
      <c r="R312" s="2">
        <v>0</v>
      </c>
      <c r="S312" s="3">
        <v>0</v>
      </c>
      <c r="T312" s="2">
        <v>0</v>
      </c>
      <c r="U312" t="s">
        <v>25</v>
      </c>
      <c r="V312" s="13" t="str">
        <f t="shared" ref="V312:Z321" si="31">IF(ISNUMBER(SEARCH(V$1,$U312)),"Yes","No")</f>
        <v>No</v>
      </c>
      <c r="W312" s="13" t="str">
        <f t="shared" si="31"/>
        <v>Yes</v>
      </c>
      <c r="X312" s="13" t="str">
        <f t="shared" si="31"/>
        <v>No</v>
      </c>
      <c r="Y312" s="13" t="str">
        <f t="shared" si="31"/>
        <v>No</v>
      </c>
      <c r="Z312" s="13" t="str">
        <f t="shared" si="31"/>
        <v>No</v>
      </c>
      <c r="AA312" s="71" t="e">
        <f>+(Table1[[#This Row],[Everyday price]]-Table1[[#This Row],[Promo Price]])/Table1[[#This Row],[Everyday price]]</f>
        <v>#DIV/0!</v>
      </c>
      <c r="AC312" s="69"/>
      <c r="AD312" s="13"/>
      <c r="AH312" s="6"/>
      <c r="AJ312" s="116" t="str">
        <f>IF(AND(ISNUMBER(Table1[[#This Row],[Lift  ]]),ISNUMBER(Table1[[#This Row],[Plan lift, %]]),Table1[[#This Row],[Plan lift, %]]&lt;&gt;0),Table1[[#This Row],[Lift  ]]-Table1[[#This Row],[Plan lift, %]],"")</f>
        <v/>
      </c>
      <c r="AK312" s="116"/>
    </row>
    <row r="313" spans="1:39" x14ac:dyDescent="0.35">
      <c r="A313" t="s">
        <v>844</v>
      </c>
      <c r="B313" s="12" t="s">
        <v>1726</v>
      </c>
      <c r="C313" s="21" t="s">
        <v>349</v>
      </c>
      <c r="D313" s="13" t="s">
        <v>1230</v>
      </c>
      <c r="F313" t="s">
        <v>845</v>
      </c>
      <c r="G313" t="s">
        <v>44</v>
      </c>
      <c r="H313" s="1">
        <v>46357</v>
      </c>
      <c r="I313" s="1">
        <v>46387</v>
      </c>
      <c r="J313" s="13" t="s">
        <v>24</v>
      </c>
      <c r="L313" s="2">
        <v>2456.54</v>
      </c>
      <c r="M313" s="2">
        <v>8544.49</v>
      </c>
      <c r="N313" s="2">
        <v>1281.7</v>
      </c>
      <c r="O313" s="2">
        <v>9826.19</v>
      </c>
      <c r="P313" s="3">
        <v>0.15</v>
      </c>
      <c r="Q313" s="3"/>
      <c r="R313" s="2">
        <v>0</v>
      </c>
      <c r="S313" s="3">
        <v>0</v>
      </c>
      <c r="T313" s="2">
        <v>0</v>
      </c>
      <c r="U313" t="s">
        <v>25</v>
      </c>
      <c r="V313" s="13" t="str">
        <f t="shared" si="31"/>
        <v>No</v>
      </c>
      <c r="W313" s="13" t="str">
        <f t="shared" si="31"/>
        <v>Yes</v>
      </c>
      <c r="X313" s="13" t="str">
        <f t="shared" si="31"/>
        <v>No</v>
      </c>
      <c r="Y313" s="13" t="str">
        <f t="shared" si="31"/>
        <v>No</v>
      </c>
      <c r="Z313" s="13" t="str">
        <f t="shared" si="31"/>
        <v>No</v>
      </c>
      <c r="AA313" s="71" t="e">
        <f>+(Table1[[#This Row],[Everyday price]]-Table1[[#This Row],[Promo Price]])/Table1[[#This Row],[Everyday price]]</f>
        <v>#DIV/0!</v>
      </c>
      <c r="AC313" s="69"/>
      <c r="AD313" s="13"/>
      <c r="AH313" s="6"/>
      <c r="AJ313" s="116" t="str">
        <f>IF(AND(ISNUMBER(Table1[[#This Row],[Lift  ]]),ISNUMBER(Table1[[#This Row],[Plan lift, %]]),Table1[[#This Row],[Plan lift, %]]&lt;&gt;0),Table1[[#This Row],[Lift  ]]-Table1[[#This Row],[Plan lift, %]],"")</f>
        <v/>
      </c>
      <c r="AK313" s="116"/>
    </row>
    <row r="314" spans="1:39" x14ac:dyDescent="0.35">
      <c r="A314" t="s">
        <v>844</v>
      </c>
      <c r="B314" s="12" t="s">
        <v>1727</v>
      </c>
      <c r="C314" s="21" t="s">
        <v>349</v>
      </c>
      <c r="D314" s="13" t="s">
        <v>1230</v>
      </c>
      <c r="F314" t="s">
        <v>845</v>
      </c>
      <c r="G314" t="s">
        <v>44</v>
      </c>
      <c r="H314" s="1">
        <v>46357</v>
      </c>
      <c r="I314" s="1">
        <v>46387</v>
      </c>
      <c r="J314" s="13" t="s">
        <v>351</v>
      </c>
      <c r="L314" s="2">
        <v>0</v>
      </c>
      <c r="M314" s="2">
        <v>0</v>
      </c>
      <c r="N314" s="2">
        <v>0</v>
      </c>
      <c r="O314" s="2">
        <v>0</v>
      </c>
      <c r="P314" s="3">
        <v>0.15</v>
      </c>
      <c r="Q314" s="3"/>
      <c r="R314" s="2">
        <v>0</v>
      </c>
      <c r="S314" s="3">
        <v>0</v>
      </c>
      <c r="T314" s="2">
        <v>0</v>
      </c>
      <c r="U314" t="s">
        <v>25</v>
      </c>
      <c r="V314" s="13" t="str">
        <f t="shared" si="31"/>
        <v>No</v>
      </c>
      <c r="W314" s="13" t="str">
        <f t="shared" si="31"/>
        <v>Yes</v>
      </c>
      <c r="X314" s="13" t="str">
        <f t="shared" si="31"/>
        <v>No</v>
      </c>
      <c r="Y314" s="13" t="str">
        <f t="shared" si="31"/>
        <v>No</v>
      </c>
      <c r="Z314" s="13" t="str">
        <f t="shared" si="31"/>
        <v>No</v>
      </c>
      <c r="AA314" s="71" t="e">
        <f>+(Table1[[#This Row],[Everyday price]]-Table1[[#This Row],[Promo Price]])/Table1[[#This Row],[Everyday price]]</f>
        <v>#DIV/0!</v>
      </c>
      <c r="AC314" s="69"/>
      <c r="AD314" s="13"/>
      <c r="AH314" s="6"/>
      <c r="AJ314" s="116" t="str">
        <f>IF(AND(ISNUMBER(Table1[[#This Row],[Lift  ]]),ISNUMBER(Table1[[#This Row],[Plan lift, %]]),Table1[[#This Row],[Plan lift, %]]&lt;&gt;0),Table1[[#This Row],[Lift  ]]-Table1[[#This Row],[Plan lift, %]],"")</f>
        <v/>
      </c>
      <c r="AK314" s="116"/>
    </row>
    <row r="315" spans="1:39" x14ac:dyDescent="0.35">
      <c r="A315" t="s">
        <v>364</v>
      </c>
      <c r="B315" s="12">
        <v>1184</v>
      </c>
      <c r="C315" s="21" t="s">
        <v>365</v>
      </c>
      <c r="D315" s="13" t="s">
        <v>1230</v>
      </c>
      <c r="F315" t="s">
        <v>366</v>
      </c>
      <c r="G315" t="s">
        <v>23</v>
      </c>
      <c r="H315" s="1">
        <v>46023</v>
      </c>
      <c r="I315" s="1">
        <v>46111</v>
      </c>
      <c r="J315" s="13" t="s">
        <v>24</v>
      </c>
      <c r="L315" s="2">
        <v>66000</v>
      </c>
      <c r="M315" s="2">
        <v>78936.69</v>
      </c>
      <c r="N315" s="2">
        <v>11840.49</v>
      </c>
      <c r="O315" s="2">
        <v>90777.18</v>
      </c>
      <c r="P315" s="3">
        <v>0.15</v>
      </c>
      <c r="Q315" s="3"/>
      <c r="R315" s="2">
        <v>0</v>
      </c>
      <c r="S315" s="3">
        <v>0</v>
      </c>
      <c r="T315" s="2">
        <v>0</v>
      </c>
      <c r="U315" t="s">
        <v>367</v>
      </c>
      <c r="V315" s="13" t="str">
        <f t="shared" si="31"/>
        <v>No</v>
      </c>
      <c r="W315" s="13" t="str">
        <f t="shared" si="31"/>
        <v>No</v>
      </c>
      <c r="X315" s="13" t="str">
        <f t="shared" si="31"/>
        <v>Yes</v>
      </c>
      <c r="Y315" s="13" t="str">
        <f t="shared" si="31"/>
        <v>No</v>
      </c>
      <c r="Z315" s="13" t="str">
        <f t="shared" si="31"/>
        <v>No</v>
      </c>
      <c r="AA315" s="71" t="e">
        <f>+(Table1[[#This Row],[Everyday price]]-Table1[[#This Row],[Promo Price]])/Table1[[#This Row],[Everyday price]]</f>
        <v>#DIV/0!</v>
      </c>
      <c r="AC315" s="69"/>
      <c r="AD315" s="13"/>
      <c r="AH315" s="6"/>
      <c r="AJ315" s="116" t="str">
        <f>IF(AND(ISNUMBER(Table1[[#This Row],[Lift  ]]),ISNUMBER(Table1[[#This Row],[Plan lift, %]]),Table1[[#This Row],[Plan lift, %]]&lt;&gt;0),Table1[[#This Row],[Lift  ]]-Table1[[#This Row],[Plan lift, %]],"")</f>
        <v/>
      </c>
      <c r="AK315" s="116"/>
    </row>
    <row r="316" spans="1:39" x14ac:dyDescent="0.35">
      <c r="A316" t="s">
        <v>466</v>
      </c>
      <c r="B316" s="12">
        <v>1185</v>
      </c>
      <c r="C316" s="21" t="s">
        <v>365</v>
      </c>
      <c r="D316" s="13" t="s">
        <v>1230</v>
      </c>
      <c r="F316" t="s">
        <v>467</v>
      </c>
      <c r="G316" t="s">
        <v>60</v>
      </c>
      <c r="H316" s="1">
        <v>46235</v>
      </c>
      <c r="I316" s="1">
        <v>46265</v>
      </c>
      <c r="J316" s="13" t="s">
        <v>24</v>
      </c>
      <c r="L316" s="2">
        <v>80000</v>
      </c>
      <c r="M316" s="2">
        <v>29934.14</v>
      </c>
      <c r="N316" s="2">
        <v>4490.12</v>
      </c>
      <c r="O316" s="2">
        <v>34424.26</v>
      </c>
      <c r="P316" s="3">
        <v>0.15</v>
      </c>
      <c r="Q316" s="3"/>
      <c r="R316" s="2">
        <v>0</v>
      </c>
      <c r="S316" s="3">
        <v>0</v>
      </c>
      <c r="T316" s="2">
        <v>0</v>
      </c>
      <c r="U316" t="s">
        <v>367</v>
      </c>
      <c r="V316" s="13" t="str">
        <f t="shared" si="31"/>
        <v>No</v>
      </c>
      <c r="W316" s="13" t="str">
        <f t="shared" si="31"/>
        <v>No</v>
      </c>
      <c r="X316" s="13" t="str">
        <f t="shared" si="31"/>
        <v>Yes</v>
      </c>
      <c r="Y316" s="13" t="str">
        <f t="shared" si="31"/>
        <v>No</v>
      </c>
      <c r="Z316" s="13" t="str">
        <f t="shared" si="31"/>
        <v>No</v>
      </c>
      <c r="AA316" s="71" t="e">
        <f>+(Table1[[#This Row],[Everyday price]]-Table1[[#This Row],[Promo Price]])/Table1[[#This Row],[Everyday price]]</f>
        <v>#DIV/0!</v>
      </c>
      <c r="AC316" s="69"/>
      <c r="AD316" s="13"/>
      <c r="AH316" s="6"/>
      <c r="AJ316" s="116" t="str">
        <f>IF(AND(ISNUMBER(Table1[[#This Row],[Lift  ]]),ISNUMBER(Table1[[#This Row],[Plan lift, %]]),Table1[[#This Row],[Plan lift, %]]&lt;&gt;0),Table1[[#This Row],[Lift  ]]-Table1[[#This Row],[Plan lift, %]],"")</f>
        <v/>
      </c>
      <c r="AK316" s="116"/>
    </row>
    <row r="317" spans="1:39" x14ac:dyDescent="0.35">
      <c r="A317" t="s">
        <v>241</v>
      </c>
      <c r="B317" s="82">
        <v>1269</v>
      </c>
      <c r="C317" s="21" t="s">
        <v>217</v>
      </c>
      <c r="D317" s="13" t="s">
        <v>1232</v>
      </c>
      <c r="E317" t="s">
        <v>218</v>
      </c>
      <c r="F317" s="21" t="s">
        <v>242</v>
      </c>
      <c r="G317" t="s">
        <v>23</v>
      </c>
      <c r="H317" s="14">
        <v>46023</v>
      </c>
      <c r="I317" s="14">
        <v>46032</v>
      </c>
      <c r="J317" s="13" t="s">
        <v>24</v>
      </c>
      <c r="L317" s="2">
        <v>9392.09</v>
      </c>
      <c r="M317" s="2">
        <v>13737.62</v>
      </c>
      <c r="N317" s="2">
        <v>8242.57</v>
      </c>
      <c r="O317" s="2">
        <v>21980.19</v>
      </c>
      <c r="P317" s="3">
        <v>0.6</v>
      </c>
      <c r="Q317" s="3"/>
      <c r="R317" s="2">
        <v>9860.59</v>
      </c>
      <c r="S317" s="3">
        <v>1.62</v>
      </c>
      <c r="T317" s="2">
        <v>15966</v>
      </c>
      <c r="U317" s="13" t="s">
        <v>33</v>
      </c>
      <c r="V317" s="13" t="str">
        <f t="shared" si="31"/>
        <v>No</v>
      </c>
      <c r="W317" s="13" t="str">
        <f t="shared" si="31"/>
        <v>Yes</v>
      </c>
      <c r="X317" s="13" t="str">
        <f t="shared" si="31"/>
        <v>Yes</v>
      </c>
      <c r="Y317" s="13" t="str">
        <f t="shared" si="31"/>
        <v>No</v>
      </c>
      <c r="Z317" s="13" t="str">
        <f t="shared" si="31"/>
        <v>No</v>
      </c>
      <c r="AA317" s="71">
        <f>+(Table1[[#This Row],[Everyday price]]-Table1[[#This Row],[Promo Price]])/Table1[[#This Row],[Everyday price]]</f>
        <v>0.19928825622775803</v>
      </c>
      <c r="AB317" s="69">
        <v>2.25</v>
      </c>
      <c r="AC317" s="69">
        <v>2.81</v>
      </c>
      <c r="AD317" s="40" t="s">
        <v>1229</v>
      </c>
      <c r="AE317" s="5">
        <v>46020</v>
      </c>
      <c r="AF317" s="5">
        <v>46033</v>
      </c>
      <c r="AG317" s="20">
        <v>16846</v>
      </c>
      <c r="AH317" s="6">
        <v>12291</v>
      </c>
      <c r="AI317" s="11">
        <f>Table1[[#This Row],[Incremental Units]]/Table1[[#This Row],[Base Units]]</f>
        <v>0.72960940282559661</v>
      </c>
      <c r="AJ317" s="11">
        <f>IF(AND(ISNUMBER(Table1[[#This Row],[Lift  ]]),ISNUMBER(Table1[[#This Row],[Plan lift, %]]),Table1[[#This Row],[Plan lift, %]]&lt;&gt;0),Table1[[#This Row],[Lift  ]]-Table1[[#This Row],[Plan lift, %]],"")</f>
        <v>0.12960940282559663</v>
      </c>
      <c r="AK317" s="11"/>
      <c r="AL317" s="71" t="s">
        <v>1400</v>
      </c>
      <c r="AM317" s="4" t="s">
        <v>1313</v>
      </c>
    </row>
    <row r="318" spans="1:39" x14ac:dyDescent="0.35">
      <c r="A318" t="s">
        <v>216</v>
      </c>
      <c r="B318" s="82">
        <v>1270</v>
      </c>
      <c r="C318" s="21" t="s">
        <v>217</v>
      </c>
      <c r="D318" s="13" t="s">
        <v>1232</v>
      </c>
      <c r="E318" t="s">
        <v>218</v>
      </c>
      <c r="F318" s="21" t="s">
        <v>219</v>
      </c>
      <c r="G318" t="s">
        <v>23</v>
      </c>
      <c r="H318" s="14">
        <v>46143</v>
      </c>
      <c r="I318" s="14">
        <v>46156</v>
      </c>
      <c r="J318" s="13" t="s">
        <v>24</v>
      </c>
      <c r="L318" s="2">
        <v>30578.43</v>
      </c>
      <c r="M318" s="2">
        <v>25319.63</v>
      </c>
      <c r="N318" s="2">
        <v>15191.79</v>
      </c>
      <c r="O318" s="2">
        <v>40511.42</v>
      </c>
      <c r="P318" s="3">
        <v>0.6</v>
      </c>
      <c r="Q318" s="3"/>
      <c r="R318" s="2">
        <v>6945.14</v>
      </c>
      <c r="S318" s="3">
        <v>1.65</v>
      </c>
      <c r="T318" s="2">
        <v>11160</v>
      </c>
      <c r="U318" s="13" t="s">
        <v>33</v>
      </c>
      <c r="V318" s="13" t="str">
        <f t="shared" si="31"/>
        <v>No</v>
      </c>
      <c r="W318" s="13" t="str">
        <f t="shared" si="31"/>
        <v>Yes</v>
      </c>
      <c r="X318" s="13" t="str">
        <f t="shared" si="31"/>
        <v>Yes</v>
      </c>
      <c r="Y318" s="13" t="str">
        <f t="shared" si="31"/>
        <v>No</v>
      </c>
      <c r="Z318" s="13" t="str">
        <f t="shared" si="31"/>
        <v>No</v>
      </c>
      <c r="AA318" s="71">
        <f>+(Table1[[#This Row],[Everyday price]]-Table1[[#This Row],[Promo Price]])/Table1[[#This Row],[Everyday price]]</f>
        <v>0.3942652329749104</v>
      </c>
      <c r="AB318" s="69">
        <v>1.69</v>
      </c>
      <c r="AC318" s="69">
        <v>2.79</v>
      </c>
      <c r="AD318" s="40" t="s">
        <v>1251</v>
      </c>
      <c r="AE318" s="5">
        <v>46146</v>
      </c>
      <c r="AF318" s="5">
        <v>46152</v>
      </c>
      <c r="AG318" s="20">
        <v>7435</v>
      </c>
      <c r="AH318" s="6">
        <v>12120</v>
      </c>
      <c r="AI318" s="11">
        <f>Table1[[#This Row],[Incremental Units]]/Table1[[#This Row],[Base Units]]</f>
        <v>1.6301277740416946</v>
      </c>
      <c r="AJ318" s="11">
        <f>IF(AND(ISNUMBER(Table1[[#This Row],[Lift  ]]),ISNUMBER(Table1[[#This Row],[Plan lift, %]]),Table1[[#This Row],[Plan lift, %]]&lt;&gt;0),Table1[[#This Row],[Lift  ]]-Table1[[#This Row],[Plan lift, %]],"")</f>
        <v>1.0301277740416945</v>
      </c>
      <c r="AK318" s="11"/>
      <c r="AL318" s="71" t="s">
        <v>1400</v>
      </c>
      <c r="AM318" s="4" t="s">
        <v>1314</v>
      </c>
    </row>
    <row r="319" spans="1:39" x14ac:dyDescent="0.35">
      <c r="A319" t="s">
        <v>500</v>
      </c>
      <c r="B319" s="12">
        <v>1271</v>
      </c>
      <c r="C319" s="21" t="s">
        <v>217</v>
      </c>
      <c r="D319" s="13" t="s">
        <v>1232</v>
      </c>
      <c r="E319" t="s">
        <v>218</v>
      </c>
      <c r="F319" s="21" t="s">
        <v>501</v>
      </c>
      <c r="G319" t="s">
        <v>23</v>
      </c>
      <c r="H319" s="14">
        <v>46204</v>
      </c>
      <c r="I319" s="14">
        <v>46213</v>
      </c>
      <c r="J319" s="13" t="s">
        <v>24</v>
      </c>
      <c r="L319" s="2">
        <v>6658.21</v>
      </c>
      <c r="M319" s="2">
        <v>16155.2</v>
      </c>
      <c r="N319" s="2">
        <v>8077.63</v>
      </c>
      <c r="O319" s="2">
        <v>24232.83</v>
      </c>
      <c r="P319" s="3">
        <v>0.5</v>
      </c>
      <c r="Q319" s="3"/>
      <c r="R319" s="2">
        <v>0</v>
      </c>
      <c r="S319" s="3">
        <v>0</v>
      </c>
      <c r="T319" s="2">
        <v>0</v>
      </c>
      <c r="U319" s="13" t="s">
        <v>33</v>
      </c>
      <c r="V319" s="13" t="str">
        <f t="shared" si="31"/>
        <v>No</v>
      </c>
      <c r="W319" s="13" t="str">
        <f t="shared" si="31"/>
        <v>Yes</v>
      </c>
      <c r="X319" s="13" t="str">
        <f t="shared" si="31"/>
        <v>Yes</v>
      </c>
      <c r="Y319" s="13" t="str">
        <f t="shared" si="31"/>
        <v>No</v>
      </c>
      <c r="Z319" s="13" t="str">
        <f t="shared" si="31"/>
        <v>No</v>
      </c>
      <c r="AA319" s="71" t="e">
        <f>+(Table1[[#This Row],[Everyday price]]-Table1[[#This Row],[Promo Price]])/Table1[[#This Row],[Everyday price]]</f>
        <v>#DIV/0!</v>
      </c>
      <c r="AC319" s="69"/>
      <c r="AH319" s="6"/>
      <c r="AJ319" s="116" t="str">
        <f>IF(AND(ISNUMBER(Table1[[#This Row],[Lift  ]]),ISNUMBER(Table1[[#This Row],[Plan lift, %]]),Table1[[#This Row],[Plan lift, %]]&lt;&gt;0),Table1[[#This Row],[Lift  ]]-Table1[[#This Row],[Plan lift, %]],"")</f>
        <v/>
      </c>
      <c r="AK319" s="116"/>
    </row>
    <row r="320" spans="1:39" x14ac:dyDescent="0.35">
      <c r="A320" t="s">
        <v>1103</v>
      </c>
      <c r="B320" s="12">
        <v>1272</v>
      </c>
      <c r="C320" s="21" t="s">
        <v>217</v>
      </c>
      <c r="D320" s="13" t="s">
        <v>1232</v>
      </c>
      <c r="E320" t="s">
        <v>218</v>
      </c>
      <c r="F320" s="21" t="s">
        <v>1104</v>
      </c>
      <c r="G320" t="s">
        <v>44</v>
      </c>
      <c r="H320" s="14">
        <v>46266</v>
      </c>
      <c r="I320" s="14">
        <v>46295</v>
      </c>
      <c r="J320" s="13" t="s">
        <v>24</v>
      </c>
      <c r="L320" s="2">
        <v>34895.26</v>
      </c>
      <c r="M320" s="2">
        <v>42297.279999999999</v>
      </c>
      <c r="N320" s="2">
        <v>21148.65</v>
      </c>
      <c r="O320" s="2">
        <v>63445.93</v>
      </c>
      <c r="P320" s="3">
        <v>0.5</v>
      </c>
      <c r="Q320" s="3"/>
      <c r="R320" s="2">
        <v>0</v>
      </c>
      <c r="S320" s="3">
        <v>0</v>
      </c>
      <c r="T320" s="2">
        <v>0</v>
      </c>
      <c r="U320" s="13" t="s">
        <v>25</v>
      </c>
      <c r="V320" s="13" t="str">
        <f t="shared" si="31"/>
        <v>No</v>
      </c>
      <c r="W320" s="13" t="str">
        <f t="shared" si="31"/>
        <v>Yes</v>
      </c>
      <c r="X320" s="13" t="str">
        <f t="shared" si="31"/>
        <v>No</v>
      </c>
      <c r="Y320" s="13" t="str">
        <f t="shared" si="31"/>
        <v>No</v>
      </c>
      <c r="Z320" s="13" t="str">
        <f t="shared" si="31"/>
        <v>No</v>
      </c>
      <c r="AA320" s="71" t="e">
        <f>+(Table1[[#This Row],[Everyday price]]-Table1[[#This Row],[Promo Price]])/Table1[[#This Row],[Everyday price]]</f>
        <v>#DIV/0!</v>
      </c>
      <c r="AC320" s="69"/>
      <c r="AH320" s="6"/>
      <c r="AJ320" s="116" t="str">
        <f>IF(AND(ISNUMBER(Table1[[#This Row],[Lift  ]]),ISNUMBER(Table1[[#This Row],[Plan lift, %]]),Table1[[#This Row],[Plan lift, %]]&lt;&gt;0),Table1[[#This Row],[Lift  ]]-Table1[[#This Row],[Plan lift, %]],"")</f>
        <v/>
      </c>
      <c r="AK320" s="116"/>
    </row>
    <row r="321" spans="1:39" x14ac:dyDescent="0.35">
      <c r="A321" t="s">
        <v>550</v>
      </c>
      <c r="B321" s="12">
        <v>1273</v>
      </c>
      <c r="C321" s="21" t="s">
        <v>217</v>
      </c>
      <c r="D321" s="13" t="s">
        <v>1232</v>
      </c>
      <c r="E321" t="s">
        <v>218</v>
      </c>
      <c r="F321" s="21" t="s">
        <v>551</v>
      </c>
      <c r="G321" t="s">
        <v>44</v>
      </c>
      <c r="H321" s="14">
        <v>46327</v>
      </c>
      <c r="I321" s="14">
        <v>46356</v>
      </c>
      <c r="J321" s="13" t="s">
        <v>24</v>
      </c>
      <c r="L321" s="2">
        <v>19676.52</v>
      </c>
      <c r="M321" s="2">
        <v>52624.85</v>
      </c>
      <c r="N321" s="2">
        <v>23681.200000000001</v>
      </c>
      <c r="O321" s="2">
        <v>76306.05</v>
      </c>
      <c r="P321" s="3">
        <v>0.45</v>
      </c>
      <c r="Q321" s="3"/>
      <c r="R321" s="2">
        <v>0</v>
      </c>
      <c r="S321" s="3">
        <v>0</v>
      </c>
      <c r="T321" s="2">
        <v>0</v>
      </c>
      <c r="U321" s="13" t="s">
        <v>33</v>
      </c>
      <c r="V321" s="13" t="str">
        <f t="shared" si="31"/>
        <v>No</v>
      </c>
      <c r="W321" s="13" t="str">
        <f t="shared" si="31"/>
        <v>Yes</v>
      </c>
      <c r="X321" s="13" t="str">
        <f t="shared" si="31"/>
        <v>Yes</v>
      </c>
      <c r="Y321" s="13" t="str">
        <f t="shared" si="31"/>
        <v>No</v>
      </c>
      <c r="Z321" s="13" t="str">
        <f t="shared" si="31"/>
        <v>No</v>
      </c>
      <c r="AA321" s="71" t="e">
        <f>+(Table1[[#This Row],[Everyday price]]-Table1[[#This Row],[Promo Price]])/Table1[[#This Row],[Everyday price]]</f>
        <v>#DIV/0!</v>
      </c>
      <c r="AC321" s="69"/>
      <c r="AH321" s="6"/>
      <c r="AJ321" s="116" t="str">
        <f>IF(AND(ISNUMBER(Table1[[#This Row],[Lift  ]]),ISNUMBER(Table1[[#This Row],[Plan lift, %]]),Table1[[#This Row],[Plan lift, %]]&lt;&gt;0),Table1[[#This Row],[Lift  ]]-Table1[[#This Row],[Plan lift, %]],"")</f>
        <v/>
      </c>
      <c r="AK321" s="116"/>
    </row>
    <row r="322" spans="1:39" ht="43.5" x14ac:dyDescent="0.35">
      <c r="A322" t="s">
        <v>846</v>
      </c>
      <c r="B322" s="82">
        <v>1274</v>
      </c>
      <c r="C322" s="21" t="s">
        <v>234</v>
      </c>
      <c r="D322" s="13" t="s">
        <v>1230</v>
      </c>
      <c r="F322" t="s">
        <v>847</v>
      </c>
      <c r="G322" t="s">
        <v>23</v>
      </c>
      <c r="H322" s="1">
        <v>46023</v>
      </c>
      <c r="I322" s="1">
        <v>46053</v>
      </c>
      <c r="J322" s="13" t="s">
        <v>24</v>
      </c>
      <c r="L322" s="2">
        <v>1634.6</v>
      </c>
      <c r="M322" s="2">
        <v>3424.69</v>
      </c>
      <c r="N322" s="2">
        <v>513.71</v>
      </c>
      <c r="O322" s="2">
        <v>3938.4</v>
      </c>
      <c r="P322" s="3">
        <v>0.15</v>
      </c>
      <c r="Q322" s="3"/>
      <c r="R322" s="2">
        <v>0</v>
      </c>
      <c r="S322" s="3">
        <v>0</v>
      </c>
      <c r="T322" s="2">
        <v>0</v>
      </c>
      <c r="U322" t="s">
        <v>33</v>
      </c>
      <c r="V322" s="13" t="str">
        <f t="shared" ref="V322:Z331" si="32">IF(ISNUMBER(SEARCH(V$1,$U322)),"Yes","No")</f>
        <v>No</v>
      </c>
      <c r="W322" s="13" t="str">
        <f t="shared" si="32"/>
        <v>Yes</v>
      </c>
      <c r="X322" s="13" t="str">
        <f t="shared" si="32"/>
        <v>Yes</v>
      </c>
      <c r="Y322" s="13" t="str">
        <f t="shared" si="32"/>
        <v>No</v>
      </c>
      <c r="Z322" s="13" t="str">
        <f t="shared" si="32"/>
        <v>No</v>
      </c>
      <c r="AA322" s="71">
        <f>+(Table1[[#This Row],[Everyday price]]-Table1[[#This Row],[Promo Price]])/Table1[[#This Row],[Everyday price]]</f>
        <v>9.2178770949720684E-2</v>
      </c>
      <c r="AB322" s="69">
        <v>3.25</v>
      </c>
      <c r="AC322" s="69">
        <v>3.58</v>
      </c>
      <c r="AD322" s="15" t="s">
        <v>1229</v>
      </c>
      <c r="AE322" s="5">
        <v>46027</v>
      </c>
      <c r="AF322" s="5">
        <v>46054</v>
      </c>
      <c r="AG322" s="20">
        <v>2413</v>
      </c>
      <c r="AH322" s="6">
        <v>515</v>
      </c>
      <c r="AI322" s="11">
        <f>Table1[[#This Row],[Incremental Units]]/Table1[[#This Row],[Base Units]]</f>
        <v>0.21342726895980108</v>
      </c>
      <c r="AJ322" s="11">
        <f>IF(AND(ISNUMBER(Table1[[#This Row],[Lift  ]]),ISNUMBER(Table1[[#This Row],[Plan lift, %]]),Table1[[#This Row],[Plan lift, %]]&lt;&gt;0),Table1[[#This Row],[Lift  ]]-Table1[[#This Row],[Plan lift, %]],"")</f>
        <v>6.3427268959801081E-2</v>
      </c>
      <c r="AK322" s="11"/>
      <c r="AL322" s="71" t="s">
        <v>1400</v>
      </c>
      <c r="AM322" s="80" t="s">
        <v>1316</v>
      </c>
    </row>
    <row r="323" spans="1:39" ht="43.5" x14ac:dyDescent="0.35">
      <c r="A323" t="s">
        <v>233</v>
      </c>
      <c r="B323" s="82">
        <v>1275</v>
      </c>
      <c r="C323" s="21" t="s">
        <v>234</v>
      </c>
      <c r="D323" s="13" t="s">
        <v>1230</v>
      </c>
      <c r="F323" t="s">
        <v>235</v>
      </c>
      <c r="G323" t="s">
        <v>23</v>
      </c>
      <c r="H323" s="1">
        <v>46054</v>
      </c>
      <c r="I323" s="1">
        <v>46081</v>
      </c>
      <c r="J323" s="13" t="s">
        <v>24</v>
      </c>
      <c r="L323" s="2">
        <v>733.91</v>
      </c>
      <c r="M323" s="2">
        <v>2552.7399999999998</v>
      </c>
      <c r="N323" s="2">
        <v>382.91</v>
      </c>
      <c r="O323" s="2">
        <v>2935.65</v>
      </c>
      <c r="P323" s="3">
        <v>0.15</v>
      </c>
      <c r="Q323" s="3"/>
      <c r="R323" s="2">
        <v>0</v>
      </c>
      <c r="S323" s="3">
        <v>0</v>
      </c>
      <c r="T323" s="2">
        <v>0</v>
      </c>
      <c r="U323" t="s">
        <v>25</v>
      </c>
      <c r="V323" s="13" t="str">
        <f t="shared" si="32"/>
        <v>No</v>
      </c>
      <c r="W323" s="13" t="str">
        <f t="shared" si="32"/>
        <v>Yes</v>
      </c>
      <c r="X323" s="13" t="str">
        <f t="shared" si="32"/>
        <v>No</v>
      </c>
      <c r="Y323" s="13" t="str">
        <f t="shared" si="32"/>
        <v>No</v>
      </c>
      <c r="Z323" s="13" t="str">
        <f t="shared" si="32"/>
        <v>No</v>
      </c>
      <c r="AA323" s="71">
        <f>+(Table1[[#This Row],[Everyday price]]-Table1[[#This Row],[Promo Price]])/Table1[[#This Row],[Everyday price]]</f>
        <v>8.659217877094974E-2</v>
      </c>
      <c r="AB323" s="69">
        <v>3.27</v>
      </c>
      <c r="AC323" s="69">
        <v>3.58</v>
      </c>
      <c r="AD323" s="15" t="s">
        <v>1229</v>
      </c>
      <c r="AE323" s="5">
        <v>46055</v>
      </c>
      <c r="AF323" s="5">
        <v>46082</v>
      </c>
      <c r="AG323" s="6">
        <v>2832</v>
      </c>
      <c r="AH323" s="6">
        <v>483</v>
      </c>
      <c r="AI323" s="11">
        <f>Table1[[#This Row],[Incremental Units]]/Table1[[#This Row],[Base Units]]</f>
        <v>0.17055084745762711</v>
      </c>
      <c r="AJ323" s="11">
        <f>IF(AND(ISNUMBER(Table1[[#This Row],[Lift  ]]),ISNUMBER(Table1[[#This Row],[Plan lift, %]]),Table1[[#This Row],[Plan lift, %]]&lt;&gt;0),Table1[[#This Row],[Lift  ]]-Table1[[#This Row],[Plan lift, %]],"")</f>
        <v>2.0550847457627114E-2</v>
      </c>
      <c r="AK323" s="11"/>
      <c r="AL323" s="71" t="s">
        <v>1400</v>
      </c>
      <c r="AM323" s="80" t="s">
        <v>1317</v>
      </c>
    </row>
    <row r="324" spans="1:39" x14ac:dyDescent="0.35">
      <c r="A324" t="s">
        <v>733</v>
      </c>
      <c r="B324" s="44">
        <v>1276</v>
      </c>
      <c r="C324" s="21" t="s">
        <v>234</v>
      </c>
      <c r="D324" s="13" t="s">
        <v>1230</v>
      </c>
      <c r="F324" t="s">
        <v>734</v>
      </c>
      <c r="G324" t="s">
        <v>23</v>
      </c>
      <c r="H324" s="1">
        <v>46143</v>
      </c>
      <c r="I324" s="1">
        <v>46173</v>
      </c>
      <c r="J324" s="13" t="s">
        <v>24</v>
      </c>
      <c r="L324" s="2">
        <v>3636.78</v>
      </c>
      <c r="M324" s="2">
        <v>3107.45</v>
      </c>
      <c r="N324" s="2">
        <v>466.11</v>
      </c>
      <c r="O324" s="2">
        <v>3573.56</v>
      </c>
      <c r="P324" s="3">
        <v>0.15</v>
      </c>
      <c r="Q324" s="3"/>
      <c r="R324" s="2">
        <v>0</v>
      </c>
      <c r="S324" s="3">
        <v>0</v>
      </c>
      <c r="T324" s="2">
        <v>0</v>
      </c>
      <c r="U324" t="s">
        <v>33</v>
      </c>
      <c r="V324" s="13" t="str">
        <f t="shared" si="32"/>
        <v>No</v>
      </c>
      <c r="W324" s="13" t="str">
        <f t="shared" si="32"/>
        <v>Yes</v>
      </c>
      <c r="X324" s="13" t="str">
        <f t="shared" si="32"/>
        <v>Yes</v>
      </c>
      <c r="Y324" s="13" t="str">
        <f t="shared" si="32"/>
        <v>No</v>
      </c>
      <c r="Z324" s="13" t="str">
        <f t="shared" si="32"/>
        <v>No</v>
      </c>
      <c r="AA324" s="71" t="e">
        <f>+(Table1[[#This Row],[Everyday price]]-Table1[[#This Row],[Promo Price]])/Table1[[#This Row],[Everyday price]]</f>
        <v>#DIV/0!</v>
      </c>
      <c r="AC324" s="69"/>
      <c r="AD324" s="13"/>
      <c r="AG324" s="3"/>
      <c r="AH324" s="6"/>
      <c r="AI324" s="11"/>
      <c r="AJ324" s="11" t="str">
        <f>IF(AND(ISNUMBER(Table1[[#This Row],[Lift  ]]),ISNUMBER(Table1[[#This Row],[Plan lift, %]]),Table1[[#This Row],[Plan lift, %]]&lt;&gt;0),Table1[[#This Row],[Lift  ]]-Table1[[#This Row],[Plan lift, %]],"")</f>
        <v/>
      </c>
      <c r="AK324" s="11"/>
      <c r="AL324" s="71"/>
      <c r="AM324" s="4" t="s">
        <v>1318</v>
      </c>
    </row>
    <row r="325" spans="1:39" x14ac:dyDescent="0.35">
      <c r="A325" t="s">
        <v>543</v>
      </c>
      <c r="B325" s="82">
        <v>1277</v>
      </c>
      <c r="C325" s="21" t="s">
        <v>234</v>
      </c>
      <c r="D325" s="13" t="s">
        <v>1230</v>
      </c>
      <c r="F325" t="s">
        <v>544</v>
      </c>
      <c r="G325" t="s">
        <v>23</v>
      </c>
      <c r="H325" s="1">
        <v>46174</v>
      </c>
      <c r="I325" s="1">
        <v>46203</v>
      </c>
      <c r="J325" s="13" t="s">
        <v>24</v>
      </c>
      <c r="L325" s="2">
        <v>2510.5700000000002</v>
      </c>
      <c r="M325" s="2">
        <v>2335.42</v>
      </c>
      <c r="N325" s="2">
        <v>2685.73</v>
      </c>
      <c r="O325" s="2">
        <v>5021.1499999999996</v>
      </c>
      <c r="P325" s="3">
        <v>1.1499999999999999</v>
      </c>
      <c r="Q325" s="3"/>
      <c r="R325" s="2">
        <v>0</v>
      </c>
      <c r="S325" s="3">
        <v>0</v>
      </c>
      <c r="T325" s="2">
        <v>0</v>
      </c>
      <c r="U325" t="s">
        <v>25</v>
      </c>
      <c r="V325" s="13" t="str">
        <f t="shared" si="32"/>
        <v>No</v>
      </c>
      <c r="W325" s="13" t="str">
        <f t="shared" si="32"/>
        <v>Yes</v>
      </c>
      <c r="X325" s="13" t="str">
        <f t="shared" si="32"/>
        <v>No</v>
      </c>
      <c r="Y325" s="13" t="str">
        <f t="shared" si="32"/>
        <v>No</v>
      </c>
      <c r="Z325" s="13" t="str">
        <f t="shared" si="32"/>
        <v>No</v>
      </c>
      <c r="AA325" s="71">
        <f>+(Table1[[#This Row],[Everyday price]]-Table1[[#This Row],[Promo Price]])/Table1[[#This Row],[Everyday price]]</f>
        <v>3.7634408602150567E-2</v>
      </c>
      <c r="AB325" s="69">
        <v>3.58</v>
      </c>
      <c r="AC325" s="69">
        <v>3.72</v>
      </c>
      <c r="AD325" s="15" t="s">
        <v>1251</v>
      </c>
      <c r="AE325" s="5">
        <v>46174</v>
      </c>
      <c r="AF325" s="76">
        <v>46201</v>
      </c>
      <c r="AG325" s="20">
        <v>3203</v>
      </c>
      <c r="AH325" s="6">
        <v>391</v>
      </c>
      <c r="AI325" s="11">
        <f>Table1[[#This Row],[Incremental Units]]/Table1[[#This Row],[Base Units]]</f>
        <v>0.12207305650952233</v>
      </c>
      <c r="AJ325" s="11">
        <f>IF(AND(ISNUMBER(Table1[[#This Row],[Lift  ]]),ISNUMBER(Table1[[#This Row],[Plan lift, %]]),Table1[[#This Row],[Plan lift, %]]&lt;&gt;0),Table1[[#This Row],[Lift  ]]-Table1[[#This Row],[Plan lift, %]],"")</f>
        <v>-1.0279269434904776</v>
      </c>
      <c r="AK325" s="11"/>
      <c r="AL325" s="71" t="s">
        <v>1400</v>
      </c>
      <c r="AM325" s="4" t="s">
        <v>1319</v>
      </c>
    </row>
    <row r="326" spans="1:39" x14ac:dyDescent="0.35">
      <c r="A326" t="s">
        <v>885</v>
      </c>
      <c r="B326" s="12">
        <v>1278</v>
      </c>
      <c r="C326" s="21" t="s">
        <v>234</v>
      </c>
      <c r="D326" s="13" t="s">
        <v>1230</v>
      </c>
      <c r="F326" t="s">
        <v>886</v>
      </c>
      <c r="G326" t="s">
        <v>44</v>
      </c>
      <c r="H326" s="1">
        <v>46266</v>
      </c>
      <c r="I326" s="1">
        <v>46295</v>
      </c>
      <c r="J326" s="13" t="s">
        <v>24</v>
      </c>
      <c r="L326" s="2">
        <v>1321.43</v>
      </c>
      <c r="M326" s="2">
        <v>2335.42</v>
      </c>
      <c r="N326" s="2">
        <v>350.31</v>
      </c>
      <c r="O326" s="2">
        <v>2685.73</v>
      </c>
      <c r="P326" s="3">
        <v>0.15</v>
      </c>
      <c r="Q326" s="3"/>
      <c r="R326" s="2">
        <v>0</v>
      </c>
      <c r="S326" s="3">
        <v>0</v>
      </c>
      <c r="T326" s="2">
        <v>0</v>
      </c>
      <c r="U326" t="s">
        <v>33</v>
      </c>
      <c r="V326" s="13" t="str">
        <f t="shared" si="32"/>
        <v>No</v>
      </c>
      <c r="W326" s="13" t="str">
        <f t="shared" si="32"/>
        <v>Yes</v>
      </c>
      <c r="X326" s="13" t="str">
        <f t="shared" si="32"/>
        <v>Yes</v>
      </c>
      <c r="Y326" s="13" t="str">
        <f t="shared" si="32"/>
        <v>No</v>
      </c>
      <c r="Z326" s="13" t="str">
        <f t="shared" si="32"/>
        <v>No</v>
      </c>
      <c r="AA326" s="71" t="e">
        <f>+(Table1[[#This Row],[Everyday price]]-Table1[[#This Row],[Promo Price]])/Table1[[#This Row],[Everyday price]]</f>
        <v>#DIV/0!</v>
      </c>
      <c r="AC326" s="69"/>
      <c r="AD326" s="13"/>
      <c r="AH326" s="6"/>
      <c r="AI326" s="11"/>
      <c r="AJ326" s="11" t="str">
        <f>IF(AND(ISNUMBER(Table1[[#This Row],[Lift  ]]),ISNUMBER(Table1[[#This Row],[Plan lift, %]]),Table1[[#This Row],[Plan lift, %]]&lt;&gt;0),Table1[[#This Row],[Lift  ]]-Table1[[#This Row],[Plan lift, %]],"")</f>
        <v/>
      </c>
      <c r="AK326" s="116"/>
      <c r="AL326" s="71"/>
    </row>
    <row r="327" spans="1:39" x14ac:dyDescent="0.35">
      <c r="A327" t="s">
        <v>741</v>
      </c>
      <c r="B327" s="12">
        <v>1279</v>
      </c>
      <c r="C327" s="21" t="s">
        <v>234</v>
      </c>
      <c r="D327" s="13" t="s">
        <v>1230</v>
      </c>
      <c r="F327" t="s">
        <v>742</v>
      </c>
      <c r="G327" t="s">
        <v>44</v>
      </c>
      <c r="H327" s="1">
        <v>46296</v>
      </c>
      <c r="I327" s="1">
        <v>46326</v>
      </c>
      <c r="J327" s="13" t="s">
        <v>24</v>
      </c>
      <c r="L327" s="2">
        <v>870.07</v>
      </c>
      <c r="M327" s="2">
        <v>3026.35</v>
      </c>
      <c r="N327" s="2">
        <v>453.96</v>
      </c>
      <c r="O327" s="2">
        <v>3480.31</v>
      </c>
      <c r="P327" s="3">
        <v>0.15</v>
      </c>
      <c r="Q327" s="3"/>
      <c r="R327" s="2">
        <v>0</v>
      </c>
      <c r="S327" s="3">
        <v>0</v>
      </c>
      <c r="T327" s="2">
        <v>0</v>
      </c>
      <c r="U327" t="s">
        <v>25</v>
      </c>
      <c r="V327" s="13" t="str">
        <f t="shared" si="32"/>
        <v>No</v>
      </c>
      <c r="W327" s="13" t="str">
        <f t="shared" si="32"/>
        <v>Yes</v>
      </c>
      <c r="X327" s="13" t="str">
        <f t="shared" si="32"/>
        <v>No</v>
      </c>
      <c r="Y327" s="13" t="str">
        <f t="shared" si="32"/>
        <v>No</v>
      </c>
      <c r="Z327" s="13" t="str">
        <f t="shared" si="32"/>
        <v>No</v>
      </c>
      <c r="AA327" s="71" t="e">
        <f>+(Table1[[#This Row],[Everyday price]]-Table1[[#This Row],[Promo Price]])/Table1[[#This Row],[Everyday price]]</f>
        <v>#DIV/0!</v>
      </c>
      <c r="AC327" s="69"/>
      <c r="AD327" s="13"/>
      <c r="AH327" s="6"/>
      <c r="AI327" s="11"/>
      <c r="AJ327" s="11" t="str">
        <f>IF(AND(ISNUMBER(Table1[[#This Row],[Lift  ]]),ISNUMBER(Table1[[#This Row],[Plan lift, %]]),Table1[[#This Row],[Plan lift, %]]&lt;&gt;0),Table1[[#This Row],[Lift  ]]-Table1[[#This Row],[Plan lift, %]],"")</f>
        <v/>
      </c>
      <c r="AK327" s="116"/>
      <c r="AL327" s="71"/>
    </row>
    <row r="328" spans="1:39" x14ac:dyDescent="0.35">
      <c r="A328" t="s">
        <v>517</v>
      </c>
      <c r="B328" s="143">
        <v>1280</v>
      </c>
      <c r="C328" s="21" t="s">
        <v>178</v>
      </c>
      <c r="D328" s="13" t="s">
        <v>1230</v>
      </c>
      <c r="F328" t="s">
        <v>518</v>
      </c>
      <c r="G328" t="s">
        <v>23</v>
      </c>
      <c r="H328" s="1">
        <v>46025</v>
      </c>
      <c r="I328" s="1">
        <v>46053</v>
      </c>
      <c r="J328" s="13" t="s">
        <v>24</v>
      </c>
      <c r="L328" s="2">
        <v>8779.08</v>
      </c>
      <c r="M328" s="2">
        <v>8890.8799999999992</v>
      </c>
      <c r="N328" s="2">
        <v>2667.26</v>
      </c>
      <c r="O328" s="2">
        <v>11558.14</v>
      </c>
      <c r="P328" s="3">
        <v>0.3</v>
      </c>
      <c r="Q328" s="3"/>
      <c r="R328" s="2">
        <v>0</v>
      </c>
      <c r="S328" s="3">
        <v>0</v>
      </c>
      <c r="T328" s="2">
        <v>8911.07</v>
      </c>
      <c r="U328" t="s">
        <v>33</v>
      </c>
      <c r="V328" s="13" t="str">
        <f t="shared" si="32"/>
        <v>No</v>
      </c>
      <c r="W328" s="13" t="str">
        <f t="shared" si="32"/>
        <v>Yes</v>
      </c>
      <c r="X328" s="13" t="str">
        <f t="shared" si="32"/>
        <v>Yes</v>
      </c>
      <c r="Y328" s="13" t="str">
        <f t="shared" si="32"/>
        <v>No</v>
      </c>
      <c r="Z328" s="13" t="str">
        <f t="shared" si="32"/>
        <v>No</v>
      </c>
      <c r="AA328" s="71">
        <f>+(Table1[[#This Row],[Everyday price]]-Table1[[#This Row],[Promo Price]])/Table1[[#This Row],[Everyday price]]</f>
        <v>0.25626740947075211</v>
      </c>
      <c r="AB328" s="69">
        <v>2.67</v>
      </c>
      <c r="AC328" s="69">
        <v>3.59</v>
      </c>
      <c r="AD328" s="13" t="s">
        <v>1229</v>
      </c>
      <c r="AE328" s="5">
        <v>46027</v>
      </c>
      <c r="AF328" s="5">
        <v>46054</v>
      </c>
      <c r="AG328" s="20">
        <v>6876</v>
      </c>
      <c r="AH328" s="6">
        <v>1908</v>
      </c>
      <c r="AI328" s="11">
        <f>Table1[[#This Row],[Incremental Units]]/Table1[[#This Row],[Base Units]]</f>
        <v>0.27748691099476441</v>
      </c>
      <c r="AJ328" s="11">
        <f>IF(AND(ISNUMBER(Table1[[#This Row],[Lift  ]]),ISNUMBER(Table1[[#This Row],[Plan lift, %]]),Table1[[#This Row],[Plan lift, %]]&lt;&gt;0),Table1[[#This Row],[Lift  ]]-Table1[[#This Row],[Plan lift, %]],"")</f>
        <v>-2.2513089005235576E-2</v>
      </c>
      <c r="AK328" s="116"/>
      <c r="AL328" s="71" t="s">
        <v>1400</v>
      </c>
      <c r="AM328" t="s">
        <v>1566</v>
      </c>
    </row>
    <row r="329" spans="1:39" x14ac:dyDescent="0.35">
      <c r="A329" t="s">
        <v>398</v>
      </c>
      <c r="B329" s="143">
        <v>1281</v>
      </c>
      <c r="C329" s="21" t="s">
        <v>178</v>
      </c>
      <c r="D329" s="13" t="s">
        <v>1230</v>
      </c>
      <c r="F329" t="s">
        <v>399</v>
      </c>
      <c r="G329" t="s">
        <v>23</v>
      </c>
      <c r="H329" s="1">
        <v>46054</v>
      </c>
      <c r="I329" s="1">
        <v>46078</v>
      </c>
      <c r="J329" s="13" t="s">
        <v>24</v>
      </c>
      <c r="L329" s="2">
        <v>4301.3999999999996</v>
      </c>
      <c r="M329" s="2">
        <v>6617.52</v>
      </c>
      <c r="N329" s="2">
        <v>1985.25</v>
      </c>
      <c r="O329" s="2">
        <v>8602.77</v>
      </c>
      <c r="P329" s="3">
        <v>0.3</v>
      </c>
      <c r="Q329" s="3"/>
      <c r="R329" s="2">
        <v>0</v>
      </c>
      <c r="S329" s="3">
        <v>0</v>
      </c>
      <c r="T329" s="2">
        <v>7908.58</v>
      </c>
      <c r="U329" t="s">
        <v>25</v>
      </c>
      <c r="V329" s="13" t="str">
        <f t="shared" si="32"/>
        <v>No</v>
      </c>
      <c r="W329" s="13" t="str">
        <f t="shared" si="32"/>
        <v>Yes</v>
      </c>
      <c r="X329" s="13" t="str">
        <f t="shared" si="32"/>
        <v>No</v>
      </c>
      <c r="Y329" s="13" t="str">
        <f t="shared" si="32"/>
        <v>No</v>
      </c>
      <c r="Z329" s="13" t="str">
        <f t="shared" si="32"/>
        <v>No</v>
      </c>
      <c r="AA329" s="71">
        <f>+(Table1[[#This Row],[Everyday price]]-Table1[[#This Row],[Promo Price]])/Table1[[#This Row],[Everyday price]]</f>
        <v>0.25069637883008355</v>
      </c>
      <c r="AB329" s="69">
        <v>2.69</v>
      </c>
      <c r="AC329" s="69">
        <v>3.59</v>
      </c>
      <c r="AD329" s="13" t="s">
        <v>1229</v>
      </c>
      <c r="AE329" s="5">
        <v>46055</v>
      </c>
      <c r="AF329" s="5">
        <v>46075</v>
      </c>
      <c r="AG329" s="20">
        <v>5157</v>
      </c>
      <c r="AH329" s="6">
        <v>1606</v>
      </c>
      <c r="AI329" s="11">
        <f>Table1[[#This Row],[Incremental Units]]/Table1[[#This Row],[Base Units]]</f>
        <v>0.31142136901299206</v>
      </c>
      <c r="AJ329" s="11">
        <f>IF(AND(ISNUMBER(Table1[[#This Row],[Lift  ]]),ISNUMBER(Table1[[#This Row],[Plan lift, %]]),Table1[[#This Row],[Plan lift, %]]&lt;&gt;0),Table1[[#This Row],[Lift  ]]-Table1[[#This Row],[Plan lift, %]],"")</f>
        <v>1.1421369012992066E-2</v>
      </c>
      <c r="AK329" s="116"/>
      <c r="AL329" s="71" t="s">
        <v>1400</v>
      </c>
    </row>
    <row r="330" spans="1:39" x14ac:dyDescent="0.35">
      <c r="A330" t="s">
        <v>767</v>
      </c>
      <c r="B330" s="131">
        <v>1282</v>
      </c>
      <c r="C330" s="21" t="s">
        <v>178</v>
      </c>
      <c r="D330" s="13" t="s">
        <v>1230</v>
      </c>
      <c r="F330" t="s">
        <v>768</v>
      </c>
      <c r="G330" t="s">
        <v>23</v>
      </c>
      <c r="H330" s="1">
        <v>46142</v>
      </c>
      <c r="I330" s="1">
        <v>46173</v>
      </c>
      <c r="J330" s="13" t="s">
        <v>24</v>
      </c>
      <c r="L330" s="2">
        <v>3348.09</v>
      </c>
      <c r="M330" s="2">
        <v>9300.27</v>
      </c>
      <c r="N330" s="2">
        <v>1860.06</v>
      </c>
      <c r="O330" s="2">
        <v>11160.33</v>
      </c>
      <c r="P330" s="3">
        <v>0.2</v>
      </c>
      <c r="Q330" s="3"/>
      <c r="R330" s="2">
        <v>0</v>
      </c>
      <c r="S330" s="3">
        <v>0</v>
      </c>
      <c r="T330" s="2">
        <v>9950.14</v>
      </c>
      <c r="U330" t="s">
        <v>25</v>
      </c>
      <c r="V330" s="13" t="str">
        <f t="shared" si="32"/>
        <v>No</v>
      </c>
      <c r="W330" s="13" t="str">
        <f t="shared" si="32"/>
        <v>Yes</v>
      </c>
      <c r="X330" s="13" t="str">
        <f t="shared" si="32"/>
        <v>No</v>
      </c>
      <c r="Y330" s="13" t="str">
        <f t="shared" si="32"/>
        <v>No</v>
      </c>
      <c r="Z330" s="13" t="str">
        <f t="shared" si="32"/>
        <v>No</v>
      </c>
      <c r="AA330" s="71" t="e">
        <f>+(Table1[[#This Row],[Everyday price]]-Table1[[#This Row],[Promo Price]])/Table1[[#This Row],[Everyday price]]</f>
        <v>#DIV/0!</v>
      </c>
      <c r="AC330" s="69"/>
      <c r="AD330" s="13"/>
      <c r="AH330" s="6"/>
      <c r="AI330" s="11"/>
      <c r="AJ330" s="11" t="str">
        <f>IF(AND(ISNUMBER(Table1[[#This Row],[Lift  ]]),ISNUMBER(Table1[[#This Row],[Plan lift, %]]),Table1[[#This Row],[Plan lift, %]]&lt;&gt;0),Table1[[#This Row],[Lift  ]]-Table1[[#This Row],[Plan lift, %]],"")</f>
        <v/>
      </c>
      <c r="AK330" s="116"/>
    </row>
    <row r="331" spans="1:39" x14ac:dyDescent="0.35">
      <c r="A331" t="s">
        <v>177</v>
      </c>
      <c r="B331" s="143">
        <v>1283</v>
      </c>
      <c r="C331" s="21" t="s">
        <v>178</v>
      </c>
      <c r="D331" s="13" t="s">
        <v>1230</v>
      </c>
      <c r="F331" t="s">
        <v>179</v>
      </c>
      <c r="G331" t="s">
        <v>23</v>
      </c>
      <c r="H331" s="1">
        <v>46174</v>
      </c>
      <c r="I331" s="1">
        <v>46197</v>
      </c>
      <c r="J331" s="13" t="s">
        <v>24</v>
      </c>
      <c r="L331" s="2">
        <v>2951.92</v>
      </c>
      <c r="M331" s="2">
        <v>5422.02</v>
      </c>
      <c r="N331" s="2">
        <v>1084.4100000000001</v>
      </c>
      <c r="O331" s="2">
        <v>6506.43</v>
      </c>
      <c r="P331" s="3">
        <v>0.2</v>
      </c>
      <c r="Q331" s="3"/>
      <c r="R331" s="2">
        <v>0</v>
      </c>
      <c r="S331" s="3">
        <v>0</v>
      </c>
      <c r="T331" s="2">
        <v>8141.88</v>
      </c>
      <c r="U331" t="s">
        <v>33</v>
      </c>
      <c r="V331" s="13" t="str">
        <f t="shared" si="32"/>
        <v>No</v>
      </c>
      <c r="W331" s="13" t="str">
        <f t="shared" si="32"/>
        <v>Yes</v>
      </c>
      <c r="X331" s="13" t="str">
        <f t="shared" si="32"/>
        <v>Yes</v>
      </c>
      <c r="Y331" s="13" t="str">
        <f t="shared" si="32"/>
        <v>No</v>
      </c>
      <c r="Z331" s="13" t="str">
        <f t="shared" si="32"/>
        <v>No</v>
      </c>
      <c r="AA331" s="71">
        <f>+(Table1[[#This Row],[Everyday price]]-Table1[[#This Row],[Promo Price]])/Table1[[#This Row],[Everyday price]]</f>
        <v>0.21230769230769228</v>
      </c>
      <c r="AB331" s="69">
        <v>2.56</v>
      </c>
      <c r="AC331" s="69">
        <v>3.25</v>
      </c>
      <c r="AD331" s="13" t="s">
        <v>1257</v>
      </c>
      <c r="AE331" s="5">
        <v>46167</v>
      </c>
      <c r="AF331" s="5">
        <v>46194</v>
      </c>
      <c r="AG331" s="20">
        <v>8368</v>
      </c>
      <c r="AH331" s="6">
        <v>2852</v>
      </c>
      <c r="AI331" s="11">
        <f>Table1[[#This Row],[Incremental Units]]/Table1[[#This Row],[Base Units]]</f>
        <v>0.3408221797323136</v>
      </c>
      <c r="AJ331" s="11">
        <f>IF(AND(ISNUMBER(Table1[[#This Row],[Lift  ]]),ISNUMBER(Table1[[#This Row],[Plan lift, %]]),Table1[[#This Row],[Plan lift, %]]&lt;&gt;0),Table1[[#This Row],[Lift  ]]-Table1[[#This Row],[Plan lift, %]],"")</f>
        <v>0.14082217973231359</v>
      </c>
      <c r="AK331" s="116"/>
      <c r="AL331" s="13" t="s">
        <v>1434</v>
      </c>
    </row>
    <row r="332" spans="1:39" x14ac:dyDescent="0.35">
      <c r="A332" t="s">
        <v>987</v>
      </c>
      <c r="B332" s="12">
        <v>1284</v>
      </c>
      <c r="C332" s="21" t="s">
        <v>178</v>
      </c>
      <c r="D332" s="13" t="s">
        <v>1230</v>
      </c>
      <c r="F332" t="s">
        <v>988</v>
      </c>
      <c r="G332" t="s">
        <v>44</v>
      </c>
      <c r="H332" s="1">
        <v>46261</v>
      </c>
      <c r="I332" s="1">
        <v>46295</v>
      </c>
      <c r="J332" s="13" t="s">
        <v>24</v>
      </c>
      <c r="L332" s="2">
        <v>3941.44</v>
      </c>
      <c r="M332" s="2">
        <v>8170.68</v>
      </c>
      <c r="N332" s="2">
        <v>1634.13</v>
      </c>
      <c r="O332" s="2">
        <v>9804.81</v>
      </c>
      <c r="P332" s="3">
        <v>0.2</v>
      </c>
      <c r="Q332" s="3"/>
      <c r="R332" s="2">
        <v>0</v>
      </c>
      <c r="S332" s="3">
        <v>0</v>
      </c>
      <c r="T332" s="2">
        <v>0</v>
      </c>
      <c r="U332" t="s">
        <v>33</v>
      </c>
      <c r="V332" s="13" t="str">
        <f t="shared" ref="V332:Z341" si="33">IF(ISNUMBER(SEARCH(V$1,$U332)),"Yes","No")</f>
        <v>No</v>
      </c>
      <c r="W332" s="13" t="str">
        <f t="shared" si="33"/>
        <v>Yes</v>
      </c>
      <c r="X332" s="13" t="str">
        <f t="shared" si="33"/>
        <v>Yes</v>
      </c>
      <c r="Y332" s="13" t="str">
        <f t="shared" si="33"/>
        <v>No</v>
      </c>
      <c r="Z332" s="13" t="str">
        <f t="shared" si="33"/>
        <v>No</v>
      </c>
      <c r="AA332" s="71" t="e">
        <f>+(Table1[[#This Row],[Everyday price]]-Table1[[#This Row],[Promo Price]])/Table1[[#This Row],[Everyday price]]</f>
        <v>#DIV/0!</v>
      </c>
      <c r="AC332" s="69"/>
      <c r="AD332" s="13"/>
      <c r="AH332" s="6"/>
      <c r="AJ332" s="116" t="str">
        <f>IF(AND(ISNUMBER(Table1[[#This Row],[Lift  ]]),ISNUMBER(Table1[[#This Row],[Plan lift, %]]),Table1[[#This Row],[Plan lift, %]]&lt;&gt;0),Table1[[#This Row],[Lift  ]]-Table1[[#This Row],[Plan lift, %]],"")</f>
        <v/>
      </c>
      <c r="AK332" s="116"/>
    </row>
    <row r="333" spans="1:39" x14ac:dyDescent="0.35">
      <c r="A333" t="s">
        <v>938</v>
      </c>
      <c r="B333" s="12">
        <v>1285</v>
      </c>
      <c r="C333" s="21" t="s">
        <v>178</v>
      </c>
      <c r="D333" s="13" t="s">
        <v>1230</v>
      </c>
      <c r="F333" t="s">
        <v>939</v>
      </c>
      <c r="G333" t="s">
        <v>44</v>
      </c>
      <c r="H333" s="1">
        <v>46296</v>
      </c>
      <c r="I333" s="1">
        <v>46323</v>
      </c>
      <c r="J333" s="13" t="s">
        <v>24</v>
      </c>
      <c r="L333" s="2">
        <v>2846.55</v>
      </c>
      <c r="M333" s="2">
        <v>7907.1</v>
      </c>
      <c r="N333" s="2">
        <v>1581.42</v>
      </c>
      <c r="O333" s="2">
        <v>9488.52</v>
      </c>
      <c r="P333" s="3">
        <v>0.2</v>
      </c>
      <c r="Q333" s="3"/>
      <c r="R333" s="2">
        <v>0</v>
      </c>
      <c r="S333" s="3">
        <v>0</v>
      </c>
      <c r="T333" s="2">
        <v>0</v>
      </c>
      <c r="U333" t="s">
        <v>25</v>
      </c>
      <c r="V333" s="13" t="str">
        <f t="shared" si="33"/>
        <v>No</v>
      </c>
      <c r="W333" s="13" t="str">
        <f t="shared" si="33"/>
        <v>Yes</v>
      </c>
      <c r="X333" s="13" t="str">
        <f t="shared" si="33"/>
        <v>No</v>
      </c>
      <c r="Y333" s="13" t="str">
        <f t="shared" si="33"/>
        <v>No</v>
      </c>
      <c r="Z333" s="13" t="str">
        <f t="shared" si="33"/>
        <v>No</v>
      </c>
      <c r="AA333" s="71" t="e">
        <f>+(Table1[[#This Row],[Everyday price]]-Table1[[#This Row],[Promo Price]])/Table1[[#This Row],[Everyday price]]</f>
        <v>#DIV/0!</v>
      </c>
      <c r="AC333" s="69"/>
      <c r="AD333" s="13"/>
      <c r="AH333" s="6"/>
      <c r="AJ333" s="116" t="str">
        <f>IF(AND(ISNUMBER(Table1[[#This Row],[Lift  ]]),ISNUMBER(Table1[[#This Row],[Plan lift, %]]),Table1[[#This Row],[Plan lift, %]]&lt;&gt;0),Table1[[#This Row],[Lift  ]]-Table1[[#This Row],[Plan lift, %]],"")</f>
        <v/>
      </c>
      <c r="AK333" s="116"/>
    </row>
    <row r="334" spans="1:39" x14ac:dyDescent="0.35">
      <c r="A334" t="s">
        <v>1107</v>
      </c>
      <c r="B334" s="82">
        <v>1076</v>
      </c>
      <c r="C334" s="21" t="s">
        <v>475</v>
      </c>
      <c r="D334" s="13" t="s">
        <v>1232</v>
      </c>
      <c r="F334" s="21" t="s">
        <v>1108</v>
      </c>
      <c r="G334" t="s">
        <v>23</v>
      </c>
      <c r="H334" s="14">
        <v>46054</v>
      </c>
      <c r="I334" s="14">
        <v>46081</v>
      </c>
      <c r="J334" s="13" t="s">
        <v>24</v>
      </c>
      <c r="L334" s="2">
        <v>1775.8</v>
      </c>
      <c r="M334" s="2">
        <v>4553.32</v>
      </c>
      <c r="N334" s="2">
        <v>1366</v>
      </c>
      <c r="O334" s="2">
        <v>5919.32</v>
      </c>
      <c r="P334" s="3">
        <v>0.3</v>
      </c>
      <c r="Q334" s="3"/>
      <c r="R334" s="2">
        <v>2810.58</v>
      </c>
      <c r="S334" s="3">
        <v>0.38</v>
      </c>
      <c r="T334" s="2">
        <v>10140</v>
      </c>
      <c r="U334" s="13" t="s">
        <v>25</v>
      </c>
      <c r="V334" s="13" t="str">
        <f t="shared" si="33"/>
        <v>No</v>
      </c>
      <c r="W334" s="13" t="str">
        <f t="shared" si="33"/>
        <v>Yes</v>
      </c>
      <c r="X334" s="13" t="str">
        <f t="shared" si="33"/>
        <v>No</v>
      </c>
      <c r="Y334" s="13" t="str">
        <f t="shared" si="33"/>
        <v>No</v>
      </c>
      <c r="Z334" s="13" t="str">
        <f t="shared" si="33"/>
        <v>No</v>
      </c>
      <c r="AA334" s="71">
        <f>+(Table1[[#This Row],[Everyday price]]-Table1[[#This Row],[Promo Price]])/Table1[[#This Row],[Everyday price]]</f>
        <v>0.1007194244604316</v>
      </c>
      <c r="AB334" s="69">
        <v>2.5</v>
      </c>
      <c r="AC334" s="69">
        <v>2.78</v>
      </c>
      <c r="AD334" s="40" t="s">
        <v>1257</v>
      </c>
      <c r="AE334" s="5">
        <v>46048</v>
      </c>
      <c r="AF334" s="5">
        <v>46089</v>
      </c>
      <c r="AG334" s="20">
        <v>4468</v>
      </c>
      <c r="AH334" s="6">
        <v>1929</v>
      </c>
      <c r="AI334" s="11">
        <f>Table1[[#This Row],[Incremental Units]]/Table1[[#This Row],[Base Units]]</f>
        <v>0.43173679498657119</v>
      </c>
      <c r="AJ334" s="11">
        <f>IF(AND(ISNUMBER(Table1[[#This Row],[Lift  ]]),ISNUMBER(Table1[[#This Row],[Plan lift, %]]),Table1[[#This Row],[Plan lift, %]]&lt;&gt;0),Table1[[#This Row],[Lift  ]]-Table1[[#This Row],[Plan lift, %]],"")</f>
        <v>0.1317367949865712</v>
      </c>
      <c r="AK334" s="11"/>
      <c r="AL334" s="71" t="s">
        <v>1400</v>
      </c>
      <c r="AM334" s="4" t="s">
        <v>1321</v>
      </c>
    </row>
    <row r="335" spans="1:39" x14ac:dyDescent="0.35">
      <c r="A335" t="s">
        <v>635</v>
      </c>
      <c r="B335" s="93" t="s">
        <v>1348</v>
      </c>
      <c r="C335" s="21" t="s">
        <v>475</v>
      </c>
      <c r="D335" s="13" t="s">
        <v>1232</v>
      </c>
      <c r="F335" s="21" t="s">
        <v>636</v>
      </c>
      <c r="G335" t="s">
        <v>23</v>
      </c>
      <c r="H335" s="14">
        <v>46082</v>
      </c>
      <c r="I335" s="14">
        <v>46111</v>
      </c>
      <c r="J335" s="13" t="s">
        <v>24</v>
      </c>
      <c r="L335" s="2">
        <v>1556.73</v>
      </c>
      <c r="M335" s="2">
        <v>4324.24</v>
      </c>
      <c r="N335" s="2">
        <v>864.85</v>
      </c>
      <c r="O335" s="2">
        <v>5189.09</v>
      </c>
      <c r="P335" s="3">
        <v>0.2</v>
      </c>
      <c r="Q335" s="3"/>
      <c r="R335" s="2">
        <v>60.87</v>
      </c>
      <c r="S335" s="3">
        <v>0.01</v>
      </c>
      <c r="T335" s="2">
        <v>6023.13</v>
      </c>
      <c r="U335" s="13" t="s">
        <v>25</v>
      </c>
      <c r="V335" s="13" t="str">
        <f t="shared" si="33"/>
        <v>No</v>
      </c>
      <c r="W335" s="13" t="str">
        <f t="shared" si="33"/>
        <v>Yes</v>
      </c>
      <c r="X335" s="13" t="str">
        <f t="shared" si="33"/>
        <v>No</v>
      </c>
      <c r="Y335" s="13" t="str">
        <f t="shared" si="33"/>
        <v>No</v>
      </c>
      <c r="Z335" s="13" t="str">
        <f t="shared" si="33"/>
        <v>No</v>
      </c>
      <c r="AA335" s="71">
        <f>+(Table1[[#This Row],[Everyday price]]-Table1[[#This Row],[Promo Price]])/Table1[[#This Row],[Everyday price]]</f>
        <v>0.16107382550335569</v>
      </c>
      <c r="AB335" s="69">
        <v>2.5</v>
      </c>
      <c r="AC335" s="69">
        <v>2.98</v>
      </c>
      <c r="AD335" s="40" t="s">
        <v>1256</v>
      </c>
      <c r="AE335" s="5">
        <v>46139</v>
      </c>
      <c r="AF335" s="5">
        <v>46173</v>
      </c>
      <c r="AG335" s="20">
        <v>9904</v>
      </c>
      <c r="AH335" s="6">
        <v>2854</v>
      </c>
      <c r="AI335" s="11">
        <f>Table1[[#This Row],[Incremental Units]]/Table1[[#This Row],[Base Units]]</f>
        <v>0.28816639741518579</v>
      </c>
      <c r="AJ335" s="11">
        <f>IF(AND(ISNUMBER(Table1[[#This Row],[Lift  ]]),ISNUMBER(Table1[[#This Row],[Plan lift, %]]),Table1[[#This Row],[Plan lift, %]]&lt;&gt;0),Table1[[#This Row],[Lift  ]]-Table1[[#This Row],[Plan lift, %]],"")</f>
        <v>8.8166397415185782E-2</v>
      </c>
      <c r="AK335" s="11"/>
      <c r="AL335" s="71" t="s">
        <v>1400</v>
      </c>
      <c r="AM335" s="4" t="s">
        <v>1322</v>
      </c>
    </row>
    <row r="336" spans="1:39" x14ac:dyDescent="0.35">
      <c r="A336" t="s">
        <v>635</v>
      </c>
      <c r="B336" s="93" t="s">
        <v>1349</v>
      </c>
      <c r="C336" s="21" t="s">
        <v>475</v>
      </c>
      <c r="D336" s="13" t="s">
        <v>1232</v>
      </c>
      <c r="F336" s="21" t="s">
        <v>636</v>
      </c>
      <c r="G336" t="s">
        <v>23</v>
      </c>
      <c r="H336" s="14">
        <v>46082</v>
      </c>
      <c r="I336" s="14">
        <v>46111</v>
      </c>
      <c r="J336" s="13" t="s">
        <v>29</v>
      </c>
      <c r="L336" s="2">
        <v>1390.34</v>
      </c>
      <c r="M336" s="2">
        <v>1336.87</v>
      </c>
      <c r="N336" s="2">
        <v>401.06</v>
      </c>
      <c r="O336" s="2">
        <v>1737.93</v>
      </c>
      <c r="P336" s="3">
        <v>0.3</v>
      </c>
      <c r="Q336" s="3"/>
      <c r="R336" s="2">
        <v>1927.57</v>
      </c>
      <c r="S336" s="3">
        <v>0.61</v>
      </c>
      <c r="T336" s="2">
        <v>5096.1400000000003</v>
      </c>
      <c r="U336" s="13" t="s">
        <v>25</v>
      </c>
      <c r="V336" s="13" t="str">
        <f t="shared" si="33"/>
        <v>No</v>
      </c>
      <c r="W336" s="13" t="str">
        <f t="shared" si="33"/>
        <v>Yes</v>
      </c>
      <c r="X336" s="13" t="str">
        <f t="shared" si="33"/>
        <v>No</v>
      </c>
      <c r="Y336" s="13" t="str">
        <f t="shared" si="33"/>
        <v>No</v>
      </c>
      <c r="Z336" s="13" t="str">
        <f t="shared" si="33"/>
        <v>No</v>
      </c>
      <c r="AA336" s="71">
        <f>+(Table1[[#This Row],[Everyday price]]-Table1[[#This Row],[Promo Price]])/Table1[[#This Row],[Everyday price]]</f>
        <v>0.23255813953488372</v>
      </c>
      <c r="AB336" s="69">
        <v>9.9</v>
      </c>
      <c r="AC336" s="69">
        <v>12.9</v>
      </c>
      <c r="AD336" s="40" t="s">
        <v>1256</v>
      </c>
      <c r="AE336" s="5">
        <v>46076</v>
      </c>
      <c r="AF336" s="5">
        <v>46138</v>
      </c>
      <c r="AG336" s="20">
        <v>4939</v>
      </c>
      <c r="AH336" s="6">
        <v>3038</v>
      </c>
      <c r="AI336" s="11">
        <f>Table1[[#This Row],[Incremental Units]]/Table1[[#This Row],[Base Units]]</f>
        <v>0.61510427211986229</v>
      </c>
      <c r="AJ336" s="11">
        <f>IF(AND(ISNUMBER(Table1[[#This Row],[Lift  ]]),ISNUMBER(Table1[[#This Row],[Plan lift, %]]),Table1[[#This Row],[Plan lift, %]]&lt;&gt;0),Table1[[#This Row],[Lift  ]]-Table1[[#This Row],[Plan lift, %]],"")</f>
        <v>0.31510427211986231</v>
      </c>
      <c r="AK336" s="11"/>
      <c r="AL336" s="71" t="s">
        <v>1400</v>
      </c>
      <c r="AM336" s="4" t="s">
        <v>1350</v>
      </c>
    </row>
    <row r="337" spans="1:39" x14ac:dyDescent="0.35">
      <c r="A337" t="s">
        <v>1160</v>
      </c>
      <c r="B337" s="82">
        <v>1074</v>
      </c>
      <c r="C337" s="21" t="s">
        <v>475</v>
      </c>
      <c r="D337" s="13" t="s">
        <v>1232</v>
      </c>
      <c r="F337" s="21" t="s">
        <v>1161</v>
      </c>
      <c r="G337" t="s">
        <v>23</v>
      </c>
      <c r="H337" s="14">
        <v>46113</v>
      </c>
      <c r="I337" s="14">
        <v>46142</v>
      </c>
      <c r="J337" s="13" t="s">
        <v>29</v>
      </c>
      <c r="L337" s="2">
        <v>1562.43</v>
      </c>
      <c r="M337" s="2">
        <v>1627.54</v>
      </c>
      <c r="N337" s="2">
        <v>325.51</v>
      </c>
      <c r="O337" s="2">
        <v>1953.05</v>
      </c>
      <c r="P337" s="3">
        <v>0.2</v>
      </c>
      <c r="Q337" s="3"/>
      <c r="R337" s="2">
        <v>2911.81</v>
      </c>
      <c r="S337" s="3">
        <v>0.55000000000000004</v>
      </c>
      <c r="T337" s="2">
        <v>8195.43</v>
      </c>
      <c r="U337" s="13" t="s">
        <v>25</v>
      </c>
      <c r="V337" s="13" t="str">
        <f t="shared" si="33"/>
        <v>No</v>
      </c>
      <c r="W337" s="13" t="str">
        <f t="shared" si="33"/>
        <v>Yes</v>
      </c>
      <c r="X337" s="13" t="str">
        <f t="shared" si="33"/>
        <v>No</v>
      </c>
      <c r="Y337" s="13" t="str">
        <f t="shared" si="33"/>
        <v>No</v>
      </c>
      <c r="Z337" s="13" t="str">
        <f t="shared" si="33"/>
        <v>No</v>
      </c>
      <c r="AA337" s="71">
        <f>+(Table1[[#This Row],[Everyday price]]-Table1[[#This Row],[Promo Price]])/Table1[[#This Row],[Everyday price]]</f>
        <v>0.20869565217391309</v>
      </c>
      <c r="AB337" s="69">
        <v>9.1</v>
      </c>
      <c r="AC337" s="69">
        <v>11.5</v>
      </c>
      <c r="AD337" s="40" t="s">
        <v>1256</v>
      </c>
      <c r="AE337" s="5">
        <v>46167</v>
      </c>
      <c r="AF337" s="5">
        <v>46208</v>
      </c>
      <c r="AG337" s="20">
        <v>7250</v>
      </c>
      <c r="AH337" s="6">
        <v>5611</v>
      </c>
      <c r="AI337" s="11">
        <f>Table1[[#This Row],[Incremental Units]]/Table1[[#This Row],[Base Units]]</f>
        <v>0.77393103448275857</v>
      </c>
      <c r="AJ337" s="11">
        <f>IF(AND(ISNUMBER(Table1[[#This Row],[Lift  ]]),ISNUMBER(Table1[[#This Row],[Plan lift, %]]),Table1[[#This Row],[Plan lift, %]]&lt;&gt;0),Table1[[#This Row],[Lift  ]]-Table1[[#This Row],[Plan lift, %]],"")</f>
        <v>0.57393103448275862</v>
      </c>
      <c r="AK337" s="11"/>
      <c r="AL337" s="71" t="s">
        <v>1400</v>
      </c>
      <c r="AM337" s="4" t="s">
        <v>1351</v>
      </c>
    </row>
    <row r="338" spans="1:39" x14ac:dyDescent="0.35">
      <c r="A338" t="s">
        <v>588</v>
      </c>
      <c r="B338" s="12">
        <v>1077</v>
      </c>
      <c r="C338" s="21" t="s">
        <v>475</v>
      </c>
      <c r="D338" s="13" t="s">
        <v>1232</v>
      </c>
      <c r="F338" s="21" t="s">
        <v>589</v>
      </c>
      <c r="G338" t="s">
        <v>23</v>
      </c>
      <c r="H338" s="14">
        <v>46204</v>
      </c>
      <c r="I338" s="14">
        <v>46234</v>
      </c>
      <c r="J338" s="13" t="s">
        <v>24</v>
      </c>
      <c r="L338" s="2">
        <v>2979.32</v>
      </c>
      <c r="M338" s="2">
        <v>7639.29</v>
      </c>
      <c r="N338" s="2">
        <v>2291.79</v>
      </c>
      <c r="O338" s="2">
        <v>9931.08</v>
      </c>
      <c r="P338" s="3">
        <v>0.3</v>
      </c>
      <c r="Q338" s="3"/>
      <c r="R338" s="2">
        <v>75.12</v>
      </c>
      <c r="S338" s="3">
        <v>0.01</v>
      </c>
      <c r="T338" s="2">
        <v>5208.38</v>
      </c>
      <c r="U338" s="13" t="s">
        <v>25</v>
      </c>
      <c r="V338" s="13" t="str">
        <f t="shared" si="33"/>
        <v>No</v>
      </c>
      <c r="W338" s="13" t="str">
        <f t="shared" si="33"/>
        <v>Yes</v>
      </c>
      <c r="X338" s="13" t="str">
        <f t="shared" si="33"/>
        <v>No</v>
      </c>
      <c r="Y338" s="13" t="str">
        <f t="shared" si="33"/>
        <v>No</v>
      </c>
      <c r="Z338" s="13" t="str">
        <f t="shared" si="33"/>
        <v>No</v>
      </c>
      <c r="AA338" s="71" t="e">
        <f>+(Table1[[#This Row],[Everyday price]]-Table1[[#This Row],[Promo Price]])/Table1[[#This Row],[Everyday price]]</f>
        <v>#DIV/0!</v>
      </c>
      <c r="AC338" s="69"/>
      <c r="AH338" s="6"/>
      <c r="AJ338" s="116" t="str">
        <f>IF(AND(ISNUMBER(Table1[[#This Row],[Lift  ]]),ISNUMBER(Table1[[#This Row],[Plan lift, %]]),Table1[[#This Row],[Plan lift, %]]&lt;&gt;0),Table1[[#This Row],[Lift  ]]-Table1[[#This Row],[Plan lift, %]],"")</f>
        <v/>
      </c>
      <c r="AK338" s="116"/>
    </row>
    <row r="339" spans="1:39" x14ac:dyDescent="0.35">
      <c r="A339" t="s">
        <v>707</v>
      </c>
      <c r="B339" s="12">
        <v>1075</v>
      </c>
      <c r="C339" s="21" t="s">
        <v>475</v>
      </c>
      <c r="D339" s="13" t="s">
        <v>1232</v>
      </c>
      <c r="F339" s="21" t="s">
        <v>708</v>
      </c>
      <c r="G339" t="s">
        <v>60</v>
      </c>
      <c r="H339" s="14">
        <v>46235</v>
      </c>
      <c r="I339" s="14">
        <v>46265</v>
      </c>
      <c r="J339" s="13" t="s">
        <v>24</v>
      </c>
      <c r="L339" s="2">
        <v>2750.14</v>
      </c>
      <c r="M339" s="2">
        <v>7639.29</v>
      </c>
      <c r="N339" s="2">
        <v>1527.86</v>
      </c>
      <c r="O339" s="2">
        <v>9167.15</v>
      </c>
      <c r="P339" s="3">
        <v>0.2</v>
      </c>
      <c r="Q339" s="3"/>
      <c r="R339" s="2">
        <v>0</v>
      </c>
      <c r="S339" s="3">
        <v>0</v>
      </c>
      <c r="T339" s="2">
        <v>0</v>
      </c>
      <c r="U339" s="13" t="s">
        <v>25</v>
      </c>
      <c r="V339" s="13" t="str">
        <f t="shared" si="33"/>
        <v>No</v>
      </c>
      <c r="W339" s="13" t="str">
        <f t="shared" si="33"/>
        <v>Yes</v>
      </c>
      <c r="X339" s="13" t="str">
        <f t="shared" si="33"/>
        <v>No</v>
      </c>
      <c r="Y339" s="13" t="str">
        <f t="shared" si="33"/>
        <v>No</v>
      </c>
      <c r="Z339" s="13" t="str">
        <f t="shared" si="33"/>
        <v>No</v>
      </c>
      <c r="AA339" s="71" t="e">
        <f>+(Table1[[#This Row],[Everyday price]]-Table1[[#This Row],[Promo Price]])/Table1[[#This Row],[Everyday price]]</f>
        <v>#DIV/0!</v>
      </c>
      <c r="AC339" s="94"/>
      <c r="AH339" s="6"/>
      <c r="AJ339" s="116" t="str">
        <f>IF(AND(ISNUMBER(Table1[[#This Row],[Lift  ]]),ISNUMBER(Table1[[#This Row],[Plan lift, %]]),Table1[[#This Row],[Plan lift, %]]&lt;&gt;0),Table1[[#This Row],[Lift  ]]-Table1[[#This Row],[Plan lift, %]],"")</f>
        <v/>
      </c>
      <c r="AK339" s="116"/>
    </row>
    <row r="340" spans="1:39" x14ac:dyDescent="0.35">
      <c r="A340" t="s">
        <v>474</v>
      </c>
      <c r="B340" s="12">
        <v>1080</v>
      </c>
      <c r="C340" s="21" t="s">
        <v>475</v>
      </c>
      <c r="D340" s="13" t="s">
        <v>1232</v>
      </c>
      <c r="F340" s="21" t="s">
        <v>476</v>
      </c>
      <c r="G340" t="s">
        <v>44</v>
      </c>
      <c r="H340" s="14">
        <v>46266</v>
      </c>
      <c r="I340" s="14">
        <v>46295</v>
      </c>
      <c r="J340" s="13" t="s">
        <v>29</v>
      </c>
      <c r="L340" s="2">
        <v>4858.28</v>
      </c>
      <c r="M340" s="2">
        <v>4671.43</v>
      </c>
      <c r="N340" s="2">
        <v>1401.43</v>
      </c>
      <c r="O340" s="2">
        <v>6072.86</v>
      </c>
      <c r="P340" s="3">
        <v>0.3</v>
      </c>
      <c r="Q340" s="3"/>
      <c r="R340" s="2">
        <v>0</v>
      </c>
      <c r="S340" s="3">
        <v>0</v>
      </c>
      <c r="T340" s="2">
        <v>0</v>
      </c>
      <c r="U340" s="13" t="s">
        <v>25</v>
      </c>
      <c r="V340" s="13" t="str">
        <f t="shared" si="33"/>
        <v>No</v>
      </c>
      <c r="W340" s="13" t="str">
        <f t="shared" si="33"/>
        <v>Yes</v>
      </c>
      <c r="X340" s="13" t="str">
        <f t="shared" si="33"/>
        <v>No</v>
      </c>
      <c r="Y340" s="13" t="str">
        <f t="shared" si="33"/>
        <v>No</v>
      </c>
      <c r="Z340" s="13" t="str">
        <f t="shared" si="33"/>
        <v>No</v>
      </c>
      <c r="AA340" s="71" t="e">
        <f>+(Table1[[#This Row],[Everyday price]]-Table1[[#This Row],[Promo Price]])/Table1[[#This Row],[Everyday price]]</f>
        <v>#DIV/0!</v>
      </c>
      <c r="AC340" s="71"/>
      <c r="AH340" s="6"/>
      <c r="AJ340" s="116" t="str">
        <f>IF(AND(ISNUMBER(Table1[[#This Row],[Lift  ]]),ISNUMBER(Table1[[#This Row],[Plan lift, %]]),Table1[[#This Row],[Plan lift, %]]&lt;&gt;0),Table1[[#This Row],[Lift  ]]-Table1[[#This Row],[Plan lift, %]],"")</f>
        <v/>
      </c>
      <c r="AK340" s="116"/>
    </row>
    <row r="341" spans="1:39" x14ac:dyDescent="0.35">
      <c r="A341" t="s">
        <v>1119</v>
      </c>
      <c r="B341" s="12">
        <v>1079</v>
      </c>
      <c r="C341" s="21" t="s">
        <v>475</v>
      </c>
      <c r="D341" s="13" t="s">
        <v>1232</v>
      </c>
      <c r="F341" s="21" t="s">
        <v>1120</v>
      </c>
      <c r="G341" t="s">
        <v>44</v>
      </c>
      <c r="H341" s="14">
        <v>46296</v>
      </c>
      <c r="I341" s="14">
        <v>46326</v>
      </c>
      <c r="J341" s="13" t="s">
        <v>29</v>
      </c>
      <c r="L341" s="2">
        <v>4634.0600000000004</v>
      </c>
      <c r="M341" s="2">
        <v>4827.1499999999996</v>
      </c>
      <c r="N341" s="2">
        <v>965.43</v>
      </c>
      <c r="O341" s="2">
        <v>5792.58</v>
      </c>
      <c r="P341" s="3">
        <v>0.2</v>
      </c>
      <c r="Q341" s="3"/>
      <c r="R341" s="2">
        <v>0</v>
      </c>
      <c r="S341" s="3">
        <v>0</v>
      </c>
      <c r="T341" s="2">
        <v>0</v>
      </c>
      <c r="U341" s="13" t="s">
        <v>25</v>
      </c>
      <c r="V341" s="13" t="str">
        <f t="shared" si="33"/>
        <v>No</v>
      </c>
      <c r="W341" s="13" t="str">
        <f t="shared" si="33"/>
        <v>Yes</v>
      </c>
      <c r="X341" s="13" t="str">
        <f t="shared" si="33"/>
        <v>No</v>
      </c>
      <c r="Y341" s="13" t="str">
        <f t="shared" si="33"/>
        <v>No</v>
      </c>
      <c r="Z341" s="13" t="str">
        <f t="shared" si="33"/>
        <v>No</v>
      </c>
      <c r="AA341" s="71" t="e">
        <f>+(Table1[[#This Row],[Everyday price]]-Table1[[#This Row],[Promo Price]])/Table1[[#This Row],[Everyday price]]</f>
        <v>#DIV/0!</v>
      </c>
      <c r="AC341" s="69"/>
      <c r="AH341" s="6"/>
      <c r="AJ341" s="116" t="str">
        <f>IF(AND(ISNUMBER(Table1[[#This Row],[Lift  ]]),ISNUMBER(Table1[[#This Row],[Plan lift, %]]),Table1[[#This Row],[Plan lift, %]]&lt;&gt;0),Table1[[#This Row],[Lift  ]]-Table1[[#This Row],[Plan lift, %]],"")</f>
        <v/>
      </c>
      <c r="AK341" s="116"/>
    </row>
    <row r="342" spans="1:39" x14ac:dyDescent="0.35">
      <c r="A342" t="s">
        <v>985</v>
      </c>
      <c r="B342" s="12">
        <v>1084</v>
      </c>
      <c r="C342" s="21" t="s">
        <v>93</v>
      </c>
      <c r="D342" s="13" t="s">
        <v>1232</v>
      </c>
      <c r="E342" t="s">
        <v>94</v>
      </c>
      <c r="F342" s="21" t="s">
        <v>986</v>
      </c>
      <c r="G342" t="s">
        <v>23</v>
      </c>
      <c r="H342" s="14">
        <v>46054</v>
      </c>
      <c r="I342" s="14">
        <v>46081</v>
      </c>
      <c r="J342" s="13" t="s">
        <v>24</v>
      </c>
      <c r="L342" s="2">
        <v>16351.2</v>
      </c>
      <c r="M342" s="2">
        <v>32189.59</v>
      </c>
      <c r="N342" s="2">
        <v>9656.8799999999992</v>
      </c>
      <c r="O342" s="2">
        <v>41846.47</v>
      </c>
      <c r="P342" s="3">
        <v>0.3</v>
      </c>
      <c r="Q342" s="3"/>
      <c r="R342" s="2">
        <v>1074.4100000000001</v>
      </c>
      <c r="S342" s="3">
        <v>0.03</v>
      </c>
      <c r="T342" s="2">
        <v>33552</v>
      </c>
      <c r="U342" s="13" t="s">
        <v>25</v>
      </c>
      <c r="V342" s="13" t="str">
        <f t="shared" ref="V342:Z351" si="34">IF(ISNUMBER(SEARCH(V$1,$U342)),"Yes","No")</f>
        <v>No</v>
      </c>
      <c r="W342" s="13" t="str">
        <f t="shared" si="34"/>
        <v>Yes</v>
      </c>
      <c r="X342" s="13" t="str">
        <f t="shared" si="34"/>
        <v>No</v>
      </c>
      <c r="Y342" s="13" t="str">
        <f t="shared" si="34"/>
        <v>No</v>
      </c>
      <c r="Z342" s="13" t="str">
        <f t="shared" si="34"/>
        <v>No</v>
      </c>
      <c r="AA342" s="71" t="e">
        <f>+(Table1[[#This Row],[Everyday price]]-Table1[[#This Row],[Promo Price]])/Table1[[#This Row],[Everyday price]]</f>
        <v>#DIV/0!</v>
      </c>
      <c r="AC342" s="69"/>
      <c r="AH342" s="6"/>
      <c r="AJ342" s="116" t="str">
        <f>IF(AND(ISNUMBER(Table1[[#This Row],[Lift  ]]),ISNUMBER(Table1[[#This Row],[Plan lift, %]]),Table1[[#This Row],[Plan lift, %]]&lt;&gt;0),Table1[[#This Row],[Lift  ]]-Table1[[#This Row],[Plan lift, %]],"")</f>
        <v/>
      </c>
      <c r="AK342" s="116"/>
    </row>
    <row r="343" spans="1:39" x14ac:dyDescent="0.35">
      <c r="A343" t="s">
        <v>597</v>
      </c>
      <c r="B343" s="12" t="s">
        <v>1728</v>
      </c>
      <c r="C343" s="21" t="s">
        <v>93</v>
      </c>
      <c r="D343" s="13" t="s">
        <v>1232</v>
      </c>
      <c r="E343" t="s">
        <v>94</v>
      </c>
      <c r="F343" s="21" t="s">
        <v>598</v>
      </c>
      <c r="G343" t="s">
        <v>23</v>
      </c>
      <c r="H343" s="14">
        <v>46082</v>
      </c>
      <c r="I343" s="14">
        <v>46111</v>
      </c>
      <c r="J343" s="13" t="s">
        <v>24</v>
      </c>
      <c r="L343" s="2">
        <v>11880.6</v>
      </c>
      <c r="M343" s="2">
        <v>33001.69</v>
      </c>
      <c r="N343" s="2">
        <v>6600.33</v>
      </c>
      <c r="O343" s="2">
        <v>39602.019999999997</v>
      </c>
      <c r="P343" s="3">
        <v>0.2</v>
      </c>
      <c r="Q343" s="3"/>
      <c r="R343" s="2">
        <v>108010.31</v>
      </c>
      <c r="S343" s="3">
        <v>3.23</v>
      </c>
      <c r="T343" s="2">
        <v>141444</v>
      </c>
      <c r="U343" s="13" t="s">
        <v>25</v>
      </c>
      <c r="V343" s="13" t="str">
        <f t="shared" si="34"/>
        <v>No</v>
      </c>
      <c r="W343" s="13" t="str">
        <f t="shared" si="34"/>
        <v>Yes</v>
      </c>
      <c r="X343" s="13" t="str">
        <f t="shared" si="34"/>
        <v>No</v>
      </c>
      <c r="Y343" s="13" t="str">
        <f t="shared" si="34"/>
        <v>No</v>
      </c>
      <c r="Z343" s="13" t="str">
        <f t="shared" si="34"/>
        <v>No</v>
      </c>
      <c r="AA343" s="71" t="e">
        <f>+(Table1[[#This Row],[Everyday price]]-Table1[[#This Row],[Promo Price]])/Table1[[#This Row],[Everyday price]]</f>
        <v>#DIV/0!</v>
      </c>
      <c r="AC343" s="69"/>
      <c r="AH343" s="6"/>
      <c r="AJ343" s="116" t="str">
        <f>IF(AND(ISNUMBER(Table1[[#This Row],[Lift  ]]),ISNUMBER(Table1[[#This Row],[Plan lift, %]]),Table1[[#This Row],[Plan lift, %]]&lt;&gt;0),Table1[[#This Row],[Lift  ]]-Table1[[#This Row],[Plan lift, %]],"")</f>
        <v/>
      </c>
      <c r="AK343" s="116"/>
    </row>
    <row r="344" spans="1:39" x14ac:dyDescent="0.35">
      <c r="A344" t="s">
        <v>597</v>
      </c>
      <c r="B344" s="12" t="s">
        <v>1729</v>
      </c>
      <c r="C344" s="21" t="s">
        <v>93</v>
      </c>
      <c r="D344" s="13" t="s">
        <v>1232</v>
      </c>
      <c r="E344" t="s">
        <v>94</v>
      </c>
      <c r="F344" s="21" t="s">
        <v>598</v>
      </c>
      <c r="G344" t="s">
        <v>23</v>
      </c>
      <c r="H344" s="14">
        <v>46082</v>
      </c>
      <c r="I344" s="14">
        <v>46111</v>
      </c>
      <c r="J344" s="13" t="s">
        <v>29</v>
      </c>
      <c r="L344" s="2">
        <v>40314.69</v>
      </c>
      <c r="M344" s="2">
        <v>15997.89</v>
      </c>
      <c r="N344" s="2">
        <v>6399.16</v>
      </c>
      <c r="O344" s="2">
        <v>22397.05</v>
      </c>
      <c r="P344" s="3">
        <v>0.4</v>
      </c>
      <c r="Q344" s="3"/>
      <c r="R344" s="2">
        <v>76162.11</v>
      </c>
      <c r="S344" s="3">
        <v>4.76</v>
      </c>
      <c r="T344" s="2">
        <v>92160</v>
      </c>
      <c r="U344" s="13" t="s">
        <v>25</v>
      </c>
      <c r="V344" s="13" t="str">
        <f t="shared" si="34"/>
        <v>No</v>
      </c>
      <c r="W344" s="13" t="str">
        <f t="shared" si="34"/>
        <v>Yes</v>
      </c>
      <c r="X344" s="13" t="str">
        <f t="shared" si="34"/>
        <v>No</v>
      </c>
      <c r="Y344" s="13" t="str">
        <f t="shared" si="34"/>
        <v>No</v>
      </c>
      <c r="Z344" s="13" t="str">
        <f t="shared" si="34"/>
        <v>No</v>
      </c>
      <c r="AA344" s="71" t="e">
        <f>+(Table1[[#This Row],[Everyday price]]-Table1[[#This Row],[Promo Price]])/Table1[[#This Row],[Everyday price]]</f>
        <v>#DIV/0!</v>
      </c>
      <c r="AC344" s="69"/>
      <c r="AH344" s="6"/>
      <c r="AJ344" s="116" t="str">
        <f>IF(AND(ISNUMBER(Table1[[#This Row],[Lift  ]]),ISNUMBER(Table1[[#This Row],[Plan lift, %]]),Table1[[#This Row],[Plan lift, %]]&lt;&gt;0),Table1[[#This Row],[Lift  ]]-Table1[[#This Row],[Plan lift, %]],"")</f>
        <v/>
      </c>
      <c r="AK344" s="116"/>
    </row>
    <row r="345" spans="1:39" x14ac:dyDescent="0.35">
      <c r="A345" t="s">
        <v>691</v>
      </c>
      <c r="B345" s="12">
        <v>1081</v>
      </c>
      <c r="C345" s="21" t="s">
        <v>93</v>
      </c>
      <c r="D345" s="13" t="s">
        <v>1232</v>
      </c>
      <c r="E345" t="s">
        <v>94</v>
      </c>
      <c r="F345" s="21" t="s">
        <v>692</v>
      </c>
      <c r="G345" t="s">
        <v>23</v>
      </c>
      <c r="H345" s="14">
        <v>46113</v>
      </c>
      <c r="I345" s="14">
        <v>46142</v>
      </c>
      <c r="J345" s="13" t="s">
        <v>29</v>
      </c>
      <c r="L345" s="2">
        <v>16916.93</v>
      </c>
      <c r="M345" s="2">
        <v>17621.810000000001</v>
      </c>
      <c r="N345" s="2">
        <v>3524.36</v>
      </c>
      <c r="O345" s="2">
        <v>21146.17</v>
      </c>
      <c r="P345" s="3">
        <v>0.2</v>
      </c>
      <c r="Q345" s="3"/>
      <c r="R345" s="2">
        <v>60864.5</v>
      </c>
      <c r="S345" s="3">
        <v>1.38</v>
      </c>
      <c r="T345" s="2">
        <v>105024</v>
      </c>
      <c r="U345" s="13" t="s">
        <v>25</v>
      </c>
      <c r="V345" s="13" t="str">
        <f t="shared" si="34"/>
        <v>No</v>
      </c>
      <c r="W345" s="13" t="str">
        <f t="shared" si="34"/>
        <v>Yes</v>
      </c>
      <c r="X345" s="13" t="str">
        <f t="shared" si="34"/>
        <v>No</v>
      </c>
      <c r="Y345" s="13" t="str">
        <f t="shared" si="34"/>
        <v>No</v>
      </c>
      <c r="Z345" s="13" t="str">
        <f t="shared" si="34"/>
        <v>No</v>
      </c>
      <c r="AA345" s="71" t="e">
        <f>+(Table1[[#This Row],[Everyday price]]-Table1[[#This Row],[Promo Price]])/Table1[[#This Row],[Everyday price]]</f>
        <v>#DIV/0!</v>
      </c>
      <c r="AC345" s="69"/>
      <c r="AH345" s="6"/>
      <c r="AJ345" s="116" t="str">
        <f>IF(AND(ISNUMBER(Table1[[#This Row],[Lift  ]]),ISNUMBER(Table1[[#This Row],[Plan lift, %]]),Table1[[#This Row],[Plan lift, %]]&lt;&gt;0),Table1[[#This Row],[Lift  ]]-Table1[[#This Row],[Plan lift, %]],"")</f>
        <v/>
      </c>
      <c r="AK345" s="116"/>
    </row>
    <row r="346" spans="1:39" x14ac:dyDescent="0.35">
      <c r="A346" t="s">
        <v>211</v>
      </c>
      <c r="B346" s="12">
        <v>1087</v>
      </c>
      <c r="C346" s="21" t="s">
        <v>93</v>
      </c>
      <c r="D346" s="13" t="s">
        <v>1232</v>
      </c>
      <c r="E346" t="s">
        <v>94</v>
      </c>
      <c r="F346" s="21" t="s">
        <v>212</v>
      </c>
      <c r="G346" t="s">
        <v>23</v>
      </c>
      <c r="H346" s="14">
        <v>46143</v>
      </c>
      <c r="I346" s="14">
        <v>46172</v>
      </c>
      <c r="J346" s="13" t="s">
        <v>24</v>
      </c>
      <c r="L346" s="2">
        <v>0</v>
      </c>
      <c r="M346" s="2">
        <v>38571.43</v>
      </c>
      <c r="N346" s="2">
        <v>11571.43</v>
      </c>
      <c r="O346" s="2">
        <v>50142.86</v>
      </c>
      <c r="P346" s="3">
        <v>0.3</v>
      </c>
      <c r="Q346" s="3"/>
      <c r="R346" s="2">
        <v>-120547.49</v>
      </c>
      <c r="S346" s="3">
        <v>-0.56999999999999995</v>
      </c>
      <c r="T346" s="2">
        <v>89136</v>
      </c>
      <c r="U346" s="13" t="s">
        <v>25</v>
      </c>
      <c r="V346" s="13" t="str">
        <f t="shared" si="34"/>
        <v>No</v>
      </c>
      <c r="W346" s="13" t="str">
        <f t="shared" si="34"/>
        <v>Yes</v>
      </c>
      <c r="X346" s="13" t="str">
        <f t="shared" si="34"/>
        <v>No</v>
      </c>
      <c r="Y346" s="13" t="str">
        <f t="shared" si="34"/>
        <v>No</v>
      </c>
      <c r="Z346" s="13" t="str">
        <f t="shared" si="34"/>
        <v>No</v>
      </c>
      <c r="AA346" s="71" t="e">
        <f>+(Table1[[#This Row],[Everyday price]]-Table1[[#This Row],[Promo Price]])/Table1[[#This Row],[Everyday price]]</f>
        <v>#DIV/0!</v>
      </c>
      <c r="AC346" s="69"/>
      <c r="AH346" s="6"/>
      <c r="AJ346" s="116" t="str">
        <f>IF(AND(ISNUMBER(Table1[[#This Row],[Lift  ]]),ISNUMBER(Table1[[#This Row],[Plan lift, %]]),Table1[[#This Row],[Plan lift, %]]&lt;&gt;0),Table1[[#This Row],[Lift  ]]-Table1[[#This Row],[Plan lift, %]],"")</f>
        <v/>
      </c>
      <c r="AK346" s="116"/>
    </row>
    <row r="347" spans="1:39" x14ac:dyDescent="0.35">
      <c r="A347" t="s">
        <v>1063</v>
      </c>
      <c r="B347" s="12">
        <v>1085</v>
      </c>
      <c r="C347" s="21" t="s">
        <v>93</v>
      </c>
      <c r="D347" s="13" t="s">
        <v>1232</v>
      </c>
      <c r="E347" t="s">
        <v>94</v>
      </c>
      <c r="F347" s="21" t="s">
        <v>1064</v>
      </c>
      <c r="G347" t="s">
        <v>128</v>
      </c>
      <c r="H347" s="14">
        <v>46174</v>
      </c>
      <c r="I347" s="14">
        <v>46203</v>
      </c>
      <c r="J347" s="13" t="s">
        <v>24</v>
      </c>
      <c r="L347" s="2">
        <v>0</v>
      </c>
      <c r="M347" s="2">
        <v>38571.43</v>
      </c>
      <c r="N347" s="2">
        <v>7714.29</v>
      </c>
      <c r="O347" s="2">
        <v>46285.72</v>
      </c>
      <c r="P347" s="3">
        <v>0.2</v>
      </c>
      <c r="Q347" s="3"/>
      <c r="R347" s="2">
        <v>236563.07</v>
      </c>
      <c r="S347" s="3">
        <v>2.19</v>
      </c>
      <c r="T347" s="2">
        <v>344592</v>
      </c>
      <c r="U347" s="13" t="s">
        <v>25</v>
      </c>
      <c r="V347" s="13" t="str">
        <f t="shared" si="34"/>
        <v>No</v>
      </c>
      <c r="W347" s="13" t="str">
        <f t="shared" si="34"/>
        <v>Yes</v>
      </c>
      <c r="X347" s="13" t="str">
        <f t="shared" si="34"/>
        <v>No</v>
      </c>
      <c r="Y347" s="13" t="str">
        <f t="shared" si="34"/>
        <v>No</v>
      </c>
      <c r="Z347" s="13" t="str">
        <f t="shared" si="34"/>
        <v>No</v>
      </c>
      <c r="AA347" s="71" t="e">
        <f>+(Table1[[#This Row],[Everyday price]]-Table1[[#This Row],[Promo Price]])/Table1[[#This Row],[Everyday price]]</f>
        <v>#DIV/0!</v>
      </c>
      <c r="AC347" s="69"/>
      <c r="AH347" s="6"/>
      <c r="AJ347" s="116" t="str">
        <f>IF(AND(ISNUMBER(Table1[[#This Row],[Lift  ]]),ISNUMBER(Table1[[#This Row],[Plan lift, %]]),Table1[[#This Row],[Plan lift, %]]&lt;&gt;0),Table1[[#This Row],[Lift  ]]-Table1[[#This Row],[Plan lift, %]],"")</f>
        <v/>
      </c>
      <c r="AK347" s="116"/>
    </row>
    <row r="348" spans="1:39" x14ac:dyDescent="0.35">
      <c r="A348" t="s">
        <v>92</v>
      </c>
      <c r="B348" s="12">
        <v>1082</v>
      </c>
      <c r="C348" s="21" t="s">
        <v>93</v>
      </c>
      <c r="D348" s="13" t="s">
        <v>1232</v>
      </c>
      <c r="E348" t="s">
        <v>94</v>
      </c>
      <c r="F348" s="21" t="s">
        <v>95</v>
      </c>
      <c r="G348" t="s">
        <v>60</v>
      </c>
      <c r="H348" s="14">
        <v>46235</v>
      </c>
      <c r="I348" s="14">
        <v>46264</v>
      </c>
      <c r="J348" s="13" t="s">
        <v>24</v>
      </c>
      <c r="L348" s="2">
        <v>31242.86</v>
      </c>
      <c r="M348" s="2">
        <v>38571.43</v>
      </c>
      <c r="N348" s="2">
        <v>13500</v>
      </c>
      <c r="O348" s="2">
        <v>52071.43</v>
      </c>
      <c r="P348" s="3">
        <v>0.35</v>
      </c>
      <c r="Q348" s="3"/>
      <c r="R348" s="2">
        <v>0</v>
      </c>
      <c r="S348" s="3">
        <v>0</v>
      </c>
      <c r="T348" s="2">
        <v>0</v>
      </c>
      <c r="U348" s="13" t="s">
        <v>25</v>
      </c>
      <c r="V348" s="13" t="str">
        <f t="shared" si="34"/>
        <v>No</v>
      </c>
      <c r="W348" s="13" t="str">
        <f t="shared" si="34"/>
        <v>Yes</v>
      </c>
      <c r="X348" s="13" t="str">
        <f t="shared" si="34"/>
        <v>No</v>
      </c>
      <c r="Y348" s="13" t="str">
        <f t="shared" si="34"/>
        <v>No</v>
      </c>
      <c r="Z348" s="13" t="str">
        <f t="shared" si="34"/>
        <v>No</v>
      </c>
      <c r="AA348" s="71" t="e">
        <f>+(Table1[[#This Row],[Everyday price]]-Table1[[#This Row],[Promo Price]])/Table1[[#This Row],[Everyday price]]</f>
        <v>#DIV/0!</v>
      </c>
      <c r="AC348" s="69"/>
      <c r="AH348" s="6"/>
      <c r="AJ348" s="116" t="str">
        <f>IF(AND(ISNUMBER(Table1[[#This Row],[Lift  ]]),ISNUMBER(Table1[[#This Row],[Plan lift, %]]),Table1[[#This Row],[Plan lift, %]]&lt;&gt;0),Table1[[#This Row],[Lift  ]]-Table1[[#This Row],[Plan lift, %]],"")</f>
        <v/>
      </c>
      <c r="AK348" s="116"/>
    </row>
    <row r="349" spans="1:39" x14ac:dyDescent="0.35">
      <c r="A349" t="s">
        <v>826</v>
      </c>
      <c r="B349" s="12">
        <v>1090</v>
      </c>
      <c r="C349" s="21" t="s">
        <v>93</v>
      </c>
      <c r="D349" s="13" t="s">
        <v>1232</v>
      </c>
      <c r="E349" t="s">
        <v>94</v>
      </c>
      <c r="F349" s="21" t="s">
        <v>827</v>
      </c>
      <c r="G349" t="s">
        <v>44</v>
      </c>
      <c r="H349" s="14">
        <v>46266</v>
      </c>
      <c r="I349" s="14">
        <v>46295</v>
      </c>
      <c r="J349" s="13" t="s">
        <v>29</v>
      </c>
      <c r="L349" s="2">
        <v>15649.54</v>
      </c>
      <c r="M349" s="2">
        <v>15649.54</v>
      </c>
      <c r="N349" s="2">
        <v>3912.38</v>
      </c>
      <c r="O349" s="2">
        <v>19561.919999999998</v>
      </c>
      <c r="P349" s="3">
        <v>0.25</v>
      </c>
      <c r="Q349" s="3"/>
      <c r="R349" s="2">
        <v>0</v>
      </c>
      <c r="S349" s="3">
        <v>0</v>
      </c>
      <c r="T349" s="2">
        <v>0</v>
      </c>
      <c r="U349" s="13" t="s">
        <v>25</v>
      </c>
      <c r="V349" s="13" t="str">
        <f t="shared" si="34"/>
        <v>No</v>
      </c>
      <c r="W349" s="13" t="str">
        <f t="shared" si="34"/>
        <v>Yes</v>
      </c>
      <c r="X349" s="13" t="str">
        <f t="shared" si="34"/>
        <v>No</v>
      </c>
      <c r="Y349" s="13" t="str">
        <f t="shared" si="34"/>
        <v>No</v>
      </c>
      <c r="Z349" s="13" t="str">
        <f t="shared" si="34"/>
        <v>No</v>
      </c>
      <c r="AA349" s="71" t="e">
        <f>+(Table1[[#This Row],[Everyday price]]-Table1[[#This Row],[Promo Price]])/Table1[[#This Row],[Everyday price]]</f>
        <v>#DIV/0!</v>
      </c>
      <c r="AC349" s="69"/>
      <c r="AH349" s="6"/>
      <c r="AJ349" s="116" t="str">
        <f>IF(AND(ISNUMBER(Table1[[#This Row],[Lift  ]]),ISNUMBER(Table1[[#This Row],[Plan lift, %]]),Table1[[#This Row],[Plan lift, %]]&lt;&gt;0),Table1[[#This Row],[Lift  ]]-Table1[[#This Row],[Plan lift, %]],"")</f>
        <v/>
      </c>
      <c r="AK349" s="116"/>
    </row>
    <row r="350" spans="1:39" x14ac:dyDescent="0.35">
      <c r="A350" t="s">
        <v>356</v>
      </c>
      <c r="B350" s="12">
        <v>1089</v>
      </c>
      <c r="C350" s="21" t="s">
        <v>93</v>
      </c>
      <c r="D350" s="13" t="s">
        <v>1232</v>
      </c>
      <c r="E350" t="s">
        <v>94</v>
      </c>
      <c r="F350" s="21" t="s">
        <v>357</v>
      </c>
      <c r="G350" t="s">
        <v>44</v>
      </c>
      <c r="H350" s="14">
        <v>46296</v>
      </c>
      <c r="I350" s="14">
        <v>46326</v>
      </c>
      <c r="J350" s="13" t="s">
        <v>29</v>
      </c>
      <c r="L350" s="2">
        <v>17848.04</v>
      </c>
      <c r="M350" s="2">
        <v>18591.71</v>
      </c>
      <c r="N350" s="2">
        <v>3718.34</v>
      </c>
      <c r="O350" s="2">
        <v>22310.05</v>
      </c>
      <c r="P350" s="3">
        <v>0.2</v>
      </c>
      <c r="Q350" s="3"/>
      <c r="R350" s="2">
        <v>0</v>
      </c>
      <c r="S350" s="3">
        <v>0</v>
      </c>
      <c r="T350" s="2">
        <v>0</v>
      </c>
      <c r="U350" s="13" t="s">
        <v>25</v>
      </c>
      <c r="V350" s="13" t="str">
        <f t="shared" si="34"/>
        <v>No</v>
      </c>
      <c r="W350" s="13" t="str">
        <f t="shared" si="34"/>
        <v>Yes</v>
      </c>
      <c r="X350" s="13" t="str">
        <f t="shared" si="34"/>
        <v>No</v>
      </c>
      <c r="Y350" s="13" t="str">
        <f t="shared" si="34"/>
        <v>No</v>
      </c>
      <c r="Z350" s="13" t="str">
        <f t="shared" si="34"/>
        <v>No</v>
      </c>
      <c r="AA350" s="71" t="e">
        <f>+(Table1[[#This Row],[Everyday price]]-Table1[[#This Row],[Promo Price]])/Table1[[#This Row],[Everyday price]]</f>
        <v>#DIV/0!</v>
      </c>
      <c r="AC350" s="69"/>
      <c r="AH350" s="6"/>
      <c r="AJ350" s="116" t="str">
        <f>IF(AND(ISNUMBER(Table1[[#This Row],[Lift  ]]),ISNUMBER(Table1[[#This Row],[Plan lift, %]]),Table1[[#This Row],[Plan lift, %]]&lt;&gt;0),Table1[[#This Row],[Lift  ]]-Table1[[#This Row],[Plan lift, %]],"")</f>
        <v/>
      </c>
      <c r="AK350" s="116"/>
    </row>
    <row r="351" spans="1:39" x14ac:dyDescent="0.35">
      <c r="A351" t="s">
        <v>1200</v>
      </c>
      <c r="B351" s="12">
        <v>1088</v>
      </c>
      <c r="C351" s="21" t="s">
        <v>93</v>
      </c>
      <c r="D351" s="13" t="s">
        <v>1232</v>
      </c>
      <c r="E351" t="s">
        <v>94</v>
      </c>
      <c r="F351" s="21" t="s">
        <v>1201</v>
      </c>
      <c r="G351" t="s">
        <v>44</v>
      </c>
      <c r="H351" s="14">
        <v>46327</v>
      </c>
      <c r="I351" s="14">
        <v>46356</v>
      </c>
      <c r="J351" s="13" t="s">
        <v>24</v>
      </c>
      <c r="L351" s="2">
        <v>15042.86</v>
      </c>
      <c r="M351" s="2">
        <v>38571.43</v>
      </c>
      <c r="N351" s="2">
        <v>11571.43</v>
      </c>
      <c r="O351" s="2">
        <v>50142.86</v>
      </c>
      <c r="P351" s="3">
        <v>0.3</v>
      </c>
      <c r="Q351" s="3"/>
      <c r="R351" s="2">
        <v>0</v>
      </c>
      <c r="S351" s="3">
        <v>0</v>
      </c>
      <c r="T351" s="2">
        <v>0</v>
      </c>
      <c r="U351" s="13" t="s">
        <v>25</v>
      </c>
      <c r="V351" s="13" t="str">
        <f t="shared" si="34"/>
        <v>No</v>
      </c>
      <c r="W351" s="13" t="str">
        <f t="shared" si="34"/>
        <v>Yes</v>
      </c>
      <c r="X351" s="13" t="str">
        <f t="shared" si="34"/>
        <v>No</v>
      </c>
      <c r="Y351" s="13" t="str">
        <f t="shared" si="34"/>
        <v>No</v>
      </c>
      <c r="Z351" s="13" t="str">
        <f t="shared" si="34"/>
        <v>No</v>
      </c>
      <c r="AA351" s="71" t="e">
        <f>+(Table1[[#This Row],[Everyday price]]-Table1[[#This Row],[Promo Price]])/Table1[[#This Row],[Everyday price]]</f>
        <v>#DIV/0!</v>
      </c>
      <c r="AC351" s="69"/>
      <c r="AH351" s="6"/>
      <c r="AJ351" s="116" t="str">
        <f>IF(AND(ISNUMBER(Table1[[#This Row],[Lift  ]]),ISNUMBER(Table1[[#This Row],[Plan lift, %]]),Table1[[#This Row],[Plan lift, %]]&lt;&gt;0),Table1[[#This Row],[Lift  ]]-Table1[[#This Row],[Plan lift, %]],"")</f>
        <v/>
      </c>
      <c r="AK351" s="116"/>
    </row>
    <row r="352" spans="1:39" x14ac:dyDescent="0.35">
      <c r="A352" t="s">
        <v>325</v>
      </c>
      <c r="B352" s="12">
        <v>1083</v>
      </c>
      <c r="C352" s="21" t="s">
        <v>93</v>
      </c>
      <c r="D352" s="13" t="s">
        <v>1232</v>
      </c>
      <c r="E352" t="s">
        <v>94</v>
      </c>
      <c r="F352" s="21" t="s">
        <v>326</v>
      </c>
      <c r="G352" t="s">
        <v>44</v>
      </c>
      <c r="H352" s="14">
        <v>46357</v>
      </c>
      <c r="I352" s="14">
        <v>46387</v>
      </c>
      <c r="J352" s="13" t="s">
        <v>24</v>
      </c>
      <c r="L352" s="2">
        <v>15544.28</v>
      </c>
      <c r="M352" s="2">
        <v>39857.14</v>
      </c>
      <c r="N352" s="2">
        <v>11957.14</v>
      </c>
      <c r="O352" s="2">
        <v>51814.28</v>
      </c>
      <c r="P352" s="3">
        <v>0.3</v>
      </c>
      <c r="Q352" s="3"/>
      <c r="R352" s="2">
        <v>0</v>
      </c>
      <c r="S352" s="3">
        <v>0</v>
      </c>
      <c r="T352" s="2">
        <v>0</v>
      </c>
      <c r="U352" s="13" t="s">
        <v>25</v>
      </c>
      <c r="V352" s="13" t="str">
        <f t="shared" ref="V352:Z361" si="35">IF(ISNUMBER(SEARCH(V$1,$U352)),"Yes","No")</f>
        <v>No</v>
      </c>
      <c r="W352" s="13" t="str">
        <f t="shared" si="35"/>
        <v>Yes</v>
      </c>
      <c r="X352" s="13" t="str">
        <f t="shared" si="35"/>
        <v>No</v>
      </c>
      <c r="Y352" s="13" t="str">
        <f t="shared" si="35"/>
        <v>No</v>
      </c>
      <c r="Z352" s="13" t="str">
        <f t="shared" si="35"/>
        <v>No</v>
      </c>
      <c r="AA352" s="71" t="e">
        <f>+(Table1[[#This Row],[Everyday price]]-Table1[[#This Row],[Promo Price]])/Table1[[#This Row],[Everyday price]]</f>
        <v>#DIV/0!</v>
      </c>
      <c r="AC352" s="69"/>
      <c r="AH352" s="6"/>
      <c r="AJ352" s="116" t="str">
        <f>IF(AND(ISNUMBER(Table1[[#This Row],[Lift  ]]),ISNUMBER(Table1[[#This Row],[Plan lift, %]]),Table1[[#This Row],[Plan lift, %]]&lt;&gt;0),Table1[[#This Row],[Lift  ]]-Table1[[#This Row],[Plan lift, %]],"")</f>
        <v/>
      </c>
      <c r="AK352" s="116"/>
    </row>
    <row r="353" spans="1:39" x14ac:dyDescent="0.35">
      <c r="A353" t="s">
        <v>804</v>
      </c>
      <c r="B353" s="12">
        <v>1286</v>
      </c>
      <c r="C353" s="21" t="s">
        <v>403</v>
      </c>
      <c r="D353" s="13" t="s">
        <v>1230</v>
      </c>
      <c r="F353" t="s">
        <v>805</v>
      </c>
      <c r="G353" t="s">
        <v>23</v>
      </c>
      <c r="H353" s="1">
        <v>46035</v>
      </c>
      <c r="I353" s="1">
        <v>46048</v>
      </c>
      <c r="J353" s="13" t="s">
        <v>24</v>
      </c>
      <c r="L353" s="2">
        <v>46455.39</v>
      </c>
      <c r="M353" s="2">
        <v>34885.54</v>
      </c>
      <c r="N353" s="2">
        <v>31396.98</v>
      </c>
      <c r="O353" s="2">
        <v>66282.52</v>
      </c>
      <c r="P353" s="3">
        <v>0.9</v>
      </c>
      <c r="Q353" s="3"/>
      <c r="R353" s="2">
        <v>4138.46</v>
      </c>
      <c r="S353" s="3">
        <v>0.12</v>
      </c>
      <c r="T353" s="2">
        <v>39024</v>
      </c>
      <c r="U353" t="s">
        <v>33</v>
      </c>
      <c r="V353" s="13" t="str">
        <f t="shared" si="35"/>
        <v>No</v>
      </c>
      <c r="W353" s="13" t="str">
        <f t="shared" si="35"/>
        <v>Yes</v>
      </c>
      <c r="X353" s="13" t="str">
        <f t="shared" si="35"/>
        <v>Yes</v>
      </c>
      <c r="Y353" s="13" t="str">
        <f t="shared" si="35"/>
        <v>No</v>
      </c>
      <c r="Z353" s="13" t="str">
        <f t="shared" si="35"/>
        <v>No</v>
      </c>
      <c r="AA353" s="71" t="e">
        <f>+(Table1[[#This Row],[Everyday price]]-Table1[[#This Row],[Promo Price]])/Table1[[#This Row],[Everyday price]]</f>
        <v>#DIV/0!</v>
      </c>
      <c r="AC353" s="69"/>
      <c r="AD353" s="13"/>
      <c r="AH353" s="6"/>
      <c r="AJ353" s="116" t="str">
        <f>IF(AND(ISNUMBER(Table1[[#This Row],[Lift  ]]),ISNUMBER(Table1[[#This Row],[Plan lift, %]]),Table1[[#This Row],[Plan lift, %]]&lt;&gt;0),Table1[[#This Row],[Lift  ]]-Table1[[#This Row],[Plan lift, %]],"")</f>
        <v/>
      </c>
      <c r="AK353" s="116"/>
    </row>
    <row r="354" spans="1:39" x14ac:dyDescent="0.35">
      <c r="A354" t="s">
        <v>830</v>
      </c>
      <c r="B354" s="12">
        <v>1287</v>
      </c>
      <c r="C354" s="21" t="s">
        <v>403</v>
      </c>
      <c r="D354" s="13" t="s">
        <v>1230</v>
      </c>
      <c r="F354" t="s">
        <v>831</v>
      </c>
      <c r="G354" t="s">
        <v>23</v>
      </c>
      <c r="H354" s="1">
        <v>46113</v>
      </c>
      <c r="I354" s="1">
        <v>46142</v>
      </c>
      <c r="J354" s="13" t="s">
        <v>24</v>
      </c>
      <c r="L354" s="2">
        <v>52536.800000000003</v>
      </c>
      <c r="M354" s="2">
        <v>75052.570000000007</v>
      </c>
      <c r="N354" s="2">
        <v>30021.02</v>
      </c>
      <c r="O354" s="2">
        <v>105073.59</v>
      </c>
      <c r="P354" s="3">
        <v>0.4</v>
      </c>
      <c r="Q354" s="3"/>
      <c r="R354" s="2">
        <v>-57772.57</v>
      </c>
      <c r="S354" s="3">
        <v>-0.77</v>
      </c>
      <c r="T354" s="2">
        <v>17280</v>
      </c>
      <c r="U354" t="s">
        <v>25</v>
      </c>
      <c r="V354" s="13" t="str">
        <f t="shared" si="35"/>
        <v>No</v>
      </c>
      <c r="W354" s="13" t="str">
        <f t="shared" si="35"/>
        <v>Yes</v>
      </c>
      <c r="X354" s="13" t="str">
        <f t="shared" si="35"/>
        <v>No</v>
      </c>
      <c r="Y354" s="13" t="str">
        <f t="shared" si="35"/>
        <v>No</v>
      </c>
      <c r="Z354" s="13" t="str">
        <f t="shared" si="35"/>
        <v>No</v>
      </c>
      <c r="AA354" s="71" t="e">
        <f>+(Table1[[#This Row],[Everyday price]]-Table1[[#This Row],[Promo Price]])/Table1[[#This Row],[Everyday price]]</f>
        <v>#DIV/0!</v>
      </c>
      <c r="AC354" s="69"/>
      <c r="AD354" s="13"/>
      <c r="AH354" s="6"/>
      <c r="AJ354" s="116" t="str">
        <f>IF(AND(ISNUMBER(Table1[[#This Row],[Lift  ]]),ISNUMBER(Table1[[#This Row],[Plan lift, %]]),Table1[[#This Row],[Plan lift, %]]&lt;&gt;0),Table1[[#This Row],[Lift  ]]-Table1[[#This Row],[Plan lift, %]],"")</f>
        <v/>
      </c>
      <c r="AK354" s="116"/>
    </row>
    <row r="355" spans="1:39" x14ac:dyDescent="0.35">
      <c r="A355" t="s">
        <v>402</v>
      </c>
      <c r="B355" s="12">
        <v>1288</v>
      </c>
      <c r="C355" s="21" t="s">
        <v>403</v>
      </c>
      <c r="D355" s="13" t="s">
        <v>1230</v>
      </c>
      <c r="F355" t="s">
        <v>404</v>
      </c>
      <c r="G355" t="s">
        <v>23</v>
      </c>
      <c r="H355" s="1">
        <v>46204</v>
      </c>
      <c r="I355" s="1">
        <v>46234</v>
      </c>
      <c r="J355" s="13" t="s">
        <v>24</v>
      </c>
      <c r="L355" s="2">
        <v>88722.75</v>
      </c>
      <c r="M355" s="2">
        <v>79517.929999999993</v>
      </c>
      <c r="N355" s="2">
        <v>63614.34</v>
      </c>
      <c r="O355" s="2">
        <v>143132.26999999999</v>
      </c>
      <c r="P355" s="3">
        <v>0.8</v>
      </c>
      <c r="Q355" s="3"/>
      <c r="R355" s="2">
        <v>-21917.93</v>
      </c>
      <c r="S355" s="3">
        <v>-0.28000000000000003</v>
      </c>
      <c r="T355" s="2">
        <v>57600</v>
      </c>
      <c r="U355" t="s">
        <v>33</v>
      </c>
      <c r="V355" s="13" t="str">
        <f t="shared" si="35"/>
        <v>No</v>
      </c>
      <c r="W355" s="13" t="str">
        <f t="shared" si="35"/>
        <v>Yes</v>
      </c>
      <c r="X355" s="13" t="str">
        <f t="shared" si="35"/>
        <v>Yes</v>
      </c>
      <c r="Y355" s="13" t="str">
        <f t="shared" si="35"/>
        <v>No</v>
      </c>
      <c r="Z355" s="13" t="str">
        <f t="shared" si="35"/>
        <v>No</v>
      </c>
      <c r="AA355" s="71" t="e">
        <f>+(Table1[[#This Row],[Everyday price]]-Table1[[#This Row],[Promo Price]])/Table1[[#This Row],[Everyday price]]</f>
        <v>#DIV/0!</v>
      </c>
      <c r="AC355" s="69"/>
      <c r="AD355" s="13"/>
      <c r="AH355" s="6"/>
      <c r="AJ355" s="116" t="str">
        <f>IF(AND(ISNUMBER(Table1[[#This Row],[Lift  ]]),ISNUMBER(Table1[[#This Row],[Plan lift, %]]),Table1[[#This Row],[Plan lift, %]]&lt;&gt;0),Table1[[#This Row],[Lift  ]]-Table1[[#This Row],[Plan lift, %]],"")</f>
        <v/>
      </c>
      <c r="AK355" s="116"/>
    </row>
    <row r="356" spans="1:39" x14ac:dyDescent="0.35">
      <c r="A356" t="s">
        <v>698</v>
      </c>
      <c r="B356" s="12">
        <v>1289</v>
      </c>
      <c r="C356" s="21" t="s">
        <v>403</v>
      </c>
      <c r="D356" s="13" t="s">
        <v>1230</v>
      </c>
      <c r="F356" t="s">
        <v>699</v>
      </c>
      <c r="G356" t="s">
        <v>44</v>
      </c>
      <c r="H356" s="1">
        <v>46250</v>
      </c>
      <c r="I356" s="1">
        <v>46265</v>
      </c>
      <c r="J356" s="13" t="s">
        <v>24</v>
      </c>
      <c r="L356" s="2">
        <v>52909.48</v>
      </c>
      <c r="M356" s="2">
        <v>41991.65</v>
      </c>
      <c r="N356" s="2">
        <v>33593.32</v>
      </c>
      <c r="O356" s="2">
        <v>75584.97</v>
      </c>
      <c r="P356" s="3">
        <v>0.8</v>
      </c>
      <c r="Q356" s="3"/>
      <c r="R356" s="2">
        <v>0</v>
      </c>
      <c r="S356" s="3">
        <v>0</v>
      </c>
      <c r="T356" s="2">
        <v>0</v>
      </c>
      <c r="U356" t="s">
        <v>25</v>
      </c>
      <c r="V356" s="13" t="str">
        <f t="shared" si="35"/>
        <v>No</v>
      </c>
      <c r="W356" s="13" t="str">
        <f t="shared" si="35"/>
        <v>Yes</v>
      </c>
      <c r="X356" s="13" t="str">
        <f t="shared" si="35"/>
        <v>No</v>
      </c>
      <c r="Y356" s="13" t="str">
        <f t="shared" si="35"/>
        <v>No</v>
      </c>
      <c r="Z356" s="13" t="str">
        <f t="shared" si="35"/>
        <v>No</v>
      </c>
      <c r="AA356" s="71" t="e">
        <f>+(Table1[[#This Row],[Everyday price]]-Table1[[#This Row],[Promo Price]])/Table1[[#This Row],[Everyday price]]</f>
        <v>#DIV/0!</v>
      </c>
      <c r="AC356" s="69"/>
      <c r="AD356" s="13"/>
      <c r="AH356" s="6"/>
      <c r="AJ356" s="116" t="str">
        <f>IF(AND(ISNUMBER(Table1[[#This Row],[Lift  ]]),ISNUMBER(Table1[[#This Row],[Plan lift, %]]),Table1[[#This Row],[Plan lift, %]]&lt;&gt;0),Table1[[#This Row],[Lift  ]]-Table1[[#This Row],[Plan lift, %]],"")</f>
        <v/>
      </c>
      <c r="AK356" s="116"/>
    </row>
    <row r="357" spans="1:39" x14ac:dyDescent="0.35">
      <c r="A357" t="s">
        <v>445</v>
      </c>
      <c r="B357" s="12">
        <v>1290</v>
      </c>
      <c r="C357" s="21" t="s">
        <v>403</v>
      </c>
      <c r="D357" s="13" t="s">
        <v>1230</v>
      </c>
      <c r="F357" t="s">
        <v>446</v>
      </c>
      <c r="G357" t="s">
        <v>44</v>
      </c>
      <c r="H357" s="1">
        <v>46296</v>
      </c>
      <c r="I357" s="1">
        <v>46326</v>
      </c>
      <c r="J357" s="13" t="s">
        <v>24</v>
      </c>
      <c r="L357" s="2">
        <v>51266.66</v>
      </c>
      <c r="M357" s="2">
        <v>91547.6</v>
      </c>
      <c r="N357" s="2">
        <v>36619.040000000001</v>
      </c>
      <c r="O357" s="2">
        <v>128166.64</v>
      </c>
      <c r="P357" s="3">
        <v>0.4</v>
      </c>
      <c r="Q357" s="3"/>
      <c r="R357" s="2">
        <v>0</v>
      </c>
      <c r="S357" s="3">
        <v>0</v>
      </c>
      <c r="T357" s="2">
        <v>0</v>
      </c>
      <c r="U357" t="s">
        <v>25</v>
      </c>
      <c r="V357" s="13" t="str">
        <f t="shared" si="35"/>
        <v>No</v>
      </c>
      <c r="W357" s="13" t="str">
        <f t="shared" si="35"/>
        <v>Yes</v>
      </c>
      <c r="X357" s="13" t="str">
        <f t="shared" si="35"/>
        <v>No</v>
      </c>
      <c r="Y357" s="13" t="str">
        <f t="shared" si="35"/>
        <v>No</v>
      </c>
      <c r="Z357" s="13" t="str">
        <f t="shared" si="35"/>
        <v>No</v>
      </c>
      <c r="AA357" s="71" t="e">
        <f>+(Table1[[#This Row],[Everyday price]]-Table1[[#This Row],[Promo Price]])/Table1[[#This Row],[Everyday price]]</f>
        <v>#DIV/0!</v>
      </c>
      <c r="AC357" s="69"/>
      <c r="AD357" s="13"/>
      <c r="AH357" s="6"/>
      <c r="AJ357" s="116" t="str">
        <f>IF(AND(ISNUMBER(Table1[[#This Row],[Lift  ]]),ISNUMBER(Table1[[#This Row],[Plan lift, %]]),Table1[[#This Row],[Plan lift, %]]&lt;&gt;0),Table1[[#This Row],[Lift  ]]-Table1[[#This Row],[Plan lift, %]],"")</f>
        <v/>
      </c>
      <c r="AK357" s="116"/>
    </row>
    <row r="358" spans="1:39" x14ac:dyDescent="0.35">
      <c r="A358" t="s">
        <v>1217</v>
      </c>
      <c r="B358" s="12">
        <v>967</v>
      </c>
      <c r="C358" s="21" t="s">
        <v>237</v>
      </c>
      <c r="D358" s="13" t="s">
        <v>1235</v>
      </c>
      <c r="F358" s="21" t="s">
        <v>1218</v>
      </c>
      <c r="G358" t="s">
        <v>23</v>
      </c>
      <c r="H358" s="14">
        <v>46023</v>
      </c>
      <c r="I358" s="14">
        <v>46053</v>
      </c>
      <c r="J358" s="13" t="s">
        <v>24</v>
      </c>
      <c r="L358" s="2">
        <v>2182.41</v>
      </c>
      <c r="M358" s="2">
        <v>2363.27</v>
      </c>
      <c r="N358" s="2">
        <v>2363.27</v>
      </c>
      <c r="O358" s="2">
        <v>4726.54</v>
      </c>
      <c r="P358" s="3">
        <v>1</v>
      </c>
      <c r="Q358" s="3"/>
      <c r="R358" s="2">
        <v>0</v>
      </c>
      <c r="S358" s="3">
        <v>0</v>
      </c>
      <c r="T358" s="2">
        <v>0</v>
      </c>
      <c r="U358" s="13" t="s">
        <v>33</v>
      </c>
      <c r="V358" s="13" t="str">
        <f t="shared" si="35"/>
        <v>No</v>
      </c>
      <c r="W358" s="13" t="str">
        <f t="shared" si="35"/>
        <v>Yes</v>
      </c>
      <c r="X358" s="13" t="str">
        <f t="shared" si="35"/>
        <v>Yes</v>
      </c>
      <c r="Y358" s="13" t="str">
        <f t="shared" si="35"/>
        <v>No</v>
      </c>
      <c r="Z358" s="13" t="str">
        <f t="shared" si="35"/>
        <v>No</v>
      </c>
      <c r="AA358" s="71" t="e">
        <f>+(Table1[[#This Row],[Everyday price]]-Table1[[#This Row],[Promo Price]])/Table1[[#This Row],[Everyday price]]</f>
        <v>#DIV/0!</v>
      </c>
      <c r="AC358" s="69"/>
      <c r="AH358" s="6"/>
      <c r="AJ358" s="116" t="str">
        <f>IF(AND(ISNUMBER(Table1[[#This Row],[Lift  ]]),ISNUMBER(Table1[[#This Row],[Plan lift, %]]),Table1[[#This Row],[Plan lift, %]]&lt;&gt;0),Table1[[#This Row],[Lift  ]]-Table1[[#This Row],[Plan lift, %]],"")</f>
        <v/>
      </c>
      <c r="AK358" s="116"/>
    </row>
    <row r="359" spans="1:39" x14ac:dyDescent="0.35">
      <c r="A359" t="s">
        <v>1170</v>
      </c>
      <c r="B359" s="12">
        <v>968</v>
      </c>
      <c r="C359" s="21" t="s">
        <v>237</v>
      </c>
      <c r="D359" s="13" t="s">
        <v>1235</v>
      </c>
      <c r="F359" s="21" t="s">
        <v>1171</v>
      </c>
      <c r="G359" t="s">
        <v>23</v>
      </c>
      <c r="H359" s="14">
        <v>46082</v>
      </c>
      <c r="I359" s="14">
        <v>46112</v>
      </c>
      <c r="J359" s="13" t="s">
        <v>24</v>
      </c>
      <c r="L359" s="2">
        <v>5632.89</v>
      </c>
      <c r="M359" s="2">
        <v>2713.39</v>
      </c>
      <c r="N359" s="2">
        <v>5426.78</v>
      </c>
      <c r="O359" s="2">
        <v>8140.17</v>
      </c>
      <c r="P359" s="3">
        <v>2</v>
      </c>
      <c r="Q359" s="3"/>
      <c r="R359" s="2">
        <v>0</v>
      </c>
      <c r="S359" s="3">
        <v>0</v>
      </c>
      <c r="T359" s="2">
        <v>0</v>
      </c>
      <c r="U359" s="13" t="s">
        <v>33</v>
      </c>
      <c r="V359" s="13" t="str">
        <f t="shared" si="35"/>
        <v>No</v>
      </c>
      <c r="W359" s="13" t="str">
        <f t="shared" si="35"/>
        <v>Yes</v>
      </c>
      <c r="X359" s="13" t="str">
        <f t="shared" si="35"/>
        <v>Yes</v>
      </c>
      <c r="Y359" s="13" t="str">
        <f t="shared" si="35"/>
        <v>No</v>
      </c>
      <c r="Z359" s="13" t="str">
        <f t="shared" si="35"/>
        <v>No</v>
      </c>
      <c r="AA359" s="71" t="e">
        <f>+(Table1[[#This Row],[Everyday price]]-Table1[[#This Row],[Promo Price]])/Table1[[#This Row],[Everyday price]]</f>
        <v>#DIV/0!</v>
      </c>
      <c r="AC359" s="69"/>
      <c r="AH359" s="6"/>
      <c r="AJ359" s="116" t="str">
        <f>IF(AND(ISNUMBER(Table1[[#This Row],[Lift  ]]),ISNUMBER(Table1[[#This Row],[Plan lift, %]]),Table1[[#This Row],[Plan lift, %]]&lt;&gt;0),Table1[[#This Row],[Lift  ]]-Table1[[#This Row],[Plan lift, %]],"")</f>
        <v/>
      </c>
      <c r="AK359" s="116"/>
    </row>
    <row r="360" spans="1:39" x14ac:dyDescent="0.35">
      <c r="A360" t="s">
        <v>236</v>
      </c>
      <c r="B360" s="12">
        <v>969</v>
      </c>
      <c r="C360" s="21" t="s">
        <v>237</v>
      </c>
      <c r="D360" s="13" t="s">
        <v>1235</v>
      </c>
      <c r="F360" s="21" t="s">
        <v>238</v>
      </c>
      <c r="G360" t="s">
        <v>23</v>
      </c>
      <c r="H360" s="14">
        <v>46174</v>
      </c>
      <c r="I360" s="14">
        <v>46203</v>
      </c>
      <c r="J360" s="13" t="s">
        <v>24</v>
      </c>
      <c r="L360" s="2">
        <v>2408.2399999999998</v>
      </c>
      <c r="M360" s="2">
        <v>2625.86</v>
      </c>
      <c r="N360" s="2">
        <v>2625.86</v>
      </c>
      <c r="O360" s="2">
        <v>5251.72</v>
      </c>
      <c r="P360" s="3">
        <v>1</v>
      </c>
      <c r="Q360" s="3"/>
      <c r="R360" s="2">
        <v>0</v>
      </c>
      <c r="S360" s="3">
        <v>0</v>
      </c>
      <c r="T360" s="2">
        <v>0</v>
      </c>
      <c r="U360" s="13" t="s">
        <v>33</v>
      </c>
      <c r="V360" s="13" t="str">
        <f t="shared" si="35"/>
        <v>No</v>
      </c>
      <c r="W360" s="13" t="str">
        <f t="shared" si="35"/>
        <v>Yes</v>
      </c>
      <c r="X360" s="13" t="str">
        <f t="shared" si="35"/>
        <v>Yes</v>
      </c>
      <c r="Y360" s="13" t="str">
        <f t="shared" si="35"/>
        <v>No</v>
      </c>
      <c r="Z360" s="13" t="str">
        <f t="shared" si="35"/>
        <v>No</v>
      </c>
      <c r="AA360" s="71" t="e">
        <f>+(Table1[[#This Row],[Everyday price]]-Table1[[#This Row],[Promo Price]])/Table1[[#This Row],[Everyday price]]</f>
        <v>#DIV/0!</v>
      </c>
      <c r="AC360" s="69"/>
      <c r="AH360" s="6"/>
      <c r="AJ360" s="116" t="str">
        <f>IF(AND(ISNUMBER(Table1[[#This Row],[Lift  ]]),ISNUMBER(Table1[[#This Row],[Plan lift, %]]),Table1[[#This Row],[Plan lift, %]]&lt;&gt;0),Table1[[#This Row],[Lift  ]]-Table1[[#This Row],[Plan lift, %]],"")</f>
        <v/>
      </c>
      <c r="AK360" s="116"/>
    </row>
    <row r="361" spans="1:39" x14ac:dyDescent="0.35">
      <c r="A361" t="s">
        <v>758</v>
      </c>
      <c r="B361" s="12">
        <v>970</v>
      </c>
      <c r="C361" s="21" t="s">
        <v>237</v>
      </c>
      <c r="D361" s="13" t="s">
        <v>1235</v>
      </c>
      <c r="F361" s="21" t="s">
        <v>759</v>
      </c>
      <c r="G361" t="s">
        <v>60</v>
      </c>
      <c r="H361" s="14">
        <v>46235</v>
      </c>
      <c r="I361" s="14">
        <v>46265</v>
      </c>
      <c r="J361" s="13" t="s">
        <v>24</v>
      </c>
      <c r="L361" s="2">
        <v>2483.52</v>
      </c>
      <c r="M361" s="2">
        <v>2713.39</v>
      </c>
      <c r="N361" s="2">
        <v>2713.39</v>
      </c>
      <c r="O361" s="2">
        <v>5426.78</v>
      </c>
      <c r="P361" s="3">
        <v>1</v>
      </c>
      <c r="Q361" s="3"/>
      <c r="R361" s="2">
        <v>0</v>
      </c>
      <c r="S361" s="3">
        <v>0</v>
      </c>
      <c r="T361" s="2">
        <v>0</v>
      </c>
      <c r="U361" s="13" t="s">
        <v>33</v>
      </c>
      <c r="V361" s="13" t="str">
        <f t="shared" si="35"/>
        <v>No</v>
      </c>
      <c r="W361" s="13" t="str">
        <f t="shared" si="35"/>
        <v>Yes</v>
      </c>
      <c r="X361" s="13" t="str">
        <f t="shared" si="35"/>
        <v>Yes</v>
      </c>
      <c r="Y361" s="13" t="str">
        <f t="shared" si="35"/>
        <v>No</v>
      </c>
      <c r="Z361" s="13" t="str">
        <f t="shared" si="35"/>
        <v>No</v>
      </c>
      <c r="AA361" s="71" t="e">
        <f>+(Table1[[#This Row],[Everyday price]]-Table1[[#This Row],[Promo Price]])/Table1[[#This Row],[Everyday price]]</f>
        <v>#DIV/0!</v>
      </c>
      <c r="AC361" s="69"/>
      <c r="AH361" s="6"/>
      <c r="AJ361" s="116" t="str">
        <f>IF(AND(ISNUMBER(Table1[[#This Row],[Lift  ]]),ISNUMBER(Table1[[#This Row],[Plan lift, %]]),Table1[[#This Row],[Plan lift, %]]&lt;&gt;0),Table1[[#This Row],[Lift  ]]-Table1[[#This Row],[Plan lift, %]],"")</f>
        <v/>
      </c>
      <c r="AK361" s="116"/>
    </row>
    <row r="362" spans="1:39" x14ac:dyDescent="0.35">
      <c r="A362" t="s">
        <v>77</v>
      </c>
      <c r="B362" s="12">
        <v>1291</v>
      </c>
      <c r="C362" s="21" t="s">
        <v>78</v>
      </c>
      <c r="D362" s="13" t="s">
        <v>1235</v>
      </c>
      <c r="F362" s="21" t="s">
        <v>79</v>
      </c>
      <c r="G362" t="s">
        <v>23</v>
      </c>
      <c r="H362" s="14">
        <v>46023</v>
      </c>
      <c r="I362" s="14">
        <v>46053</v>
      </c>
      <c r="J362" s="13" t="s">
        <v>24</v>
      </c>
      <c r="L362" s="2">
        <v>1117.44</v>
      </c>
      <c r="M362" s="2">
        <v>2684.56</v>
      </c>
      <c r="N362" s="2">
        <v>402.68</v>
      </c>
      <c r="O362" s="2">
        <v>3087.24</v>
      </c>
      <c r="P362" s="3">
        <v>0.15</v>
      </c>
      <c r="Q362" s="3"/>
      <c r="R362" s="2">
        <v>0</v>
      </c>
      <c r="S362" s="3">
        <v>0</v>
      </c>
      <c r="T362" s="2">
        <v>0</v>
      </c>
      <c r="U362" s="13" t="s">
        <v>33</v>
      </c>
      <c r="V362" s="13" t="str">
        <f t="shared" ref="V362:Z371" si="36">IF(ISNUMBER(SEARCH(V$1,$U362)),"Yes","No")</f>
        <v>No</v>
      </c>
      <c r="W362" s="13" t="str">
        <f t="shared" si="36"/>
        <v>Yes</v>
      </c>
      <c r="X362" s="13" t="str">
        <f t="shared" si="36"/>
        <v>Yes</v>
      </c>
      <c r="Y362" s="13" t="str">
        <f t="shared" si="36"/>
        <v>No</v>
      </c>
      <c r="Z362" s="13" t="str">
        <f t="shared" si="36"/>
        <v>No</v>
      </c>
      <c r="AA362" s="71" t="e">
        <f>+(Table1[[#This Row],[Everyday price]]-Table1[[#This Row],[Promo Price]])/Table1[[#This Row],[Everyday price]]</f>
        <v>#DIV/0!</v>
      </c>
      <c r="AC362" s="69"/>
      <c r="AH362" s="6"/>
      <c r="AJ362" s="116" t="str">
        <f>IF(AND(ISNUMBER(Table1[[#This Row],[Lift  ]]),ISNUMBER(Table1[[#This Row],[Plan lift, %]]),Table1[[#This Row],[Plan lift, %]]&lt;&gt;0),Table1[[#This Row],[Lift  ]]-Table1[[#This Row],[Plan lift, %]],"")</f>
        <v/>
      </c>
      <c r="AK362" s="116"/>
    </row>
    <row r="363" spans="1:39" x14ac:dyDescent="0.35">
      <c r="A363" t="s">
        <v>370</v>
      </c>
      <c r="B363" s="12">
        <v>1292</v>
      </c>
      <c r="C363" s="21" t="s">
        <v>78</v>
      </c>
      <c r="D363" s="13" t="s">
        <v>1235</v>
      </c>
      <c r="F363" s="21" t="s">
        <v>371</v>
      </c>
      <c r="G363" t="s">
        <v>23</v>
      </c>
      <c r="H363" s="14">
        <v>46054</v>
      </c>
      <c r="I363" s="14">
        <v>46081</v>
      </c>
      <c r="J363" s="13" t="s">
        <v>24</v>
      </c>
      <c r="L363" s="2">
        <v>640.32000000000005</v>
      </c>
      <c r="M363" s="2">
        <v>2784</v>
      </c>
      <c r="N363" s="2">
        <v>417.6</v>
      </c>
      <c r="O363" s="2">
        <v>3201.6</v>
      </c>
      <c r="P363" s="3">
        <v>0.15</v>
      </c>
      <c r="Q363" s="3"/>
      <c r="R363" s="2">
        <v>0</v>
      </c>
      <c r="S363" s="3">
        <v>0</v>
      </c>
      <c r="T363" s="2">
        <v>0</v>
      </c>
      <c r="U363" s="13" t="s">
        <v>25</v>
      </c>
      <c r="V363" s="13" t="str">
        <f t="shared" si="36"/>
        <v>No</v>
      </c>
      <c r="W363" s="13" t="str">
        <f t="shared" si="36"/>
        <v>Yes</v>
      </c>
      <c r="X363" s="13" t="str">
        <f t="shared" si="36"/>
        <v>No</v>
      </c>
      <c r="Y363" s="13" t="str">
        <f t="shared" si="36"/>
        <v>No</v>
      </c>
      <c r="Z363" s="13" t="str">
        <f t="shared" si="36"/>
        <v>No</v>
      </c>
      <c r="AA363" s="71" t="e">
        <f>+(Table1[[#This Row],[Everyday price]]-Table1[[#This Row],[Promo Price]])/Table1[[#This Row],[Everyday price]]</f>
        <v>#DIV/0!</v>
      </c>
      <c r="AC363" s="69"/>
      <c r="AH363" s="6"/>
      <c r="AJ363" s="116" t="str">
        <f>IF(AND(ISNUMBER(Table1[[#This Row],[Lift  ]]),ISNUMBER(Table1[[#This Row],[Plan lift, %]]),Table1[[#This Row],[Plan lift, %]]&lt;&gt;0),Table1[[#This Row],[Lift  ]]-Table1[[#This Row],[Plan lift, %]],"")</f>
        <v/>
      </c>
      <c r="AK363" s="116"/>
    </row>
    <row r="364" spans="1:39" x14ac:dyDescent="0.35">
      <c r="A364" t="s">
        <v>637</v>
      </c>
      <c r="B364" s="12">
        <v>1293</v>
      </c>
      <c r="C364" s="21" t="s">
        <v>78</v>
      </c>
      <c r="D364" s="13" t="s">
        <v>1235</v>
      </c>
      <c r="F364" s="21" t="s">
        <v>638</v>
      </c>
      <c r="G364" t="s">
        <v>23</v>
      </c>
      <c r="H364" s="14">
        <v>46143</v>
      </c>
      <c r="I364" s="14">
        <v>46173</v>
      </c>
      <c r="J364" s="13" t="s">
        <v>24</v>
      </c>
      <c r="L364" s="2">
        <v>1208.92</v>
      </c>
      <c r="M364" s="2">
        <v>3082.28</v>
      </c>
      <c r="N364" s="2">
        <v>462.36</v>
      </c>
      <c r="O364" s="2">
        <v>3544.64</v>
      </c>
      <c r="P364" s="3">
        <v>0.15</v>
      </c>
      <c r="Q364" s="3"/>
      <c r="R364" s="2">
        <v>0</v>
      </c>
      <c r="S364" s="3">
        <v>0</v>
      </c>
      <c r="T364" s="2">
        <v>0</v>
      </c>
      <c r="U364" s="13" t="s">
        <v>33</v>
      </c>
      <c r="V364" s="13" t="str">
        <f t="shared" si="36"/>
        <v>No</v>
      </c>
      <c r="W364" s="13" t="str">
        <f t="shared" si="36"/>
        <v>Yes</v>
      </c>
      <c r="X364" s="13" t="str">
        <f t="shared" si="36"/>
        <v>Yes</v>
      </c>
      <c r="Y364" s="13" t="str">
        <f t="shared" si="36"/>
        <v>No</v>
      </c>
      <c r="Z364" s="13" t="str">
        <f t="shared" si="36"/>
        <v>No</v>
      </c>
      <c r="AA364" s="71" t="e">
        <f>+(Table1[[#This Row],[Everyday price]]-Table1[[#This Row],[Promo Price]])/Table1[[#This Row],[Everyday price]]</f>
        <v>#DIV/0!</v>
      </c>
      <c r="AC364" s="69"/>
      <c r="AH364" s="6"/>
      <c r="AJ364" s="116" t="str">
        <f>IF(AND(ISNUMBER(Table1[[#This Row],[Lift  ]]),ISNUMBER(Table1[[#This Row],[Plan lift, %]]),Table1[[#This Row],[Plan lift, %]]&lt;&gt;0),Table1[[#This Row],[Lift  ]]-Table1[[#This Row],[Plan lift, %]],"")</f>
        <v/>
      </c>
      <c r="AK364" s="116"/>
    </row>
    <row r="365" spans="1:39" x14ac:dyDescent="0.35">
      <c r="A365" t="s">
        <v>1001</v>
      </c>
      <c r="B365" s="12">
        <v>1294</v>
      </c>
      <c r="C365" s="21" t="s">
        <v>78</v>
      </c>
      <c r="D365" s="13" t="s">
        <v>1235</v>
      </c>
      <c r="F365" s="21" t="s">
        <v>1002</v>
      </c>
      <c r="G365" t="s">
        <v>23</v>
      </c>
      <c r="H365" s="14">
        <v>46174</v>
      </c>
      <c r="I365" s="14">
        <v>46203</v>
      </c>
      <c r="J365" s="13" t="s">
        <v>24</v>
      </c>
      <c r="L365" s="2">
        <v>686.04</v>
      </c>
      <c r="M365" s="2">
        <v>2982.84</v>
      </c>
      <c r="N365" s="2">
        <v>447.44</v>
      </c>
      <c r="O365" s="2">
        <v>3430.28</v>
      </c>
      <c r="P365" s="3">
        <v>0.15</v>
      </c>
      <c r="Q365" s="3"/>
      <c r="R365" s="2">
        <v>0</v>
      </c>
      <c r="S365" s="3">
        <v>0</v>
      </c>
      <c r="T365" s="2">
        <v>0</v>
      </c>
      <c r="U365" s="13" t="s">
        <v>25</v>
      </c>
      <c r="V365" s="13" t="str">
        <f t="shared" si="36"/>
        <v>No</v>
      </c>
      <c r="W365" s="13" t="str">
        <f t="shared" si="36"/>
        <v>Yes</v>
      </c>
      <c r="X365" s="13" t="str">
        <f t="shared" si="36"/>
        <v>No</v>
      </c>
      <c r="Y365" s="13" t="str">
        <f t="shared" si="36"/>
        <v>No</v>
      </c>
      <c r="Z365" s="13" t="str">
        <f t="shared" si="36"/>
        <v>No</v>
      </c>
      <c r="AA365" s="71" t="e">
        <f>+(Table1[[#This Row],[Everyday price]]-Table1[[#This Row],[Promo Price]])/Table1[[#This Row],[Everyday price]]</f>
        <v>#DIV/0!</v>
      </c>
      <c r="AC365" s="69"/>
      <c r="AH365" s="6"/>
      <c r="AJ365" s="116" t="str">
        <f>IF(AND(ISNUMBER(Table1[[#This Row],[Lift  ]]),ISNUMBER(Table1[[#This Row],[Plan lift, %]]),Table1[[#This Row],[Plan lift, %]]&lt;&gt;0),Table1[[#This Row],[Lift  ]]-Table1[[#This Row],[Plan lift, %]],"")</f>
        <v/>
      </c>
      <c r="AK365" s="116"/>
    </row>
    <row r="366" spans="1:39" x14ac:dyDescent="0.35">
      <c r="A366" t="s">
        <v>1009</v>
      </c>
      <c r="B366" s="12">
        <v>1295</v>
      </c>
      <c r="C366" s="21" t="s">
        <v>78</v>
      </c>
      <c r="D366" s="13" t="s">
        <v>1235</v>
      </c>
      <c r="F366" s="21" t="s">
        <v>1010</v>
      </c>
      <c r="G366" t="s">
        <v>44</v>
      </c>
      <c r="H366" s="14">
        <v>46266</v>
      </c>
      <c r="I366" s="14">
        <v>46295</v>
      </c>
      <c r="J366" s="13" t="s">
        <v>24</v>
      </c>
      <c r="L366" s="2">
        <v>1186.04</v>
      </c>
      <c r="M366" s="2">
        <v>2982.84</v>
      </c>
      <c r="N366" s="2">
        <v>447.44</v>
      </c>
      <c r="O366" s="2">
        <v>3430.28</v>
      </c>
      <c r="P366" s="3">
        <v>0.15</v>
      </c>
      <c r="Q366" s="3"/>
      <c r="R366" s="2">
        <v>0</v>
      </c>
      <c r="S366" s="3">
        <v>0</v>
      </c>
      <c r="T366" s="2">
        <v>0</v>
      </c>
      <c r="U366" s="13" t="s">
        <v>33</v>
      </c>
      <c r="V366" s="13" t="str">
        <f t="shared" si="36"/>
        <v>No</v>
      </c>
      <c r="W366" s="13" t="str">
        <f t="shared" si="36"/>
        <v>Yes</v>
      </c>
      <c r="X366" s="13" t="str">
        <f t="shared" si="36"/>
        <v>Yes</v>
      </c>
      <c r="Y366" s="13" t="str">
        <f t="shared" si="36"/>
        <v>No</v>
      </c>
      <c r="Z366" s="13" t="str">
        <f t="shared" si="36"/>
        <v>No</v>
      </c>
      <c r="AA366" s="71" t="e">
        <f>+(Table1[[#This Row],[Everyday price]]-Table1[[#This Row],[Promo Price]])/Table1[[#This Row],[Everyday price]]</f>
        <v>#DIV/0!</v>
      </c>
      <c r="AC366" s="69"/>
      <c r="AH366" s="6"/>
      <c r="AJ366" s="116" t="str">
        <f>IF(AND(ISNUMBER(Table1[[#This Row],[Lift  ]]),ISNUMBER(Table1[[#This Row],[Plan lift, %]]),Table1[[#This Row],[Plan lift, %]]&lt;&gt;0),Table1[[#This Row],[Lift  ]]-Table1[[#This Row],[Plan lift, %]],"")</f>
        <v/>
      </c>
      <c r="AK366" s="116"/>
    </row>
    <row r="367" spans="1:39" x14ac:dyDescent="0.35">
      <c r="A367" t="s">
        <v>960</v>
      </c>
      <c r="B367" s="12">
        <v>1296</v>
      </c>
      <c r="C367" s="21" t="s">
        <v>78</v>
      </c>
      <c r="D367" s="13" t="s">
        <v>1235</v>
      </c>
      <c r="F367" s="21" t="s">
        <v>961</v>
      </c>
      <c r="G367" t="s">
        <v>44</v>
      </c>
      <c r="H367" s="14">
        <v>46296</v>
      </c>
      <c r="I367" s="14">
        <v>46326</v>
      </c>
      <c r="J367" s="13" t="s">
        <v>24</v>
      </c>
      <c r="L367" s="2">
        <v>708.92</v>
      </c>
      <c r="M367" s="2">
        <v>3082.28</v>
      </c>
      <c r="N367" s="2">
        <v>462.36</v>
      </c>
      <c r="O367" s="2">
        <v>3544.64</v>
      </c>
      <c r="P367" s="3">
        <v>0.15</v>
      </c>
      <c r="Q367" s="3"/>
      <c r="R367" s="2">
        <v>0</v>
      </c>
      <c r="S367" s="3">
        <v>0</v>
      </c>
      <c r="T367" s="2">
        <v>0</v>
      </c>
      <c r="U367" s="13" t="s">
        <v>25</v>
      </c>
      <c r="V367" s="13" t="str">
        <f t="shared" si="36"/>
        <v>No</v>
      </c>
      <c r="W367" s="13" t="str">
        <f t="shared" si="36"/>
        <v>Yes</v>
      </c>
      <c r="X367" s="13" t="str">
        <f t="shared" si="36"/>
        <v>No</v>
      </c>
      <c r="Y367" s="13" t="str">
        <f t="shared" si="36"/>
        <v>No</v>
      </c>
      <c r="Z367" s="13" t="str">
        <f t="shared" si="36"/>
        <v>No</v>
      </c>
      <c r="AA367" s="71" t="e">
        <f>+(Table1[[#This Row],[Everyday price]]-Table1[[#This Row],[Promo Price]])/Table1[[#This Row],[Everyday price]]</f>
        <v>#DIV/0!</v>
      </c>
      <c r="AC367" s="69"/>
      <c r="AH367" s="6"/>
      <c r="AJ367" s="116" t="str">
        <f>IF(AND(ISNUMBER(Table1[[#This Row],[Lift  ]]),ISNUMBER(Table1[[#This Row],[Plan lift, %]]),Table1[[#This Row],[Plan lift, %]]&lt;&gt;0),Table1[[#This Row],[Lift  ]]-Table1[[#This Row],[Plan lift, %]],"")</f>
        <v/>
      </c>
      <c r="AK367" s="116"/>
    </row>
    <row r="368" spans="1:39" x14ac:dyDescent="0.35">
      <c r="A368" t="s">
        <v>891</v>
      </c>
      <c r="B368" s="143">
        <v>903</v>
      </c>
      <c r="C368" s="21" t="s">
        <v>149</v>
      </c>
      <c r="D368" s="13" t="s">
        <v>1232</v>
      </c>
      <c r="F368" s="21" t="s">
        <v>892</v>
      </c>
      <c r="G368" t="s">
        <v>23</v>
      </c>
      <c r="H368" s="14">
        <v>46023</v>
      </c>
      <c r="I368" s="14">
        <v>46037</v>
      </c>
      <c r="J368" s="13" t="s">
        <v>24</v>
      </c>
      <c r="L368" s="2">
        <v>2429.56</v>
      </c>
      <c r="M368" s="2">
        <v>2892.33</v>
      </c>
      <c r="N368" s="2">
        <v>1156.94</v>
      </c>
      <c r="O368" s="2">
        <v>4049.27</v>
      </c>
      <c r="P368" s="3">
        <v>0.4</v>
      </c>
      <c r="Q368" s="3"/>
      <c r="R368" s="2">
        <v>782.21</v>
      </c>
      <c r="S368" s="3">
        <v>0.27</v>
      </c>
      <c r="T368" s="2">
        <v>3674.5499999999997</v>
      </c>
      <c r="U368" s="13" t="s">
        <v>25</v>
      </c>
      <c r="V368" s="13" t="str">
        <f t="shared" si="36"/>
        <v>No</v>
      </c>
      <c r="W368" s="13" t="str">
        <f t="shared" si="36"/>
        <v>Yes</v>
      </c>
      <c r="X368" s="13" t="str">
        <f t="shared" si="36"/>
        <v>No</v>
      </c>
      <c r="Y368" s="13" t="str">
        <f t="shared" si="36"/>
        <v>No</v>
      </c>
      <c r="Z368" s="13" t="str">
        <f t="shared" si="36"/>
        <v>No</v>
      </c>
      <c r="AA368" s="71">
        <f>+(Table1[[#This Row],[Everyday price]]-Table1[[#This Row],[Promo Price]])/Table1[[#This Row],[Everyday price]]</f>
        <v>0.28428093645484953</v>
      </c>
      <c r="AB368" s="69">
        <v>2.14</v>
      </c>
      <c r="AC368" s="69">
        <v>2.99</v>
      </c>
      <c r="AD368" s="41" t="s">
        <v>1229</v>
      </c>
      <c r="AE368" s="5">
        <v>46027</v>
      </c>
      <c r="AF368" s="5">
        <v>46040</v>
      </c>
      <c r="AG368" s="20">
        <v>2196</v>
      </c>
      <c r="AH368" s="6">
        <v>1792</v>
      </c>
      <c r="AI368" s="11">
        <f>Table1[[#This Row],[Incremental Units]]/Table1[[#This Row],[Base Units]]</f>
        <v>0.81602914389799641</v>
      </c>
      <c r="AJ368" s="11">
        <f>IF(AND(ISNUMBER(Table1[[#This Row],[Lift  ]]),ISNUMBER(Table1[[#This Row],[Plan lift, %]]),Table1[[#This Row],[Plan lift, %]]&lt;&gt;0),Table1[[#This Row],[Lift  ]]-Table1[[#This Row],[Plan lift, %]],"")</f>
        <v>0.41602914389799639</v>
      </c>
      <c r="AK368" s="116"/>
      <c r="AL368" s="71" t="s">
        <v>1400</v>
      </c>
      <c r="AM368" t="s">
        <v>1568</v>
      </c>
    </row>
    <row r="369" spans="1:39" x14ac:dyDescent="0.35">
      <c r="A369" t="s">
        <v>1003</v>
      </c>
      <c r="B369" s="143">
        <v>904</v>
      </c>
      <c r="C369" s="21" t="s">
        <v>149</v>
      </c>
      <c r="D369" s="13" t="s">
        <v>1232</v>
      </c>
      <c r="F369" s="21" t="s">
        <v>1004</v>
      </c>
      <c r="G369" t="s">
        <v>23</v>
      </c>
      <c r="H369" s="14">
        <v>46082</v>
      </c>
      <c r="I369" s="14">
        <v>46096</v>
      </c>
      <c r="J369" s="13" t="s">
        <v>24</v>
      </c>
      <c r="L369" s="2">
        <v>779.48</v>
      </c>
      <c r="M369" s="2">
        <v>2227.08</v>
      </c>
      <c r="N369" s="2">
        <v>890.83</v>
      </c>
      <c r="O369" s="2">
        <v>3117.91</v>
      </c>
      <c r="P369" s="3">
        <v>0.4</v>
      </c>
      <c r="Q369" s="3"/>
      <c r="R369" s="2">
        <v>1406.93</v>
      </c>
      <c r="S369" s="3">
        <v>0.63</v>
      </c>
      <c r="T369" s="2">
        <v>3633.9999999999995</v>
      </c>
      <c r="U369" s="13" t="s">
        <v>25</v>
      </c>
      <c r="V369" s="13" t="str">
        <f t="shared" si="36"/>
        <v>No</v>
      </c>
      <c r="W369" s="13" t="str">
        <f t="shared" si="36"/>
        <v>Yes</v>
      </c>
      <c r="X369" s="13" t="str">
        <f t="shared" si="36"/>
        <v>No</v>
      </c>
      <c r="Y369" s="13" t="str">
        <f t="shared" si="36"/>
        <v>No</v>
      </c>
      <c r="Z369" s="13" t="str">
        <f t="shared" si="36"/>
        <v>No</v>
      </c>
      <c r="AA369" s="71">
        <f>+(Table1[[#This Row],[Everyday price]]-Table1[[#This Row],[Promo Price]])/Table1[[#This Row],[Everyday price]]</f>
        <v>0.14046822742474929</v>
      </c>
      <c r="AB369" s="69">
        <v>2.57</v>
      </c>
      <c r="AC369" s="69">
        <v>2.99</v>
      </c>
      <c r="AD369" s="41" t="s">
        <v>1229</v>
      </c>
      <c r="AE369" s="5">
        <v>46083</v>
      </c>
      <c r="AF369" s="5">
        <v>46096</v>
      </c>
      <c r="AG369" s="20">
        <v>2434</v>
      </c>
      <c r="AH369" s="6">
        <v>1014</v>
      </c>
      <c r="AI369" s="11">
        <f>Table1[[#This Row],[Incremental Units]]/Table1[[#This Row],[Base Units]]</f>
        <v>0.41659819227608874</v>
      </c>
      <c r="AJ369" s="11">
        <f>IF(AND(ISNUMBER(Table1[[#This Row],[Lift  ]]),ISNUMBER(Table1[[#This Row],[Plan lift, %]]),Table1[[#This Row],[Plan lift, %]]&lt;&gt;0),Table1[[#This Row],[Lift  ]]-Table1[[#This Row],[Plan lift, %]],"")</f>
        <v>1.6598192276088719E-2</v>
      </c>
      <c r="AK369" s="116"/>
      <c r="AL369" s="71" t="s">
        <v>1400</v>
      </c>
    </row>
    <row r="370" spans="1:39" x14ac:dyDescent="0.35">
      <c r="A370" t="s">
        <v>1139</v>
      </c>
      <c r="B370" s="143">
        <v>905</v>
      </c>
      <c r="C370" s="21" t="s">
        <v>149</v>
      </c>
      <c r="D370" s="13" t="s">
        <v>1232</v>
      </c>
      <c r="F370" s="21" t="s">
        <v>1140</v>
      </c>
      <c r="G370" t="s">
        <v>23</v>
      </c>
      <c r="H370" s="14">
        <v>46143</v>
      </c>
      <c r="I370" s="14">
        <v>46157</v>
      </c>
      <c r="J370" s="13" t="s">
        <v>24</v>
      </c>
      <c r="L370" s="2">
        <v>2054.4499999999998</v>
      </c>
      <c r="M370" s="2">
        <v>2811.86</v>
      </c>
      <c r="N370" s="2">
        <v>1405.93</v>
      </c>
      <c r="O370" s="2">
        <v>4217.79</v>
      </c>
      <c r="P370" s="3">
        <v>0.5</v>
      </c>
      <c r="Q370" s="3"/>
      <c r="R370" s="2">
        <v>508.01</v>
      </c>
      <c r="S370" s="3">
        <v>0.18</v>
      </c>
      <c r="T370" s="2">
        <v>3319.86</v>
      </c>
      <c r="U370" s="13" t="s">
        <v>422</v>
      </c>
      <c r="V370" s="13" t="str">
        <f t="shared" si="36"/>
        <v>No</v>
      </c>
      <c r="W370" s="13" t="str">
        <f t="shared" si="36"/>
        <v>Yes</v>
      </c>
      <c r="X370" s="13" t="str">
        <f t="shared" si="36"/>
        <v>Yes</v>
      </c>
      <c r="Y370" s="13" t="str">
        <f t="shared" si="36"/>
        <v>No</v>
      </c>
      <c r="Z370" s="13" t="str">
        <f t="shared" si="36"/>
        <v>No</v>
      </c>
      <c r="AA370" s="71">
        <f>+(Table1[[#This Row],[Everyday price]]-Table1[[#This Row],[Promo Price]])/Table1[[#This Row],[Everyday price]]</f>
        <v>0.17391304347826086</v>
      </c>
      <c r="AB370" s="69">
        <v>2.4700000000000002</v>
      </c>
      <c r="AC370" s="69">
        <v>2.99</v>
      </c>
      <c r="AD370" s="41" t="s">
        <v>1229</v>
      </c>
      <c r="AE370" s="5">
        <v>46146</v>
      </c>
      <c r="AF370" s="5">
        <v>46159</v>
      </c>
      <c r="AG370" s="20">
        <v>2264</v>
      </c>
      <c r="AH370" s="6">
        <v>981</v>
      </c>
      <c r="AI370" s="11">
        <f>Table1[[#This Row],[Incremental Units]]/Table1[[#This Row],[Base Units]]</f>
        <v>0.43330388692579508</v>
      </c>
      <c r="AJ370" s="11">
        <f>IF(AND(ISNUMBER(Table1[[#This Row],[Lift  ]]),ISNUMBER(Table1[[#This Row],[Plan lift, %]]),Table1[[#This Row],[Plan lift, %]]&lt;&gt;0),Table1[[#This Row],[Lift  ]]-Table1[[#This Row],[Plan lift, %]],"")</f>
        <v>-6.6696113074204921E-2</v>
      </c>
      <c r="AK370" s="116"/>
      <c r="AL370" s="71" t="s">
        <v>1400</v>
      </c>
    </row>
    <row r="371" spans="1:39" x14ac:dyDescent="0.35">
      <c r="A371" t="s">
        <v>148</v>
      </c>
      <c r="B371" s="12">
        <v>1441</v>
      </c>
      <c r="C371" s="21" t="s">
        <v>149</v>
      </c>
      <c r="D371" s="13" t="s">
        <v>1232</v>
      </c>
      <c r="F371" s="21" t="s">
        <v>150</v>
      </c>
      <c r="G371" t="s">
        <v>23</v>
      </c>
      <c r="H371" s="14">
        <v>46143</v>
      </c>
      <c r="I371" s="14">
        <v>46234</v>
      </c>
      <c r="J371" s="13" t="s">
        <v>151</v>
      </c>
      <c r="L371" s="2">
        <v>0</v>
      </c>
      <c r="M371" s="2">
        <v>0</v>
      </c>
      <c r="N371" s="2">
        <v>0</v>
      </c>
      <c r="O371" s="2">
        <v>0</v>
      </c>
      <c r="P371" s="3">
        <v>0</v>
      </c>
      <c r="Q371" s="3"/>
      <c r="R371" s="2">
        <v>0</v>
      </c>
      <c r="S371" s="3">
        <v>0</v>
      </c>
      <c r="T371" s="2">
        <v>8</v>
      </c>
      <c r="U371" s="13" t="s">
        <v>152</v>
      </c>
      <c r="V371" s="13" t="str">
        <f t="shared" si="36"/>
        <v>No</v>
      </c>
      <c r="W371" s="13" t="str">
        <f t="shared" si="36"/>
        <v>No</v>
      </c>
      <c r="X371" s="13" t="str">
        <f t="shared" si="36"/>
        <v>No</v>
      </c>
      <c r="Y371" s="13" t="str">
        <f t="shared" si="36"/>
        <v>No</v>
      </c>
      <c r="Z371" s="13" t="str">
        <f t="shared" si="36"/>
        <v>No</v>
      </c>
      <c r="AA371" s="71" t="e">
        <f>+(Table1[[#This Row],[Everyday price]]-Table1[[#This Row],[Promo Price]])/Table1[[#This Row],[Everyday price]]</f>
        <v>#DIV/0!</v>
      </c>
      <c r="AC371" s="69"/>
      <c r="AH371" s="6"/>
      <c r="AI371" s="11"/>
      <c r="AJ371" s="116" t="str">
        <f>IF(AND(ISNUMBER(Table1[[#This Row],[Lift  ]]),ISNUMBER(Table1[[#This Row],[Plan lift, %]]),Table1[[#This Row],[Plan lift, %]]&lt;&gt;0),Table1[[#This Row],[Lift  ]]-Table1[[#This Row],[Plan lift, %]],"")</f>
        <v/>
      </c>
      <c r="AK371" s="116"/>
    </row>
    <row r="372" spans="1:39" x14ac:dyDescent="0.35">
      <c r="A372" t="s">
        <v>1215</v>
      </c>
      <c r="B372" s="143">
        <v>906</v>
      </c>
      <c r="C372" s="21" t="s">
        <v>149</v>
      </c>
      <c r="D372" s="13" t="s">
        <v>1232</v>
      </c>
      <c r="F372" s="21" t="s">
        <v>1216</v>
      </c>
      <c r="G372" t="s">
        <v>23</v>
      </c>
      <c r="H372" s="14">
        <v>46204</v>
      </c>
      <c r="I372" s="14">
        <v>46218</v>
      </c>
      <c r="J372" s="13" t="s">
        <v>24</v>
      </c>
      <c r="L372" s="2">
        <v>4504.1499999999996</v>
      </c>
      <c r="M372" s="2">
        <v>5726.13</v>
      </c>
      <c r="N372" s="2">
        <v>2290.44</v>
      </c>
      <c r="O372" s="2">
        <v>8016.57</v>
      </c>
      <c r="P372" s="3">
        <v>0.4</v>
      </c>
      <c r="Q372" s="3"/>
      <c r="R372" s="2">
        <v>-2077.35</v>
      </c>
      <c r="S372" s="3">
        <v>-0.45</v>
      </c>
      <c r="T372" s="2">
        <v>2503.56</v>
      </c>
      <c r="U372" s="13" t="s">
        <v>25</v>
      </c>
      <c r="V372" s="13" t="str">
        <f t="shared" ref="V372:Z381" si="37">IF(ISNUMBER(SEARCH(V$1,$U372)),"Yes","No")</f>
        <v>No</v>
      </c>
      <c r="W372" s="13" t="str">
        <f t="shared" si="37"/>
        <v>Yes</v>
      </c>
      <c r="X372" s="13" t="str">
        <f t="shared" si="37"/>
        <v>No</v>
      </c>
      <c r="Y372" s="13" t="str">
        <f t="shared" si="37"/>
        <v>No</v>
      </c>
      <c r="Z372" s="13" t="str">
        <f t="shared" si="37"/>
        <v>No</v>
      </c>
      <c r="AA372" s="71">
        <f>+(Table1[[#This Row],[Everyday price]]-Table1[[#This Row],[Promo Price]])/Table1[[#This Row],[Everyday price]]</f>
        <v>0.27054794520547948</v>
      </c>
      <c r="AB372" s="69">
        <v>2.13</v>
      </c>
      <c r="AC372" s="69">
        <v>2.92</v>
      </c>
      <c r="AD372" s="41" t="s">
        <v>1229</v>
      </c>
      <c r="AE372" s="5">
        <v>46202</v>
      </c>
      <c r="AF372" s="5">
        <v>46215</v>
      </c>
      <c r="AG372" s="20">
        <v>2088</v>
      </c>
      <c r="AH372" s="6">
        <v>1103</v>
      </c>
      <c r="AI372" s="11">
        <f>Table1[[#This Row],[Incremental Units]]/Table1[[#This Row],[Base Units]]</f>
        <v>0.52825670498084287</v>
      </c>
      <c r="AJ372" s="116">
        <f>IF(AND(ISNUMBER(Table1[[#This Row],[Lift  ]]),ISNUMBER(Table1[[#This Row],[Plan lift, %]]),Table1[[#This Row],[Plan lift, %]]&lt;&gt;0),Table1[[#This Row],[Lift  ]]-Table1[[#This Row],[Plan lift, %]],"")</f>
        <v>0.12825670498084285</v>
      </c>
      <c r="AK372" s="116"/>
      <c r="AL372" s="13" t="s">
        <v>1400</v>
      </c>
      <c r="AM372" t="s">
        <v>1579</v>
      </c>
    </row>
    <row r="373" spans="1:39" x14ac:dyDescent="0.35">
      <c r="A373" t="s">
        <v>454</v>
      </c>
      <c r="B373" s="12">
        <v>1521</v>
      </c>
      <c r="C373" s="21" t="s">
        <v>149</v>
      </c>
      <c r="D373" s="13" t="s">
        <v>1232</v>
      </c>
      <c r="F373" s="21" t="s">
        <v>455</v>
      </c>
      <c r="G373" t="s">
        <v>60</v>
      </c>
      <c r="H373" s="14">
        <v>46235</v>
      </c>
      <c r="I373" s="14">
        <v>46249</v>
      </c>
      <c r="J373" s="13" t="s">
        <v>29</v>
      </c>
      <c r="L373" s="2">
        <v>1320</v>
      </c>
      <c r="M373" s="2">
        <v>942.85</v>
      </c>
      <c r="N373" s="2">
        <v>377.15</v>
      </c>
      <c r="O373" s="2">
        <v>1320</v>
      </c>
      <c r="P373" s="3">
        <v>0.4</v>
      </c>
      <c r="Q373" s="3"/>
      <c r="R373" s="2">
        <v>0</v>
      </c>
      <c r="S373" s="3">
        <v>0</v>
      </c>
      <c r="T373" s="2">
        <v>0</v>
      </c>
      <c r="U373" s="13" t="s">
        <v>25</v>
      </c>
      <c r="V373" s="13" t="str">
        <f t="shared" si="37"/>
        <v>No</v>
      </c>
      <c r="W373" s="13" t="str">
        <f t="shared" si="37"/>
        <v>Yes</v>
      </c>
      <c r="X373" s="13" t="str">
        <f t="shared" si="37"/>
        <v>No</v>
      </c>
      <c r="Y373" s="13" t="str">
        <f t="shared" si="37"/>
        <v>No</v>
      </c>
      <c r="Z373" s="13" t="str">
        <f t="shared" si="37"/>
        <v>No</v>
      </c>
      <c r="AA373" s="71" t="e">
        <f>+(Table1[[#This Row],[Everyday price]]-Table1[[#This Row],[Promo Price]])/Table1[[#This Row],[Everyday price]]</f>
        <v>#DIV/0!</v>
      </c>
      <c r="AC373" s="69"/>
      <c r="AH373" s="6"/>
      <c r="AJ373" s="116" t="str">
        <f>IF(AND(ISNUMBER(Table1[[#This Row],[Lift  ]]),ISNUMBER(Table1[[#This Row],[Plan lift, %]]),Table1[[#This Row],[Plan lift, %]]&lt;&gt;0),Table1[[#This Row],[Lift  ]]-Table1[[#This Row],[Plan lift, %]],"")</f>
        <v/>
      </c>
      <c r="AK373" s="116"/>
    </row>
    <row r="374" spans="1:39" x14ac:dyDescent="0.35">
      <c r="A374" t="s">
        <v>601</v>
      </c>
      <c r="B374" s="12">
        <v>907</v>
      </c>
      <c r="C374" s="21" t="s">
        <v>149</v>
      </c>
      <c r="D374" s="13" t="s">
        <v>1232</v>
      </c>
      <c r="F374" s="21" t="s">
        <v>602</v>
      </c>
      <c r="G374" t="s">
        <v>44</v>
      </c>
      <c r="H374" s="14">
        <v>46266</v>
      </c>
      <c r="I374" s="14">
        <v>46280</v>
      </c>
      <c r="J374" s="13" t="s">
        <v>24</v>
      </c>
      <c r="L374" s="2">
        <v>2004.15</v>
      </c>
      <c r="M374" s="2">
        <v>5726.13</v>
      </c>
      <c r="N374" s="2">
        <v>2290.44</v>
      </c>
      <c r="O374" s="2">
        <v>8016.57</v>
      </c>
      <c r="P374" s="3">
        <v>0.4</v>
      </c>
      <c r="Q374" s="3"/>
      <c r="R374" s="2">
        <v>0</v>
      </c>
      <c r="S374" s="3">
        <v>0</v>
      </c>
      <c r="T374" s="2">
        <v>0</v>
      </c>
      <c r="U374" s="13" t="s">
        <v>25</v>
      </c>
      <c r="V374" s="13" t="str">
        <f t="shared" si="37"/>
        <v>No</v>
      </c>
      <c r="W374" s="13" t="str">
        <f t="shared" si="37"/>
        <v>Yes</v>
      </c>
      <c r="X374" s="13" t="str">
        <f t="shared" si="37"/>
        <v>No</v>
      </c>
      <c r="Y374" s="13" t="str">
        <f t="shared" si="37"/>
        <v>No</v>
      </c>
      <c r="Z374" s="13" t="str">
        <f t="shared" si="37"/>
        <v>No</v>
      </c>
      <c r="AA374" s="71" t="e">
        <f>+(Table1[[#This Row],[Everyday price]]-Table1[[#This Row],[Promo Price]])/Table1[[#This Row],[Everyday price]]</f>
        <v>#DIV/0!</v>
      </c>
      <c r="AC374" s="69"/>
      <c r="AH374" s="6"/>
      <c r="AJ374" s="116" t="str">
        <f>IF(AND(ISNUMBER(Table1[[#This Row],[Lift  ]]),ISNUMBER(Table1[[#This Row],[Plan lift, %]]),Table1[[#This Row],[Plan lift, %]]&lt;&gt;0),Table1[[#This Row],[Lift  ]]-Table1[[#This Row],[Plan lift, %]],"")</f>
        <v/>
      </c>
      <c r="AK374" s="116"/>
    </row>
    <row r="375" spans="1:39" x14ac:dyDescent="0.35">
      <c r="A375" t="s">
        <v>195</v>
      </c>
      <c r="B375" s="12">
        <v>1522</v>
      </c>
      <c r="C375" s="21" t="s">
        <v>149</v>
      </c>
      <c r="D375" s="13" t="s">
        <v>1232</v>
      </c>
      <c r="F375" s="21" t="s">
        <v>196</v>
      </c>
      <c r="G375" t="s">
        <v>44</v>
      </c>
      <c r="H375" s="14">
        <v>46296</v>
      </c>
      <c r="I375" s="14">
        <v>46310</v>
      </c>
      <c r="J375" s="13" t="s">
        <v>29</v>
      </c>
      <c r="L375" s="2">
        <v>1320</v>
      </c>
      <c r="M375" s="2">
        <v>942.85</v>
      </c>
      <c r="N375" s="2">
        <v>377.15</v>
      </c>
      <c r="O375" s="2">
        <v>1320</v>
      </c>
      <c r="P375" s="3">
        <v>0.4</v>
      </c>
      <c r="Q375" s="3"/>
      <c r="R375" s="2">
        <v>0</v>
      </c>
      <c r="S375" s="3">
        <v>0</v>
      </c>
      <c r="T375" s="2">
        <v>0</v>
      </c>
      <c r="U375" s="13" t="s">
        <v>25</v>
      </c>
      <c r="V375" s="13" t="str">
        <f t="shared" si="37"/>
        <v>No</v>
      </c>
      <c r="W375" s="13" t="str">
        <f t="shared" si="37"/>
        <v>Yes</v>
      </c>
      <c r="X375" s="13" t="str">
        <f t="shared" si="37"/>
        <v>No</v>
      </c>
      <c r="Y375" s="13" t="str">
        <f t="shared" si="37"/>
        <v>No</v>
      </c>
      <c r="Z375" s="13" t="str">
        <f t="shared" si="37"/>
        <v>No</v>
      </c>
      <c r="AA375" s="71" t="e">
        <f>+(Table1[[#This Row],[Everyday price]]-Table1[[#This Row],[Promo Price]])/Table1[[#This Row],[Everyday price]]</f>
        <v>#DIV/0!</v>
      </c>
      <c r="AC375" s="69"/>
      <c r="AH375" s="6"/>
      <c r="AJ375" s="116" t="str">
        <f>IF(AND(ISNUMBER(Table1[[#This Row],[Lift  ]]),ISNUMBER(Table1[[#This Row],[Plan lift, %]]),Table1[[#This Row],[Plan lift, %]]&lt;&gt;0),Table1[[#This Row],[Lift  ]]-Table1[[#This Row],[Plan lift, %]],"")</f>
        <v/>
      </c>
      <c r="AK375" s="116"/>
    </row>
    <row r="376" spans="1:39" x14ac:dyDescent="0.35">
      <c r="A376" t="s">
        <v>970</v>
      </c>
      <c r="B376" s="82">
        <v>1297</v>
      </c>
      <c r="C376" s="21" t="s">
        <v>247</v>
      </c>
      <c r="D376" s="13" t="s">
        <v>1230</v>
      </c>
      <c r="F376" s="21" t="s">
        <v>971</v>
      </c>
      <c r="G376" t="s">
        <v>23</v>
      </c>
      <c r="H376" s="14">
        <v>46034</v>
      </c>
      <c r="I376" s="14">
        <v>46040</v>
      </c>
      <c r="J376" s="13" t="s">
        <v>24</v>
      </c>
      <c r="L376" s="2">
        <v>17204.29</v>
      </c>
      <c r="M376" s="2">
        <v>20360.099999999999</v>
      </c>
      <c r="N376" s="2">
        <v>6108.03</v>
      </c>
      <c r="O376" s="2">
        <v>26468.13</v>
      </c>
      <c r="P376" s="3">
        <v>0.3</v>
      </c>
      <c r="Q376" s="3"/>
      <c r="R376" s="2">
        <v>2943.2</v>
      </c>
      <c r="S376" s="3">
        <v>0.22</v>
      </c>
      <c r="T376" s="2">
        <v>16249.6</v>
      </c>
      <c r="U376" s="13" t="s">
        <v>25</v>
      </c>
      <c r="V376" s="13" t="str">
        <f t="shared" si="37"/>
        <v>No</v>
      </c>
      <c r="W376" s="13" t="str">
        <f t="shared" si="37"/>
        <v>Yes</v>
      </c>
      <c r="X376" s="13" t="str">
        <f t="shared" si="37"/>
        <v>No</v>
      </c>
      <c r="Y376" s="13" t="str">
        <f t="shared" si="37"/>
        <v>No</v>
      </c>
      <c r="Z376" s="13" t="str">
        <f t="shared" si="37"/>
        <v>No</v>
      </c>
      <c r="AA376" s="71">
        <f>+(Table1[[#This Row],[Everyday price]]-Table1[[#This Row],[Promo Price]])/Table1[[#This Row],[Everyday price]]</f>
        <v>8.0128205128205121E-2</v>
      </c>
      <c r="AB376" s="69">
        <v>2.87</v>
      </c>
      <c r="AC376" s="69">
        <v>3.12</v>
      </c>
      <c r="AD376" s="40" t="s">
        <v>1229</v>
      </c>
      <c r="AE376" s="5">
        <v>46034</v>
      </c>
      <c r="AF376" s="5">
        <v>46040</v>
      </c>
      <c r="AG376" s="20">
        <v>13306</v>
      </c>
      <c r="AH376" s="6">
        <v>2943</v>
      </c>
      <c r="AI376" s="11">
        <f>Table1[[#This Row],[Incremental Units]]/Table1[[#This Row],[Base Units]]</f>
        <v>0.22117841575229219</v>
      </c>
      <c r="AJ376" s="11">
        <f>IF(AND(ISNUMBER(Table1[[#This Row],[Lift  ]]),ISNUMBER(Table1[[#This Row],[Plan lift, %]]),Table1[[#This Row],[Plan lift, %]]&lt;&gt;0),Table1[[#This Row],[Lift  ]]-Table1[[#This Row],[Plan lift, %]],"")</f>
        <v>-7.8821584247707799E-2</v>
      </c>
      <c r="AK376" s="11"/>
      <c r="AL376" s="71" t="s">
        <v>1400</v>
      </c>
    </row>
    <row r="377" spans="1:39" x14ac:dyDescent="0.35">
      <c r="A377" t="s">
        <v>246</v>
      </c>
      <c r="B377" s="12">
        <v>1298</v>
      </c>
      <c r="C377" s="21" t="s">
        <v>247</v>
      </c>
      <c r="D377" s="13" t="s">
        <v>1230</v>
      </c>
      <c r="F377" s="21" t="s">
        <v>248</v>
      </c>
      <c r="G377" t="s">
        <v>60</v>
      </c>
      <c r="H377" s="14">
        <v>46162</v>
      </c>
      <c r="I377" s="14">
        <v>46252</v>
      </c>
      <c r="J377" s="13" t="s">
        <v>24</v>
      </c>
      <c r="L377" s="2">
        <v>249659.93</v>
      </c>
      <c r="M377" s="2">
        <v>309751.76</v>
      </c>
      <c r="N377" s="2">
        <v>92925.53</v>
      </c>
      <c r="O377" s="2">
        <v>402677.29</v>
      </c>
      <c r="P377" s="3">
        <v>0.3</v>
      </c>
      <c r="Q377" s="3"/>
      <c r="R377" s="2">
        <v>10313.18</v>
      </c>
      <c r="S377" s="3">
        <v>0.09</v>
      </c>
      <c r="T377" s="2">
        <v>125274</v>
      </c>
      <c r="U377" s="13" t="s">
        <v>25</v>
      </c>
      <c r="V377" s="13" t="str">
        <f t="shared" si="37"/>
        <v>No</v>
      </c>
      <c r="W377" s="13" t="str">
        <f t="shared" si="37"/>
        <v>Yes</v>
      </c>
      <c r="X377" s="13" t="str">
        <f t="shared" si="37"/>
        <v>No</v>
      </c>
      <c r="Y377" s="13" t="str">
        <f t="shared" si="37"/>
        <v>No</v>
      </c>
      <c r="Z377" s="13" t="str">
        <f t="shared" si="37"/>
        <v>No</v>
      </c>
      <c r="AA377" s="71" t="e">
        <f>+(Table1[[#This Row],[Everyday price]]-Table1[[#This Row],[Promo Price]])/Table1[[#This Row],[Everyday price]]</f>
        <v>#DIV/0!</v>
      </c>
      <c r="AC377" s="69"/>
      <c r="AH377" s="6"/>
      <c r="AJ377" s="116" t="str">
        <f>IF(AND(ISNUMBER(Table1[[#This Row],[Lift  ]]),ISNUMBER(Table1[[#This Row],[Plan lift, %]]),Table1[[#This Row],[Plan lift, %]]&lt;&gt;0),Table1[[#This Row],[Lift  ]]-Table1[[#This Row],[Plan lift, %]],"")</f>
        <v/>
      </c>
      <c r="AK377" s="116"/>
    </row>
    <row r="378" spans="1:39" x14ac:dyDescent="0.35">
      <c r="A378" t="s">
        <v>576</v>
      </c>
      <c r="B378" s="12">
        <v>1299</v>
      </c>
      <c r="C378" s="21" t="s">
        <v>247</v>
      </c>
      <c r="D378" s="13" t="s">
        <v>1230</v>
      </c>
      <c r="F378" s="21" t="s">
        <v>577</v>
      </c>
      <c r="G378" t="s">
        <v>44</v>
      </c>
      <c r="H378" s="14">
        <v>46342</v>
      </c>
      <c r="I378" s="14">
        <v>46348</v>
      </c>
      <c r="J378" s="13" t="s">
        <v>24</v>
      </c>
      <c r="L378" s="2">
        <v>21337.51</v>
      </c>
      <c r="M378" s="2">
        <v>25251.5</v>
      </c>
      <c r="N378" s="2">
        <v>7575.43</v>
      </c>
      <c r="O378" s="2">
        <v>32826.93</v>
      </c>
      <c r="P378" s="3">
        <v>0.3</v>
      </c>
      <c r="Q378" s="3"/>
      <c r="R378" s="2">
        <v>0</v>
      </c>
      <c r="S378" s="3">
        <v>0</v>
      </c>
      <c r="T378" s="2">
        <v>0</v>
      </c>
      <c r="U378" s="13" t="s">
        <v>25</v>
      </c>
      <c r="V378" s="13" t="str">
        <f t="shared" si="37"/>
        <v>No</v>
      </c>
      <c r="W378" s="13" t="str">
        <f t="shared" si="37"/>
        <v>Yes</v>
      </c>
      <c r="X378" s="13" t="str">
        <f t="shared" si="37"/>
        <v>No</v>
      </c>
      <c r="Y378" s="13" t="str">
        <f t="shared" si="37"/>
        <v>No</v>
      </c>
      <c r="Z378" s="13" t="str">
        <f t="shared" si="37"/>
        <v>No</v>
      </c>
      <c r="AA378" s="71" t="e">
        <f>+(Table1[[#This Row],[Everyday price]]-Table1[[#This Row],[Promo Price]])/Table1[[#This Row],[Everyday price]]</f>
        <v>#DIV/0!</v>
      </c>
      <c r="AC378" s="69"/>
      <c r="AH378" s="6"/>
      <c r="AJ378" s="116" t="str">
        <f>IF(AND(ISNUMBER(Table1[[#This Row],[Lift  ]]),ISNUMBER(Table1[[#This Row],[Plan lift, %]]),Table1[[#This Row],[Plan lift, %]]&lt;&gt;0),Table1[[#This Row],[Lift  ]]-Table1[[#This Row],[Plan lift, %]],"")</f>
        <v/>
      </c>
      <c r="AK378" s="116"/>
    </row>
    <row r="379" spans="1:39" x14ac:dyDescent="0.35">
      <c r="A379" t="s">
        <v>807</v>
      </c>
      <c r="B379" s="82">
        <v>1186</v>
      </c>
      <c r="C379" s="21" t="s">
        <v>230</v>
      </c>
      <c r="D379" s="13" t="s">
        <v>1232</v>
      </c>
      <c r="E379" t="s">
        <v>231</v>
      </c>
      <c r="F379" s="21" t="s">
        <v>808</v>
      </c>
      <c r="G379" t="s">
        <v>23</v>
      </c>
      <c r="H379" s="14">
        <v>46054</v>
      </c>
      <c r="I379" s="14">
        <v>46063</v>
      </c>
      <c r="J379" s="13" t="s">
        <v>29</v>
      </c>
      <c r="L379" s="2">
        <v>5610.91</v>
      </c>
      <c r="M379" s="2">
        <v>5171.3500000000004</v>
      </c>
      <c r="N379" s="2">
        <v>2844.24</v>
      </c>
      <c r="O379" s="2">
        <v>8015.59</v>
      </c>
      <c r="P379" s="3">
        <v>0.55000000000000004</v>
      </c>
      <c r="Q379" s="3"/>
      <c r="R379" s="2">
        <v>383.92</v>
      </c>
      <c r="S379" s="3">
        <v>7.0000000000000007E-2</v>
      </c>
      <c r="T379" s="2">
        <v>6042</v>
      </c>
      <c r="U379" s="13" t="s">
        <v>25</v>
      </c>
      <c r="V379" s="13" t="str">
        <f t="shared" si="37"/>
        <v>No</v>
      </c>
      <c r="W379" s="13" t="str">
        <f t="shared" si="37"/>
        <v>Yes</v>
      </c>
      <c r="X379" s="13" t="str">
        <f t="shared" si="37"/>
        <v>No</v>
      </c>
      <c r="Y379" s="13" t="str">
        <f t="shared" si="37"/>
        <v>No</v>
      </c>
      <c r="Z379" s="13" t="str">
        <f t="shared" si="37"/>
        <v>No</v>
      </c>
      <c r="AA379" s="71">
        <f>+(Table1[[#This Row],[Everyday price]]-Table1[[#This Row],[Promo Price]])/Table1[[#This Row],[Everyday price]]</f>
        <v>8.8174273858921307E-2</v>
      </c>
      <c r="AB379" s="69">
        <v>8.7899999999999991</v>
      </c>
      <c r="AC379" s="101">
        <v>9.64</v>
      </c>
      <c r="AD379" s="40" t="s">
        <v>1251</v>
      </c>
      <c r="AE379" s="5">
        <v>46055</v>
      </c>
      <c r="AF379" s="5">
        <v>46089</v>
      </c>
      <c r="AG379" s="20">
        <v>19957</v>
      </c>
      <c r="AH379" s="6">
        <v>7260</v>
      </c>
      <c r="AI379" s="11">
        <f>Table1[[#This Row],[Incremental Units]]/Table1[[#This Row],[Base Units]]</f>
        <v>0.36378213158290323</v>
      </c>
      <c r="AJ379" s="11">
        <f>IF(AND(ISNUMBER(Table1[[#This Row],[Lift  ]]),ISNUMBER(Table1[[#This Row],[Plan lift, %]]),Table1[[#This Row],[Plan lift, %]]&lt;&gt;0),Table1[[#This Row],[Lift  ]]-Table1[[#This Row],[Plan lift, %]],"")</f>
        <v>-0.18621786841709681</v>
      </c>
      <c r="AK379" s="11"/>
      <c r="AL379" s="71" t="s">
        <v>1400</v>
      </c>
    </row>
    <row r="380" spans="1:39" x14ac:dyDescent="0.35">
      <c r="A380" t="s">
        <v>1005</v>
      </c>
      <c r="B380" s="73">
        <v>1187</v>
      </c>
      <c r="C380" s="21" t="s">
        <v>230</v>
      </c>
      <c r="D380" s="13" t="s">
        <v>1232</v>
      </c>
      <c r="E380" t="s">
        <v>231</v>
      </c>
      <c r="F380" s="21" t="s">
        <v>1006</v>
      </c>
      <c r="G380" t="s">
        <v>23</v>
      </c>
      <c r="H380" s="14">
        <v>46082</v>
      </c>
      <c r="I380" s="14">
        <v>46098</v>
      </c>
      <c r="J380" s="13" t="s">
        <v>29</v>
      </c>
      <c r="L380" s="2">
        <v>6785.35</v>
      </c>
      <c r="M380" s="2">
        <v>6923.83</v>
      </c>
      <c r="N380" s="2">
        <v>2769.53</v>
      </c>
      <c r="O380" s="2">
        <v>9693.36</v>
      </c>
      <c r="P380" s="3">
        <v>0.4</v>
      </c>
      <c r="Q380" s="3"/>
      <c r="R380" s="2">
        <v>-4897.42</v>
      </c>
      <c r="S380" s="3">
        <v>-0.61</v>
      </c>
      <c r="T380" s="2">
        <v>3120</v>
      </c>
      <c r="U380" s="13" t="s">
        <v>25</v>
      </c>
      <c r="V380" s="13" t="str">
        <f t="shared" si="37"/>
        <v>No</v>
      </c>
      <c r="W380" s="13" t="str">
        <f t="shared" si="37"/>
        <v>Yes</v>
      </c>
      <c r="X380" s="13" t="str">
        <f t="shared" si="37"/>
        <v>No</v>
      </c>
      <c r="Y380" s="13" t="str">
        <f t="shared" si="37"/>
        <v>No</v>
      </c>
      <c r="Z380" s="13" t="str">
        <f t="shared" si="37"/>
        <v>No</v>
      </c>
      <c r="AA380" s="71" t="e">
        <f>+(Table1[[#This Row],[Everyday price]]-Table1[[#This Row],[Promo Price]])/Table1[[#This Row],[Everyday price]]</f>
        <v>#DIV/0!</v>
      </c>
      <c r="AC380" s="69"/>
      <c r="AH380" s="6"/>
      <c r="AJ380" s="116" t="str">
        <f>IF(AND(ISNUMBER(Table1[[#This Row],[Lift  ]]),ISNUMBER(Table1[[#This Row],[Plan lift, %]]),Table1[[#This Row],[Plan lift, %]]&lt;&gt;0),Table1[[#This Row],[Lift  ]]-Table1[[#This Row],[Plan lift, %]],"")</f>
        <v/>
      </c>
      <c r="AK380" s="116"/>
    </row>
    <row r="381" spans="1:39" x14ac:dyDescent="0.35">
      <c r="A381" t="s">
        <v>792</v>
      </c>
      <c r="B381" s="82">
        <v>1188</v>
      </c>
      <c r="C381" s="21" t="s">
        <v>230</v>
      </c>
      <c r="D381" s="13" t="s">
        <v>1232</v>
      </c>
      <c r="E381" t="s">
        <v>231</v>
      </c>
      <c r="F381" s="21" t="s">
        <v>793</v>
      </c>
      <c r="G381" t="s">
        <v>23</v>
      </c>
      <c r="H381" s="14">
        <v>46113</v>
      </c>
      <c r="I381" s="14">
        <v>46142</v>
      </c>
      <c r="J381" s="13" t="s">
        <v>29</v>
      </c>
      <c r="L381" s="2">
        <v>12498.99</v>
      </c>
      <c r="M381" s="2">
        <v>12243.86</v>
      </c>
      <c r="N381" s="2">
        <v>4897.55</v>
      </c>
      <c r="O381" s="2">
        <v>17141.41</v>
      </c>
      <c r="P381" s="3">
        <v>0.4</v>
      </c>
      <c r="Q381" s="3"/>
      <c r="R381" s="2">
        <v>6791.78</v>
      </c>
      <c r="S381" s="3">
        <v>0.42</v>
      </c>
      <c r="T381" s="2">
        <v>22890</v>
      </c>
      <c r="U381" s="13" t="s">
        <v>267</v>
      </c>
      <c r="V381" s="13" t="str">
        <f t="shared" si="37"/>
        <v>No</v>
      </c>
      <c r="W381" s="13" t="str">
        <f t="shared" si="37"/>
        <v>Yes</v>
      </c>
      <c r="X381" s="13" t="str">
        <f t="shared" si="37"/>
        <v>No</v>
      </c>
      <c r="Y381" s="13" t="str">
        <f t="shared" si="37"/>
        <v>No</v>
      </c>
      <c r="Z381" s="13" t="str">
        <f t="shared" si="37"/>
        <v>No</v>
      </c>
      <c r="AA381" s="71">
        <f>+(Table1[[#This Row],[Everyday price]]-Table1[[#This Row],[Promo Price]])/Table1[[#This Row],[Everyday price]]</f>
        <v>0.11041666666666672</v>
      </c>
      <c r="AB381" s="69">
        <v>8.5399999999999991</v>
      </c>
      <c r="AC381" s="102">
        <v>9.6</v>
      </c>
      <c r="AD381" s="40" t="s">
        <v>1229</v>
      </c>
      <c r="AE381" s="5">
        <v>46118</v>
      </c>
      <c r="AF381" s="5">
        <v>46145</v>
      </c>
      <c r="AG381" s="20">
        <v>15590</v>
      </c>
      <c r="AH381" s="6">
        <v>4687</v>
      </c>
      <c r="AI381" s="11">
        <f>Table1[[#This Row],[Incremental Units]]/Table1[[#This Row],[Base Units]]</f>
        <v>0.30064143681847338</v>
      </c>
      <c r="AJ381" s="11">
        <f>IF(AND(ISNUMBER(Table1[[#This Row],[Lift  ]]),ISNUMBER(Table1[[#This Row],[Plan lift, %]]),Table1[[#This Row],[Plan lift, %]]&lt;&gt;0),Table1[[#This Row],[Lift  ]]-Table1[[#This Row],[Plan lift, %]],"")</f>
        <v>-9.9358563181526638E-2</v>
      </c>
      <c r="AK381" s="11"/>
      <c r="AL381" s="71" t="s">
        <v>1400</v>
      </c>
    </row>
    <row r="382" spans="1:39" x14ac:dyDescent="0.35">
      <c r="A382" t="s">
        <v>1206</v>
      </c>
      <c r="B382" s="82">
        <v>1189</v>
      </c>
      <c r="C382" s="21" t="s">
        <v>230</v>
      </c>
      <c r="D382" s="13" t="s">
        <v>1232</v>
      </c>
      <c r="E382" t="s">
        <v>231</v>
      </c>
      <c r="F382" s="21" t="s">
        <v>1207</v>
      </c>
      <c r="G382" t="s">
        <v>23</v>
      </c>
      <c r="H382" s="14">
        <v>46143</v>
      </c>
      <c r="I382" s="14">
        <v>46155</v>
      </c>
      <c r="J382" s="13" t="s">
        <v>29</v>
      </c>
      <c r="L382" s="2">
        <v>5699.55</v>
      </c>
      <c r="M382" s="2">
        <v>5305.67</v>
      </c>
      <c r="N382" s="2">
        <v>2122.2600000000002</v>
      </c>
      <c r="O382" s="2">
        <v>7427.93</v>
      </c>
      <c r="P382" s="3">
        <v>0.4</v>
      </c>
      <c r="Q382" s="3"/>
      <c r="R382" s="2">
        <v>0</v>
      </c>
      <c r="S382" s="3">
        <v>0</v>
      </c>
      <c r="T382" s="2">
        <v>0</v>
      </c>
      <c r="U382" s="13" t="s">
        <v>267</v>
      </c>
      <c r="V382" s="13" t="str">
        <f t="shared" ref="V382:Z391" si="38">IF(ISNUMBER(SEARCH(V$1,$U382)),"Yes","No")</f>
        <v>No</v>
      </c>
      <c r="W382" s="13" t="str">
        <f t="shared" si="38"/>
        <v>Yes</v>
      </c>
      <c r="X382" s="13" t="str">
        <f t="shared" si="38"/>
        <v>No</v>
      </c>
      <c r="Y382" s="13" t="str">
        <f t="shared" si="38"/>
        <v>No</v>
      </c>
      <c r="Z382" s="13" t="str">
        <f t="shared" si="38"/>
        <v>No</v>
      </c>
      <c r="AA382" s="71">
        <f>+(Table1[[#This Row],[Everyday price]]-Table1[[#This Row],[Promo Price]])/Table1[[#This Row],[Everyday price]]</f>
        <v>5.0223214285714399E-2</v>
      </c>
      <c r="AB382" s="69">
        <v>8.51</v>
      </c>
      <c r="AC382" s="102">
        <v>8.9600000000000009</v>
      </c>
      <c r="AD382" s="40" t="s">
        <v>1251</v>
      </c>
      <c r="AE382" s="5">
        <v>46153</v>
      </c>
      <c r="AF382" s="5">
        <v>46166</v>
      </c>
      <c r="AG382" s="20">
        <v>12358</v>
      </c>
      <c r="AH382" s="6">
        <v>3501</v>
      </c>
      <c r="AI382" s="11">
        <f>Table1[[#This Row],[Incremental Units]]/Table1[[#This Row],[Base Units]]</f>
        <v>0.28329826832820842</v>
      </c>
      <c r="AJ382" s="11">
        <f>IF(AND(ISNUMBER(Table1[[#This Row],[Lift  ]]),ISNUMBER(Table1[[#This Row],[Plan lift, %]]),Table1[[#This Row],[Plan lift, %]]&lt;&gt;0),Table1[[#This Row],[Lift  ]]-Table1[[#This Row],[Plan lift, %]],"")</f>
        <v>-0.1167017316717916</v>
      </c>
      <c r="AK382" s="11"/>
      <c r="AL382" s="71" t="s">
        <v>1400</v>
      </c>
      <c r="AM382" s="4" t="s">
        <v>1354</v>
      </c>
    </row>
    <row r="383" spans="1:39" x14ac:dyDescent="0.35">
      <c r="A383" t="s">
        <v>801</v>
      </c>
      <c r="B383" s="12">
        <v>1190</v>
      </c>
      <c r="C383" s="21" t="s">
        <v>230</v>
      </c>
      <c r="D383" s="13" t="s">
        <v>1232</v>
      </c>
      <c r="E383" t="s">
        <v>231</v>
      </c>
      <c r="F383" s="21" t="s">
        <v>802</v>
      </c>
      <c r="G383" t="s">
        <v>23</v>
      </c>
      <c r="H383" s="14">
        <v>46174</v>
      </c>
      <c r="I383" s="14">
        <v>46180</v>
      </c>
      <c r="J383" s="13" t="s">
        <v>29</v>
      </c>
      <c r="L383" s="2">
        <v>5439.58</v>
      </c>
      <c r="M383" s="2">
        <v>2856.9</v>
      </c>
      <c r="N383" s="2">
        <v>857.07</v>
      </c>
      <c r="O383" s="2">
        <v>3713.97</v>
      </c>
      <c r="P383" s="3">
        <v>0.3</v>
      </c>
      <c r="Q383" s="3"/>
      <c r="R383" s="2">
        <v>0</v>
      </c>
      <c r="S383" s="3">
        <v>0</v>
      </c>
      <c r="T383" s="2">
        <v>0</v>
      </c>
      <c r="U383" s="13" t="s">
        <v>267</v>
      </c>
      <c r="V383" s="13" t="str">
        <f t="shared" si="38"/>
        <v>No</v>
      </c>
      <c r="W383" s="13" t="str">
        <f t="shared" si="38"/>
        <v>Yes</v>
      </c>
      <c r="X383" s="13" t="str">
        <f t="shared" si="38"/>
        <v>No</v>
      </c>
      <c r="Y383" s="13" t="str">
        <f t="shared" si="38"/>
        <v>No</v>
      </c>
      <c r="Z383" s="13" t="str">
        <f t="shared" si="38"/>
        <v>No</v>
      </c>
      <c r="AA383" s="71" t="e">
        <f>+(Table1[[#This Row],[Everyday price]]-Table1[[#This Row],[Promo Price]])/Table1[[#This Row],[Everyday price]]</f>
        <v>#DIV/0!</v>
      </c>
      <c r="AC383" s="102"/>
      <c r="AH383" s="6"/>
      <c r="AJ383" s="116" t="str">
        <f>IF(AND(ISNUMBER(Table1[[#This Row],[Lift  ]]),ISNUMBER(Table1[[#This Row],[Plan lift, %]]),Table1[[#This Row],[Plan lift, %]]&lt;&gt;0),Table1[[#This Row],[Lift  ]]-Table1[[#This Row],[Plan lift, %]],"")</f>
        <v/>
      </c>
      <c r="AK383" s="116"/>
    </row>
    <row r="384" spans="1:39" x14ac:dyDescent="0.35">
      <c r="A384" t="s">
        <v>1014</v>
      </c>
      <c r="B384" s="12">
        <v>1191</v>
      </c>
      <c r="C384" s="21" t="s">
        <v>230</v>
      </c>
      <c r="D384" s="13" t="s">
        <v>1232</v>
      </c>
      <c r="E384" t="s">
        <v>231</v>
      </c>
      <c r="F384" s="21" t="s">
        <v>1015</v>
      </c>
      <c r="G384" t="s">
        <v>23</v>
      </c>
      <c r="H384" s="14">
        <v>46204</v>
      </c>
      <c r="I384" s="14">
        <v>46224</v>
      </c>
      <c r="J384" s="13" t="s">
        <v>29</v>
      </c>
      <c r="L384" s="2">
        <v>35958.639999999999</v>
      </c>
      <c r="M384" s="2">
        <v>8570.7000000000007</v>
      </c>
      <c r="N384" s="2">
        <v>3428.28</v>
      </c>
      <c r="O384" s="2">
        <v>11998.98</v>
      </c>
      <c r="P384" s="3">
        <v>0.4</v>
      </c>
      <c r="Q384" s="3"/>
      <c r="R384" s="2">
        <v>7443.74</v>
      </c>
      <c r="S384" s="3">
        <v>1.31</v>
      </c>
      <c r="T384" s="2">
        <v>13134</v>
      </c>
      <c r="U384" s="13" t="s">
        <v>267</v>
      </c>
      <c r="V384" s="13" t="str">
        <f t="shared" si="38"/>
        <v>No</v>
      </c>
      <c r="W384" s="13" t="str">
        <f t="shared" si="38"/>
        <v>Yes</v>
      </c>
      <c r="X384" s="13" t="str">
        <f t="shared" si="38"/>
        <v>No</v>
      </c>
      <c r="Y384" s="13" t="str">
        <f t="shared" si="38"/>
        <v>No</v>
      </c>
      <c r="Z384" s="13" t="str">
        <f t="shared" si="38"/>
        <v>No</v>
      </c>
      <c r="AA384" s="71" t="e">
        <f>+(Table1[[#This Row],[Everyday price]]-Table1[[#This Row],[Promo Price]])/Table1[[#This Row],[Everyday price]]</f>
        <v>#DIV/0!</v>
      </c>
      <c r="AC384" s="69"/>
      <c r="AH384" s="6"/>
      <c r="AJ384" s="116" t="str">
        <f>IF(AND(ISNUMBER(Table1[[#This Row],[Lift  ]]),ISNUMBER(Table1[[#This Row],[Plan lift, %]]),Table1[[#This Row],[Plan lift, %]]&lt;&gt;0),Table1[[#This Row],[Lift  ]]-Table1[[#This Row],[Plan lift, %]],"")</f>
        <v/>
      </c>
      <c r="AK384" s="116"/>
    </row>
    <row r="385" spans="1:39" x14ac:dyDescent="0.35">
      <c r="A385" t="s">
        <v>297</v>
      </c>
      <c r="B385" s="12">
        <v>1192</v>
      </c>
      <c r="C385" s="21" t="s">
        <v>230</v>
      </c>
      <c r="D385" s="13" t="s">
        <v>1232</v>
      </c>
      <c r="E385" t="s">
        <v>231</v>
      </c>
      <c r="F385" s="21" t="s">
        <v>298</v>
      </c>
      <c r="G385" t="s">
        <v>23</v>
      </c>
      <c r="H385" s="14">
        <v>46235</v>
      </c>
      <c r="I385" s="14">
        <v>46240</v>
      </c>
      <c r="J385" s="13" t="s">
        <v>29</v>
      </c>
      <c r="L385" s="2">
        <v>2899.79</v>
      </c>
      <c r="M385" s="2">
        <v>2448.77</v>
      </c>
      <c r="N385" s="2">
        <v>979.5</v>
      </c>
      <c r="O385" s="2">
        <v>3428.27</v>
      </c>
      <c r="P385" s="3">
        <v>0.4</v>
      </c>
      <c r="Q385" s="3"/>
      <c r="R385" s="2">
        <v>0</v>
      </c>
      <c r="S385" s="3">
        <v>0</v>
      </c>
      <c r="T385" s="2">
        <v>0</v>
      </c>
      <c r="U385" s="13" t="s">
        <v>267</v>
      </c>
      <c r="V385" s="13" t="str">
        <f t="shared" si="38"/>
        <v>No</v>
      </c>
      <c r="W385" s="13" t="str">
        <f t="shared" si="38"/>
        <v>Yes</v>
      </c>
      <c r="X385" s="13" t="str">
        <f t="shared" si="38"/>
        <v>No</v>
      </c>
      <c r="Y385" s="13" t="str">
        <f t="shared" si="38"/>
        <v>No</v>
      </c>
      <c r="Z385" s="13" t="str">
        <f t="shared" si="38"/>
        <v>No</v>
      </c>
      <c r="AA385" s="71" t="e">
        <f>+(Table1[[#This Row],[Everyday price]]-Table1[[#This Row],[Promo Price]])/Table1[[#This Row],[Everyday price]]</f>
        <v>#DIV/0!</v>
      </c>
      <c r="AC385" s="81"/>
      <c r="AH385" s="6"/>
      <c r="AJ385" s="116" t="str">
        <f>IF(AND(ISNUMBER(Table1[[#This Row],[Lift  ]]),ISNUMBER(Table1[[#This Row],[Plan lift, %]]),Table1[[#This Row],[Plan lift, %]]&lt;&gt;0),Table1[[#This Row],[Lift  ]]-Table1[[#This Row],[Plan lift, %]],"")</f>
        <v/>
      </c>
      <c r="AK385" s="116"/>
    </row>
    <row r="386" spans="1:39" x14ac:dyDescent="0.35">
      <c r="A386" t="s">
        <v>229</v>
      </c>
      <c r="B386" s="12">
        <v>1193</v>
      </c>
      <c r="C386" s="21" t="s">
        <v>230</v>
      </c>
      <c r="D386" s="13" t="s">
        <v>1232</v>
      </c>
      <c r="E386" t="s">
        <v>231</v>
      </c>
      <c r="F386" s="21" t="s">
        <v>232</v>
      </c>
      <c r="G386" t="s">
        <v>44</v>
      </c>
      <c r="H386" s="14">
        <v>46266</v>
      </c>
      <c r="I386" s="14">
        <v>46273</v>
      </c>
      <c r="J386" s="13" t="s">
        <v>29</v>
      </c>
      <c r="L386" s="2">
        <v>2399.8000000000002</v>
      </c>
      <c r="M386" s="2">
        <v>3265.03</v>
      </c>
      <c r="N386" s="2">
        <v>163.25</v>
      </c>
      <c r="O386" s="2">
        <v>3428.28</v>
      </c>
      <c r="P386" s="3">
        <v>0.05</v>
      </c>
      <c r="Q386" s="3"/>
      <c r="R386" s="2">
        <v>0</v>
      </c>
      <c r="S386" s="3">
        <v>0</v>
      </c>
      <c r="T386" s="2">
        <v>0</v>
      </c>
      <c r="U386" s="13" t="s">
        <v>25</v>
      </c>
      <c r="V386" s="13" t="str">
        <f t="shared" si="38"/>
        <v>No</v>
      </c>
      <c r="W386" s="13" t="str">
        <f t="shared" si="38"/>
        <v>Yes</v>
      </c>
      <c r="X386" s="13" t="str">
        <f t="shared" si="38"/>
        <v>No</v>
      </c>
      <c r="Y386" s="13" t="str">
        <f t="shared" si="38"/>
        <v>No</v>
      </c>
      <c r="Z386" s="13" t="str">
        <f t="shared" si="38"/>
        <v>No</v>
      </c>
      <c r="AA386" s="71" t="e">
        <f>+(Table1[[#This Row],[Everyday price]]-Table1[[#This Row],[Promo Price]])/Table1[[#This Row],[Everyday price]]</f>
        <v>#DIV/0!</v>
      </c>
      <c r="AC386" s="69"/>
      <c r="AH386" s="6"/>
      <c r="AJ386" s="116" t="str">
        <f>IF(AND(ISNUMBER(Table1[[#This Row],[Lift  ]]),ISNUMBER(Table1[[#This Row],[Plan lift, %]]),Table1[[#This Row],[Plan lift, %]]&lt;&gt;0),Table1[[#This Row],[Lift  ]]-Table1[[#This Row],[Plan lift, %]],"")</f>
        <v/>
      </c>
      <c r="AK386" s="116"/>
    </row>
    <row r="387" spans="1:39" x14ac:dyDescent="0.35">
      <c r="A387" t="s">
        <v>508</v>
      </c>
      <c r="B387" s="12">
        <v>1194</v>
      </c>
      <c r="C387" s="21" t="s">
        <v>230</v>
      </c>
      <c r="D387" s="13" t="s">
        <v>1232</v>
      </c>
      <c r="E387" t="s">
        <v>231</v>
      </c>
      <c r="F387" s="21" t="s">
        <v>509</v>
      </c>
      <c r="G387" t="s">
        <v>44</v>
      </c>
      <c r="H387" s="14">
        <v>46296</v>
      </c>
      <c r="I387" s="14">
        <v>46309</v>
      </c>
      <c r="J387" s="13" t="s">
        <v>29</v>
      </c>
      <c r="L387" s="2">
        <v>4699.6499999999996</v>
      </c>
      <c r="M387" s="2">
        <v>5713.8</v>
      </c>
      <c r="N387" s="2">
        <v>285.69</v>
      </c>
      <c r="O387" s="2">
        <v>5999.49</v>
      </c>
      <c r="P387" s="3">
        <v>0.05</v>
      </c>
      <c r="Q387" s="3"/>
      <c r="R387" s="2">
        <v>0</v>
      </c>
      <c r="S387" s="3">
        <v>0</v>
      </c>
      <c r="T387" s="2">
        <v>0</v>
      </c>
      <c r="U387" s="13" t="s">
        <v>267</v>
      </c>
      <c r="V387" s="13" t="str">
        <f t="shared" si="38"/>
        <v>No</v>
      </c>
      <c r="W387" s="13" t="str">
        <f t="shared" si="38"/>
        <v>Yes</v>
      </c>
      <c r="X387" s="13" t="str">
        <f t="shared" si="38"/>
        <v>No</v>
      </c>
      <c r="Y387" s="13" t="str">
        <f t="shared" si="38"/>
        <v>No</v>
      </c>
      <c r="Z387" s="13" t="str">
        <f t="shared" si="38"/>
        <v>No</v>
      </c>
      <c r="AA387" s="71" t="e">
        <f>+(Table1[[#This Row],[Everyday price]]-Table1[[#This Row],[Promo Price]])/Table1[[#This Row],[Everyday price]]</f>
        <v>#DIV/0!</v>
      </c>
      <c r="AC387" s="69"/>
      <c r="AH387" s="6"/>
      <c r="AJ387" s="116" t="str">
        <f>IF(AND(ISNUMBER(Table1[[#This Row],[Lift  ]]),ISNUMBER(Table1[[#This Row],[Plan lift, %]]),Table1[[#This Row],[Plan lift, %]]&lt;&gt;0),Table1[[#This Row],[Lift  ]]-Table1[[#This Row],[Plan lift, %]],"")</f>
        <v/>
      </c>
      <c r="AK387" s="116"/>
    </row>
    <row r="388" spans="1:39" x14ac:dyDescent="0.35">
      <c r="A388" t="s">
        <v>922</v>
      </c>
      <c r="B388" s="12">
        <v>1195</v>
      </c>
      <c r="C388" s="21" t="s">
        <v>230</v>
      </c>
      <c r="D388" s="13" t="s">
        <v>1232</v>
      </c>
      <c r="E388" t="s">
        <v>231</v>
      </c>
      <c r="F388" s="21" t="s">
        <v>923</v>
      </c>
      <c r="G388" t="s">
        <v>44</v>
      </c>
      <c r="H388" s="14">
        <v>46327</v>
      </c>
      <c r="I388" s="14">
        <v>46336</v>
      </c>
      <c r="J388" s="13" t="s">
        <v>29</v>
      </c>
      <c r="L388" s="2">
        <v>13999.66</v>
      </c>
      <c r="M388" s="2">
        <v>4081.29</v>
      </c>
      <c r="N388" s="2">
        <v>1632.51</v>
      </c>
      <c r="O388" s="2">
        <v>5713.8</v>
      </c>
      <c r="P388" s="3">
        <v>0.4</v>
      </c>
      <c r="Q388" s="3"/>
      <c r="R388" s="2">
        <v>0</v>
      </c>
      <c r="S388" s="3">
        <v>0</v>
      </c>
      <c r="T388" s="2">
        <v>0</v>
      </c>
      <c r="U388" s="13" t="s">
        <v>267</v>
      </c>
      <c r="V388" s="13" t="str">
        <f t="shared" si="38"/>
        <v>No</v>
      </c>
      <c r="W388" s="13" t="str">
        <f t="shared" si="38"/>
        <v>Yes</v>
      </c>
      <c r="X388" s="13" t="str">
        <f t="shared" si="38"/>
        <v>No</v>
      </c>
      <c r="Y388" s="13" t="str">
        <f t="shared" si="38"/>
        <v>No</v>
      </c>
      <c r="Z388" s="13" t="str">
        <f t="shared" si="38"/>
        <v>No</v>
      </c>
      <c r="AA388" s="71" t="e">
        <f>+(Table1[[#This Row],[Everyday price]]-Table1[[#This Row],[Promo Price]])/Table1[[#This Row],[Everyday price]]</f>
        <v>#DIV/0!</v>
      </c>
      <c r="AC388" s="69"/>
      <c r="AH388" s="6"/>
      <c r="AJ388" s="116" t="str">
        <f>IF(AND(ISNUMBER(Table1[[#This Row],[Lift  ]]),ISNUMBER(Table1[[#This Row],[Plan lift, %]]),Table1[[#This Row],[Plan lift, %]]&lt;&gt;0),Table1[[#This Row],[Lift  ]]-Table1[[#This Row],[Plan lift, %]],"")</f>
        <v/>
      </c>
      <c r="AK388" s="116"/>
    </row>
    <row r="389" spans="1:39" x14ac:dyDescent="0.35">
      <c r="A389" t="s">
        <v>436</v>
      </c>
      <c r="B389" s="82">
        <v>971</v>
      </c>
      <c r="C389" s="21" t="s">
        <v>308</v>
      </c>
      <c r="D389" s="13" t="s">
        <v>1232</v>
      </c>
      <c r="F389" s="21" t="s">
        <v>437</v>
      </c>
      <c r="G389" t="s">
        <v>23</v>
      </c>
      <c r="H389" s="14">
        <v>46043</v>
      </c>
      <c r="I389" s="14">
        <v>46049</v>
      </c>
      <c r="J389" s="13" t="s">
        <v>24</v>
      </c>
      <c r="L389" s="2">
        <v>1502.83</v>
      </c>
      <c r="M389" s="2">
        <v>726</v>
      </c>
      <c r="N389" s="2">
        <v>1452</v>
      </c>
      <c r="O389" s="2">
        <v>2178</v>
      </c>
      <c r="P389" s="3">
        <v>2</v>
      </c>
      <c r="Q389" s="3"/>
      <c r="R389" s="2">
        <v>0</v>
      </c>
      <c r="S389" s="3">
        <v>0</v>
      </c>
      <c r="T389" s="2">
        <v>0</v>
      </c>
      <c r="U389" s="13" t="s">
        <v>25</v>
      </c>
      <c r="V389" s="13" t="str">
        <f t="shared" si="38"/>
        <v>No</v>
      </c>
      <c r="W389" s="13" t="str">
        <f t="shared" si="38"/>
        <v>Yes</v>
      </c>
      <c r="X389" s="13" t="str">
        <f t="shared" si="38"/>
        <v>No</v>
      </c>
      <c r="Y389" s="13" t="str">
        <f t="shared" si="38"/>
        <v>No</v>
      </c>
      <c r="Z389" s="13" t="str">
        <f t="shared" si="38"/>
        <v>No</v>
      </c>
      <c r="AA389" s="71">
        <f>+(Table1[[#This Row],[Everyday price]]-Table1[[#This Row],[Promo Price]])/Table1[[#This Row],[Everyday price]]</f>
        <v>0.44072948328267475</v>
      </c>
      <c r="AB389" s="69">
        <v>1.84</v>
      </c>
      <c r="AC389" s="69">
        <v>3.29</v>
      </c>
      <c r="AD389" s="40" t="s">
        <v>1257</v>
      </c>
      <c r="AE389" s="5">
        <v>46055</v>
      </c>
      <c r="AF389" s="5">
        <v>46068</v>
      </c>
      <c r="AG389" s="20">
        <v>1868</v>
      </c>
      <c r="AH389" s="6">
        <v>2641</v>
      </c>
      <c r="AI389" s="11">
        <f>Table1[[#This Row],[Incremental Units]]/Table1[[#This Row],[Base Units]]</f>
        <v>1.4138115631691648</v>
      </c>
      <c r="AJ389" s="11">
        <f>IF(AND(ISNUMBER(Table1[[#This Row],[Lift  ]]),ISNUMBER(Table1[[#This Row],[Plan lift, %]]),Table1[[#This Row],[Plan lift, %]]&lt;&gt;0),Table1[[#This Row],[Lift  ]]-Table1[[#This Row],[Plan lift, %]],"")</f>
        <v>-0.58618843683083521</v>
      </c>
      <c r="AK389" s="11"/>
      <c r="AL389" s="71" t="s">
        <v>1400</v>
      </c>
      <c r="AM389" s="4" t="s">
        <v>1356</v>
      </c>
    </row>
    <row r="390" spans="1:39" x14ac:dyDescent="0.35">
      <c r="A390" t="s">
        <v>522</v>
      </c>
      <c r="B390" s="82">
        <v>972</v>
      </c>
      <c r="C390" s="21" t="s">
        <v>308</v>
      </c>
      <c r="D390" s="13" t="s">
        <v>1232</v>
      </c>
      <c r="F390" s="21" t="s">
        <v>523</v>
      </c>
      <c r="G390" t="s">
        <v>23</v>
      </c>
      <c r="H390" s="14">
        <v>46143</v>
      </c>
      <c r="I390" s="14">
        <v>46173</v>
      </c>
      <c r="J390" s="13" t="s">
        <v>24</v>
      </c>
      <c r="L390" s="2">
        <v>4776.28</v>
      </c>
      <c r="M390" s="2">
        <v>3215.14</v>
      </c>
      <c r="N390" s="2">
        <v>4822.7</v>
      </c>
      <c r="O390" s="2">
        <v>8037.84</v>
      </c>
      <c r="P390" s="3">
        <v>1.5</v>
      </c>
      <c r="Q390" s="3"/>
      <c r="R390" s="2">
        <v>0</v>
      </c>
      <c r="S390" s="3">
        <v>0</v>
      </c>
      <c r="T390" s="2">
        <v>0</v>
      </c>
      <c r="U390" s="13" t="s">
        <v>33</v>
      </c>
      <c r="V390" s="13" t="str">
        <f t="shared" si="38"/>
        <v>No</v>
      </c>
      <c r="W390" s="13" t="str">
        <f t="shared" si="38"/>
        <v>Yes</v>
      </c>
      <c r="X390" s="13" t="str">
        <f t="shared" si="38"/>
        <v>Yes</v>
      </c>
      <c r="Y390" s="13" t="str">
        <f t="shared" si="38"/>
        <v>No</v>
      </c>
      <c r="Z390" s="13" t="str">
        <f t="shared" si="38"/>
        <v>No</v>
      </c>
      <c r="AA390" s="71">
        <f>+(Table1[[#This Row],[Everyday price]]-Table1[[#This Row],[Promo Price]])/Table1[[#This Row],[Everyday price]]</f>
        <v>0.21630094043887146</v>
      </c>
      <c r="AB390" s="69">
        <v>2.5</v>
      </c>
      <c r="AC390" s="69">
        <v>3.19</v>
      </c>
      <c r="AD390" s="40" t="s">
        <v>1257</v>
      </c>
      <c r="AE390" s="5">
        <v>46138</v>
      </c>
      <c r="AF390" s="5">
        <v>46152</v>
      </c>
      <c r="AG390" s="20">
        <v>1625</v>
      </c>
      <c r="AH390" s="6">
        <v>842</v>
      </c>
      <c r="AI390" s="11">
        <f>Table1[[#This Row],[Incremental Units]]/Table1[[#This Row],[Base Units]]</f>
        <v>0.51815384615384619</v>
      </c>
      <c r="AJ390" s="11">
        <f>IF(AND(ISNUMBER(Table1[[#This Row],[Lift  ]]),ISNUMBER(Table1[[#This Row],[Plan lift, %]]),Table1[[#This Row],[Plan lift, %]]&lt;&gt;0),Table1[[#This Row],[Lift  ]]-Table1[[#This Row],[Plan lift, %]],"")</f>
        <v>-0.98184615384615381</v>
      </c>
      <c r="AK390" s="11"/>
      <c r="AL390" s="71" t="s">
        <v>1400</v>
      </c>
      <c r="AM390" s="4" t="s">
        <v>1357</v>
      </c>
    </row>
    <row r="391" spans="1:39" x14ac:dyDescent="0.35">
      <c r="A391" t="s">
        <v>307</v>
      </c>
      <c r="B391" s="12">
        <v>973</v>
      </c>
      <c r="C391" s="21" t="s">
        <v>308</v>
      </c>
      <c r="D391" s="13" t="s">
        <v>1232</v>
      </c>
      <c r="F391" s="21" t="s">
        <v>309</v>
      </c>
      <c r="G391" t="s">
        <v>44</v>
      </c>
      <c r="H391" s="14">
        <v>46266</v>
      </c>
      <c r="I391" s="14">
        <v>46295</v>
      </c>
      <c r="J391" s="13" t="s">
        <v>24</v>
      </c>
      <c r="L391" s="2">
        <v>2675.83</v>
      </c>
      <c r="M391" s="2">
        <v>3111.43</v>
      </c>
      <c r="N391" s="2">
        <v>3111.43</v>
      </c>
      <c r="O391" s="2">
        <v>6222.86</v>
      </c>
      <c r="P391" s="3">
        <v>1</v>
      </c>
      <c r="Q391" s="3"/>
      <c r="R391" s="2">
        <v>0</v>
      </c>
      <c r="S391" s="3">
        <v>0</v>
      </c>
      <c r="T391" s="2">
        <v>0</v>
      </c>
      <c r="U391" s="13" t="s">
        <v>25</v>
      </c>
      <c r="V391" s="13" t="str">
        <f t="shared" si="38"/>
        <v>No</v>
      </c>
      <c r="W391" s="13" t="str">
        <f t="shared" si="38"/>
        <v>Yes</v>
      </c>
      <c r="X391" s="13" t="str">
        <f t="shared" si="38"/>
        <v>No</v>
      </c>
      <c r="Y391" s="13" t="str">
        <f t="shared" si="38"/>
        <v>No</v>
      </c>
      <c r="Z391" s="13" t="str">
        <f t="shared" si="38"/>
        <v>No</v>
      </c>
      <c r="AA391" s="71" t="e">
        <f>+(Table1[[#This Row],[Everyday price]]-Table1[[#This Row],[Promo Price]])/Table1[[#This Row],[Everyday price]]</f>
        <v>#DIV/0!</v>
      </c>
      <c r="AC391" s="69"/>
      <c r="AH391" s="6"/>
      <c r="AJ391" s="116" t="str">
        <f>IF(AND(ISNUMBER(Table1[[#This Row],[Lift  ]]),ISNUMBER(Table1[[#This Row],[Plan lift, %]]),Table1[[#This Row],[Plan lift, %]]&lt;&gt;0),Table1[[#This Row],[Lift  ]]-Table1[[#This Row],[Plan lift, %]],"")</f>
        <v/>
      </c>
      <c r="AK391" s="116"/>
    </row>
    <row r="392" spans="1:39" x14ac:dyDescent="0.35">
      <c r="A392" t="s">
        <v>919</v>
      </c>
      <c r="B392" s="12">
        <v>1196</v>
      </c>
      <c r="C392" s="21" t="s">
        <v>920</v>
      </c>
      <c r="D392" s="13" t="s">
        <v>1232</v>
      </c>
      <c r="F392" s="21" t="s">
        <v>921</v>
      </c>
      <c r="G392" t="s">
        <v>23</v>
      </c>
      <c r="H392" s="14">
        <v>46143</v>
      </c>
      <c r="I392" s="14">
        <v>46172</v>
      </c>
      <c r="J392" s="13" t="s">
        <v>24</v>
      </c>
      <c r="L392" s="2">
        <v>5904.63</v>
      </c>
      <c r="M392" s="2">
        <v>4885.71</v>
      </c>
      <c r="N392" s="2">
        <v>732.87</v>
      </c>
      <c r="O392" s="2">
        <v>5618.58</v>
      </c>
      <c r="P392" s="3">
        <v>0.15</v>
      </c>
      <c r="Q392" s="3"/>
      <c r="R392" s="2">
        <v>0</v>
      </c>
      <c r="S392" s="3">
        <v>0</v>
      </c>
      <c r="T392" s="2">
        <v>0</v>
      </c>
      <c r="U392" s="13" t="s">
        <v>33</v>
      </c>
      <c r="V392" s="13" t="str">
        <f t="shared" ref="V392:Z401" si="39">IF(ISNUMBER(SEARCH(V$1,$U392)),"Yes","No")</f>
        <v>No</v>
      </c>
      <c r="W392" s="13" t="str">
        <f t="shared" si="39"/>
        <v>Yes</v>
      </c>
      <c r="X392" s="13" t="str">
        <f t="shared" si="39"/>
        <v>Yes</v>
      </c>
      <c r="Y392" s="13" t="str">
        <f t="shared" si="39"/>
        <v>No</v>
      </c>
      <c r="Z392" s="13" t="str">
        <f t="shared" si="39"/>
        <v>No</v>
      </c>
      <c r="AA392" s="71" t="e">
        <f>+(Table1[[#This Row],[Everyday price]]-Table1[[#This Row],[Promo Price]])/Table1[[#This Row],[Everyday price]]</f>
        <v>#DIV/0!</v>
      </c>
      <c r="AC392" s="69"/>
      <c r="AH392" s="6"/>
      <c r="AJ392" s="116" t="str">
        <f>IF(AND(ISNUMBER(Table1[[#This Row],[Lift  ]]),ISNUMBER(Table1[[#This Row],[Plan lift, %]]),Table1[[#This Row],[Plan lift, %]]&lt;&gt;0),Table1[[#This Row],[Lift  ]]-Table1[[#This Row],[Plan lift, %]],"")</f>
        <v/>
      </c>
      <c r="AK392" s="116"/>
    </row>
    <row r="393" spans="1:39" x14ac:dyDescent="0.35">
      <c r="A393" t="s">
        <v>1172</v>
      </c>
      <c r="B393" s="12">
        <v>1197</v>
      </c>
      <c r="C393" s="21" t="s">
        <v>920</v>
      </c>
      <c r="D393" s="13" t="s">
        <v>1232</v>
      </c>
      <c r="F393" s="21" t="s">
        <v>1173</v>
      </c>
      <c r="G393" t="s">
        <v>23</v>
      </c>
      <c r="H393" s="14">
        <v>46174</v>
      </c>
      <c r="I393" s="14">
        <v>46203</v>
      </c>
      <c r="J393" s="13" t="s">
        <v>24</v>
      </c>
      <c r="L393" s="2">
        <v>5904.63</v>
      </c>
      <c r="M393" s="2">
        <v>4885.71</v>
      </c>
      <c r="N393" s="2">
        <v>732.87</v>
      </c>
      <c r="O393" s="2">
        <v>5618.58</v>
      </c>
      <c r="P393" s="3">
        <v>0.15</v>
      </c>
      <c r="Q393" s="3"/>
      <c r="R393" s="2">
        <v>0</v>
      </c>
      <c r="S393" s="3">
        <v>0</v>
      </c>
      <c r="T393" s="2">
        <v>0</v>
      </c>
      <c r="U393" s="13" t="s">
        <v>33</v>
      </c>
      <c r="V393" s="13" t="str">
        <f t="shared" si="39"/>
        <v>No</v>
      </c>
      <c r="W393" s="13" t="str">
        <f t="shared" si="39"/>
        <v>Yes</v>
      </c>
      <c r="X393" s="13" t="str">
        <f t="shared" si="39"/>
        <v>Yes</v>
      </c>
      <c r="Y393" s="13" t="str">
        <f t="shared" si="39"/>
        <v>No</v>
      </c>
      <c r="Z393" s="13" t="str">
        <f t="shared" si="39"/>
        <v>No</v>
      </c>
      <c r="AA393" s="71" t="e">
        <f>+(Table1[[#This Row],[Everyday price]]-Table1[[#This Row],[Promo Price]])/Table1[[#This Row],[Everyday price]]</f>
        <v>#DIV/0!</v>
      </c>
      <c r="AC393" s="69"/>
      <c r="AH393" s="6"/>
      <c r="AJ393" s="116" t="str">
        <f>IF(AND(ISNUMBER(Table1[[#This Row],[Lift  ]]),ISNUMBER(Table1[[#This Row],[Plan lift, %]]),Table1[[#This Row],[Plan lift, %]]&lt;&gt;0),Table1[[#This Row],[Lift  ]]-Table1[[#This Row],[Plan lift, %]],"")</f>
        <v/>
      </c>
      <c r="AK393" s="116"/>
    </row>
    <row r="394" spans="1:39" x14ac:dyDescent="0.35">
      <c r="A394" t="s">
        <v>480</v>
      </c>
      <c r="B394" s="146">
        <v>974</v>
      </c>
      <c r="C394" s="21" t="s">
        <v>162</v>
      </c>
      <c r="D394" s="15" t="s">
        <v>1512</v>
      </c>
      <c r="F394" s="21" t="s">
        <v>481</v>
      </c>
      <c r="G394" t="s">
        <v>23</v>
      </c>
      <c r="H394" s="14">
        <v>46054</v>
      </c>
      <c r="I394" s="14">
        <v>46081</v>
      </c>
      <c r="J394" s="13" t="s">
        <v>24</v>
      </c>
      <c r="L394" s="2">
        <v>2520.17</v>
      </c>
      <c r="M394" s="2">
        <v>1506</v>
      </c>
      <c r="N394" s="2">
        <v>451.8</v>
      </c>
      <c r="O394" s="2">
        <v>1957.8</v>
      </c>
      <c r="P394" s="3">
        <v>0.3</v>
      </c>
      <c r="Q394" s="3"/>
      <c r="R394" s="2">
        <v>0</v>
      </c>
      <c r="S394" s="3">
        <v>0</v>
      </c>
      <c r="T394" s="2">
        <v>0</v>
      </c>
      <c r="U394" s="13" t="s">
        <v>33</v>
      </c>
      <c r="V394" s="13" t="str">
        <f t="shared" si="39"/>
        <v>No</v>
      </c>
      <c r="W394" s="13" t="str">
        <f t="shared" si="39"/>
        <v>Yes</v>
      </c>
      <c r="X394" s="13" t="str">
        <f t="shared" si="39"/>
        <v>Yes</v>
      </c>
      <c r="Y394" s="13" t="str">
        <f t="shared" si="39"/>
        <v>No</v>
      </c>
      <c r="Z394" s="13" t="str">
        <f t="shared" si="39"/>
        <v>No</v>
      </c>
      <c r="AA394" s="71">
        <f>+(Table1[[#This Row],[Everyday price]]-Table1[[#This Row],[Promo Price]])/Table1[[#This Row],[Everyday price]]</f>
        <v>0.33333333333333331</v>
      </c>
      <c r="AB394" s="69">
        <v>2.64</v>
      </c>
      <c r="AC394" s="69">
        <v>3.96</v>
      </c>
      <c r="AD394" s="41" t="s">
        <v>1229</v>
      </c>
      <c r="AE394" s="5">
        <v>46055</v>
      </c>
      <c r="AF394" s="5">
        <v>46082</v>
      </c>
      <c r="AG394" s="20">
        <v>1448</v>
      </c>
      <c r="AH394" s="6">
        <v>1912</v>
      </c>
      <c r="AI394" s="11">
        <f>Table1[[#This Row],[Incremental Units]]/Table1[[#This Row],[Base Units]]</f>
        <v>1.3204419889502763</v>
      </c>
      <c r="AJ394" s="11">
        <f>IF(AND(ISNUMBER(Table1[[#This Row],[Lift  ]]),ISNUMBER(Table1[[#This Row],[Plan lift, %]]),Table1[[#This Row],[Plan lift, %]]&lt;&gt;0),Table1[[#This Row],[Lift  ]]-Table1[[#This Row],[Plan lift, %]],"")</f>
        <v>1.0204419889502763</v>
      </c>
      <c r="AK394" s="116"/>
      <c r="AL394" s="71" t="s">
        <v>1400</v>
      </c>
      <c r="AM394" t="s">
        <v>1546</v>
      </c>
    </row>
    <row r="395" spans="1:39" x14ac:dyDescent="0.35">
      <c r="A395" t="s">
        <v>407</v>
      </c>
      <c r="B395" s="146">
        <v>975</v>
      </c>
      <c r="C395" s="21" t="s">
        <v>162</v>
      </c>
      <c r="D395" s="15" t="s">
        <v>1512</v>
      </c>
      <c r="F395" s="21" t="s">
        <v>408</v>
      </c>
      <c r="G395" t="s">
        <v>23</v>
      </c>
      <c r="H395" s="14">
        <v>46143</v>
      </c>
      <c r="I395" s="14">
        <v>46173</v>
      </c>
      <c r="J395" s="13" t="s">
        <v>24</v>
      </c>
      <c r="L395" s="2">
        <v>1018.76</v>
      </c>
      <c r="M395" s="2">
        <v>1667.36</v>
      </c>
      <c r="N395" s="2">
        <v>500.21</v>
      </c>
      <c r="O395" s="2">
        <v>2167.5700000000002</v>
      </c>
      <c r="P395" s="3">
        <v>0.3</v>
      </c>
      <c r="Q395" s="3"/>
      <c r="R395" s="2">
        <v>0</v>
      </c>
      <c r="S395" s="3">
        <v>0</v>
      </c>
      <c r="T395" s="2">
        <v>0</v>
      </c>
      <c r="U395" s="13" t="s">
        <v>25</v>
      </c>
      <c r="V395" s="13" t="str">
        <f t="shared" si="39"/>
        <v>No</v>
      </c>
      <c r="W395" s="13" t="str">
        <f t="shared" si="39"/>
        <v>Yes</v>
      </c>
      <c r="X395" s="13" t="str">
        <f t="shared" si="39"/>
        <v>No</v>
      </c>
      <c r="Y395" s="13" t="str">
        <f t="shared" si="39"/>
        <v>No</v>
      </c>
      <c r="Z395" s="13" t="str">
        <f t="shared" si="39"/>
        <v>No</v>
      </c>
      <c r="AA395" s="71">
        <f>+(Table1[[#This Row],[Everyday price]]-Table1[[#This Row],[Promo Price]])/Table1[[#This Row],[Everyday price]]</f>
        <v>0.45400593471810086</v>
      </c>
      <c r="AB395" s="69">
        <v>1.84</v>
      </c>
      <c r="AC395" s="69">
        <v>3.37</v>
      </c>
      <c r="AD395" s="41" t="s">
        <v>1229</v>
      </c>
      <c r="AE395" s="5">
        <v>46153</v>
      </c>
      <c r="AF395" s="5">
        <v>46166</v>
      </c>
      <c r="AG395" s="20">
        <v>1975</v>
      </c>
      <c r="AH395" s="6">
        <v>4768</v>
      </c>
      <c r="AI395" s="11">
        <f>Table1[[#This Row],[Incremental Units]]/Table1[[#This Row],[Base Units]]</f>
        <v>2.4141772151898735</v>
      </c>
      <c r="AJ395" s="11">
        <f>IF(AND(ISNUMBER(Table1[[#This Row],[Lift  ]]),ISNUMBER(Table1[[#This Row],[Plan lift, %]]),Table1[[#This Row],[Plan lift, %]]&lt;&gt;0),Table1[[#This Row],[Lift  ]]-Table1[[#This Row],[Plan lift, %]],"")</f>
        <v>2.1141772151898737</v>
      </c>
      <c r="AK395" s="116"/>
      <c r="AL395" s="71" t="s">
        <v>1400</v>
      </c>
      <c r="AM395" t="s">
        <v>1547</v>
      </c>
    </row>
    <row r="396" spans="1:39" x14ac:dyDescent="0.35">
      <c r="A396" t="s">
        <v>161</v>
      </c>
      <c r="B396" s="146">
        <v>976</v>
      </c>
      <c r="C396" s="21" t="s">
        <v>162</v>
      </c>
      <c r="D396" s="15" t="s">
        <v>1512</v>
      </c>
      <c r="F396" s="21" t="s">
        <v>163</v>
      </c>
      <c r="G396" t="s">
        <v>23</v>
      </c>
      <c r="H396" s="14">
        <v>46204</v>
      </c>
      <c r="I396" s="14">
        <v>46234</v>
      </c>
      <c r="J396" s="13" t="s">
        <v>24</v>
      </c>
      <c r="L396" s="2">
        <v>1018.76</v>
      </c>
      <c r="M396" s="2">
        <v>1667.36</v>
      </c>
      <c r="N396" s="2">
        <v>500.21</v>
      </c>
      <c r="O396" s="2">
        <v>2167.5700000000002</v>
      </c>
      <c r="P396" s="3">
        <v>0.3</v>
      </c>
      <c r="Q396" s="3"/>
      <c r="R396" s="2">
        <v>0</v>
      </c>
      <c r="S396" s="3">
        <v>0</v>
      </c>
      <c r="T396" s="2">
        <v>0</v>
      </c>
      <c r="U396" s="13" t="s">
        <v>25</v>
      </c>
      <c r="V396" s="13" t="str">
        <f t="shared" si="39"/>
        <v>No</v>
      </c>
      <c r="W396" s="13" t="str">
        <f t="shared" si="39"/>
        <v>Yes</v>
      </c>
      <c r="X396" s="13" t="str">
        <f t="shared" si="39"/>
        <v>No</v>
      </c>
      <c r="Y396" s="13" t="str">
        <f t="shared" si="39"/>
        <v>No</v>
      </c>
      <c r="Z396" s="13" t="str">
        <f t="shared" si="39"/>
        <v>No</v>
      </c>
      <c r="AA396" s="71">
        <f>+(Table1[[#This Row],[Everyday price]]-Table1[[#This Row],[Promo Price]])/Table1[[#This Row],[Everyday price]]</f>
        <v>0.19083969465648853</v>
      </c>
      <c r="AB396" s="69">
        <v>2.12</v>
      </c>
      <c r="AC396" s="69">
        <v>2.62</v>
      </c>
      <c r="AD396" s="41" t="s">
        <v>1229</v>
      </c>
      <c r="AE396" s="5">
        <v>46209</v>
      </c>
      <c r="AF396" s="5">
        <v>46232</v>
      </c>
      <c r="AG396" s="20">
        <v>1513</v>
      </c>
      <c r="AH396" s="6">
        <v>1487</v>
      </c>
      <c r="AI396" s="11">
        <f>Table1[[#This Row],[Incremental Units]]/Table1[[#This Row],[Base Units]]</f>
        <v>0.98281559814937214</v>
      </c>
      <c r="AJ396" s="11">
        <f>IF(AND(ISNUMBER(Table1[[#This Row],[Lift  ]]),ISNUMBER(Table1[[#This Row],[Plan lift, %]]),Table1[[#This Row],[Plan lift, %]]&lt;&gt;0),Table1[[#This Row],[Lift  ]]-Table1[[#This Row],[Plan lift, %]],"")</f>
        <v>0.6828155981493722</v>
      </c>
      <c r="AK396" s="116"/>
      <c r="AL396" s="71" t="s">
        <v>1400</v>
      </c>
    </row>
    <row r="397" spans="1:39" x14ac:dyDescent="0.35">
      <c r="A397" t="s">
        <v>769</v>
      </c>
      <c r="B397" s="12">
        <v>977</v>
      </c>
      <c r="C397" s="21" t="s">
        <v>162</v>
      </c>
      <c r="D397" s="15" t="s">
        <v>1512</v>
      </c>
      <c r="F397" s="21" t="s">
        <v>770</v>
      </c>
      <c r="G397" t="s">
        <v>44</v>
      </c>
      <c r="H397" s="14">
        <v>46296</v>
      </c>
      <c r="I397" s="14">
        <v>46326</v>
      </c>
      <c r="J397" s="13" t="s">
        <v>24</v>
      </c>
      <c r="L397" s="2">
        <v>1018.76</v>
      </c>
      <c r="M397" s="2">
        <v>1667.36</v>
      </c>
      <c r="N397" s="2">
        <v>500.21</v>
      </c>
      <c r="O397" s="2">
        <v>2167.5700000000002</v>
      </c>
      <c r="P397" s="3">
        <v>0.3</v>
      </c>
      <c r="Q397" s="3"/>
      <c r="R397" s="2">
        <v>0</v>
      </c>
      <c r="S397" s="3">
        <v>0</v>
      </c>
      <c r="T397" s="2">
        <v>0</v>
      </c>
      <c r="U397" s="13" t="s">
        <v>25</v>
      </c>
      <c r="V397" s="13" t="str">
        <f t="shared" si="39"/>
        <v>No</v>
      </c>
      <c r="W397" s="13" t="str">
        <f t="shared" si="39"/>
        <v>Yes</v>
      </c>
      <c r="X397" s="13" t="str">
        <f t="shared" si="39"/>
        <v>No</v>
      </c>
      <c r="Y397" s="13" t="str">
        <f t="shared" si="39"/>
        <v>No</v>
      </c>
      <c r="Z397" s="13" t="str">
        <f t="shared" si="39"/>
        <v>No</v>
      </c>
      <c r="AA397" s="71" t="e">
        <f>+(Table1[[#This Row],[Everyday price]]-Table1[[#This Row],[Promo Price]])/Table1[[#This Row],[Everyday price]]</f>
        <v>#DIV/0!</v>
      </c>
      <c r="AC397" s="69"/>
      <c r="AH397" s="6"/>
      <c r="AJ397" s="116" t="str">
        <f>IF(AND(ISNUMBER(Table1[[#This Row],[Lift  ]]),ISNUMBER(Table1[[#This Row],[Plan lift, %]]),Table1[[#This Row],[Plan lift, %]]&lt;&gt;0),Table1[[#This Row],[Lift  ]]-Table1[[#This Row],[Plan lift, %]],"")</f>
        <v/>
      </c>
      <c r="AK397" s="116"/>
    </row>
    <row r="398" spans="1:39" x14ac:dyDescent="0.35">
      <c r="A398" t="s">
        <v>764</v>
      </c>
      <c r="B398" s="12">
        <v>1198</v>
      </c>
      <c r="C398" s="21" t="s">
        <v>765</v>
      </c>
      <c r="D398" s="13" t="s">
        <v>1230</v>
      </c>
      <c r="F398" t="s">
        <v>766</v>
      </c>
      <c r="G398" t="s">
        <v>60</v>
      </c>
      <c r="H398" s="1">
        <v>46204</v>
      </c>
      <c r="I398" s="1">
        <v>46265</v>
      </c>
      <c r="J398" s="13" t="s">
        <v>24</v>
      </c>
      <c r="L398" s="2">
        <v>16387.009999999998</v>
      </c>
      <c r="M398" s="2">
        <v>52776.19</v>
      </c>
      <c r="N398" s="2">
        <v>7916.43</v>
      </c>
      <c r="O398" s="2">
        <v>60692.62</v>
      </c>
      <c r="P398" s="3">
        <v>0.15</v>
      </c>
      <c r="Q398" s="3"/>
      <c r="R398" s="2">
        <v>0</v>
      </c>
      <c r="S398" s="3">
        <v>0</v>
      </c>
      <c r="T398" s="2">
        <v>0</v>
      </c>
      <c r="U398" t="s">
        <v>25</v>
      </c>
      <c r="V398" s="13" t="str">
        <f t="shared" si="39"/>
        <v>No</v>
      </c>
      <c r="W398" s="13" t="str">
        <f t="shared" si="39"/>
        <v>Yes</v>
      </c>
      <c r="X398" s="13" t="str">
        <f t="shared" si="39"/>
        <v>No</v>
      </c>
      <c r="Y398" s="13" t="str">
        <f t="shared" si="39"/>
        <v>No</v>
      </c>
      <c r="Z398" s="13" t="str">
        <f t="shared" si="39"/>
        <v>No</v>
      </c>
      <c r="AA398" s="71" t="e">
        <f>+(Table1[[#This Row],[Everyday price]]-Table1[[#This Row],[Promo Price]])/Table1[[#This Row],[Everyday price]]</f>
        <v>#DIV/0!</v>
      </c>
      <c r="AC398" s="69"/>
      <c r="AD398" s="13"/>
      <c r="AH398" s="6"/>
      <c r="AJ398" s="116" t="str">
        <f>IF(AND(ISNUMBER(Table1[[#This Row],[Lift  ]]),ISNUMBER(Table1[[#This Row],[Plan lift, %]]),Table1[[#This Row],[Plan lift, %]]&lt;&gt;0),Table1[[#This Row],[Lift  ]]-Table1[[#This Row],[Plan lift, %]],"")</f>
        <v/>
      </c>
      <c r="AK398" s="116"/>
    </row>
    <row r="399" spans="1:39" x14ac:dyDescent="0.35">
      <c r="A399" t="s">
        <v>976</v>
      </c>
      <c r="B399" s="12">
        <v>1300</v>
      </c>
      <c r="C399" s="21" t="s">
        <v>184</v>
      </c>
      <c r="D399" s="13" t="s">
        <v>1232</v>
      </c>
      <c r="F399" s="21" t="s">
        <v>977</v>
      </c>
      <c r="G399" t="s">
        <v>23</v>
      </c>
      <c r="H399" s="14">
        <v>46023</v>
      </c>
      <c r="I399" s="14">
        <v>46053</v>
      </c>
      <c r="J399" s="13" t="s">
        <v>24</v>
      </c>
      <c r="L399" s="2">
        <v>4467.74</v>
      </c>
      <c r="M399" s="2">
        <v>10414.290000000001</v>
      </c>
      <c r="N399" s="2">
        <v>3124.29</v>
      </c>
      <c r="O399" s="2">
        <v>13538.58</v>
      </c>
      <c r="P399" s="3">
        <v>0.3</v>
      </c>
      <c r="Q399" s="3"/>
      <c r="R399" s="2">
        <v>0</v>
      </c>
      <c r="S399" s="3">
        <v>0</v>
      </c>
      <c r="T399" s="2">
        <v>0</v>
      </c>
      <c r="U399" s="13" t="s">
        <v>25</v>
      </c>
      <c r="V399" s="13" t="str">
        <f t="shared" si="39"/>
        <v>No</v>
      </c>
      <c r="W399" s="13" t="str">
        <f t="shared" si="39"/>
        <v>Yes</v>
      </c>
      <c r="X399" s="13" t="str">
        <f t="shared" si="39"/>
        <v>No</v>
      </c>
      <c r="Y399" s="13" t="str">
        <f t="shared" si="39"/>
        <v>No</v>
      </c>
      <c r="Z399" s="13" t="str">
        <f t="shared" si="39"/>
        <v>No</v>
      </c>
      <c r="AA399" s="71" t="e">
        <f>+(Table1[[#This Row],[Everyday price]]-Table1[[#This Row],[Promo Price]])/Table1[[#This Row],[Everyday price]]</f>
        <v>#DIV/0!</v>
      </c>
      <c r="AC399" s="69"/>
      <c r="AH399" s="6"/>
      <c r="AJ399" s="116" t="str">
        <f>IF(AND(ISNUMBER(Table1[[#This Row],[Lift  ]]),ISNUMBER(Table1[[#This Row],[Plan lift, %]]),Table1[[#This Row],[Plan lift, %]]&lt;&gt;0),Table1[[#This Row],[Lift  ]]-Table1[[#This Row],[Plan lift, %]],"")</f>
        <v/>
      </c>
      <c r="AK399" s="116"/>
    </row>
    <row r="400" spans="1:39" x14ac:dyDescent="0.35">
      <c r="A400" t="s">
        <v>183</v>
      </c>
      <c r="B400" s="12">
        <v>1301</v>
      </c>
      <c r="C400" s="21" t="s">
        <v>184</v>
      </c>
      <c r="D400" s="13" t="s">
        <v>1232</v>
      </c>
      <c r="F400" s="21" t="s">
        <v>185</v>
      </c>
      <c r="G400" t="s">
        <v>23</v>
      </c>
      <c r="H400" s="14">
        <v>46204</v>
      </c>
      <c r="I400" s="14">
        <v>46234</v>
      </c>
      <c r="J400" s="13" t="s">
        <v>24</v>
      </c>
      <c r="L400" s="2">
        <v>5129.6099999999997</v>
      </c>
      <c r="M400" s="2">
        <v>11957.15</v>
      </c>
      <c r="N400" s="2">
        <v>3587.15</v>
      </c>
      <c r="O400" s="2">
        <v>15544.3</v>
      </c>
      <c r="P400" s="3">
        <v>0.3</v>
      </c>
      <c r="Q400" s="3"/>
      <c r="R400" s="2">
        <v>0</v>
      </c>
      <c r="S400" s="3">
        <v>0</v>
      </c>
      <c r="T400" s="2">
        <v>0</v>
      </c>
      <c r="U400" s="13" t="s">
        <v>25</v>
      </c>
      <c r="V400" s="13" t="str">
        <f t="shared" si="39"/>
        <v>No</v>
      </c>
      <c r="W400" s="13" t="str">
        <f t="shared" si="39"/>
        <v>Yes</v>
      </c>
      <c r="X400" s="13" t="str">
        <f t="shared" si="39"/>
        <v>No</v>
      </c>
      <c r="Y400" s="13" t="str">
        <f t="shared" si="39"/>
        <v>No</v>
      </c>
      <c r="Z400" s="13" t="str">
        <f t="shared" si="39"/>
        <v>No</v>
      </c>
      <c r="AA400" s="71" t="e">
        <f>+(Table1[[#This Row],[Everyday price]]-Table1[[#This Row],[Promo Price]])/Table1[[#This Row],[Everyday price]]</f>
        <v>#DIV/0!</v>
      </c>
      <c r="AC400" s="69"/>
      <c r="AH400" s="6"/>
      <c r="AJ400" s="116" t="str">
        <f>IF(AND(ISNUMBER(Table1[[#This Row],[Lift  ]]),ISNUMBER(Table1[[#This Row],[Plan lift, %]]),Table1[[#This Row],[Plan lift, %]]&lt;&gt;0),Table1[[#This Row],[Lift  ]]-Table1[[#This Row],[Plan lift, %]],"")</f>
        <v/>
      </c>
      <c r="AK400" s="116"/>
    </row>
    <row r="401" spans="1:39" x14ac:dyDescent="0.35">
      <c r="A401" t="s">
        <v>643</v>
      </c>
      <c r="B401" s="82">
        <v>1302</v>
      </c>
      <c r="C401" s="21" t="s">
        <v>644</v>
      </c>
      <c r="D401" s="13" t="s">
        <v>1230</v>
      </c>
      <c r="F401" t="s">
        <v>645</v>
      </c>
      <c r="G401" t="s">
        <v>23</v>
      </c>
      <c r="H401" s="1">
        <v>46023</v>
      </c>
      <c r="I401" s="1">
        <v>46053</v>
      </c>
      <c r="J401" s="13" t="s">
        <v>24</v>
      </c>
      <c r="L401" s="2">
        <v>1039.1300000000001</v>
      </c>
      <c r="M401" s="2">
        <v>2886.45</v>
      </c>
      <c r="N401" s="2">
        <v>577.29999999999995</v>
      </c>
      <c r="O401" s="2">
        <v>3463.75</v>
      </c>
      <c r="P401" s="3">
        <v>0.2</v>
      </c>
      <c r="Q401" s="3"/>
      <c r="R401" s="2">
        <v>670.38</v>
      </c>
      <c r="S401" s="3">
        <v>0.36</v>
      </c>
      <c r="T401" s="2">
        <v>2538.1</v>
      </c>
      <c r="U401" t="s">
        <v>25</v>
      </c>
      <c r="V401" s="13" t="str">
        <f t="shared" si="39"/>
        <v>No</v>
      </c>
      <c r="W401" s="13" t="str">
        <f t="shared" si="39"/>
        <v>Yes</v>
      </c>
      <c r="X401" s="13" t="str">
        <f t="shared" si="39"/>
        <v>No</v>
      </c>
      <c r="Y401" s="13" t="str">
        <f t="shared" si="39"/>
        <v>No</v>
      </c>
      <c r="Z401" s="13" t="str">
        <f t="shared" si="39"/>
        <v>No</v>
      </c>
      <c r="AA401" s="71">
        <f>+(Table1[[#This Row],[Everyday price]]-Table1[[#This Row],[Promo Price]])/Table1[[#This Row],[Everyday price]]</f>
        <v>0.13712374581939804</v>
      </c>
      <c r="AB401" s="69">
        <v>2.58</v>
      </c>
      <c r="AC401" s="69">
        <v>2.99</v>
      </c>
      <c r="AD401" s="15" t="s">
        <v>1256</v>
      </c>
      <c r="AE401" s="5">
        <v>46027</v>
      </c>
      <c r="AF401" s="5">
        <v>46054</v>
      </c>
      <c r="AG401" s="20">
        <v>1739</v>
      </c>
      <c r="AH401" s="6">
        <v>699</v>
      </c>
      <c r="AI401" s="11">
        <f>Table1[[#This Row],[Incremental Units]]/Table1[[#This Row],[Base Units]]</f>
        <v>0.40195514663599768</v>
      </c>
      <c r="AJ401" s="11">
        <f>IF(AND(ISNUMBER(Table1[[#This Row],[Lift  ]]),ISNUMBER(Table1[[#This Row],[Plan lift, %]]),Table1[[#This Row],[Plan lift, %]]&lt;&gt;0),Table1[[#This Row],[Lift  ]]-Table1[[#This Row],[Plan lift, %]],"")</f>
        <v>0.20195514663599767</v>
      </c>
      <c r="AK401" s="11"/>
      <c r="AL401" s="71" t="s">
        <v>1400</v>
      </c>
    </row>
    <row r="402" spans="1:39" x14ac:dyDescent="0.35">
      <c r="A402" t="s">
        <v>1219</v>
      </c>
      <c r="B402" s="82">
        <v>1303</v>
      </c>
      <c r="C402" s="21" t="s">
        <v>644</v>
      </c>
      <c r="D402" s="13" t="s">
        <v>1230</v>
      </c>
      <c r="F402" t="s">
        <v>1220</v>
      </c>
      <c r="G402" t="s">
        <v>23</v>
      </c>
      <c r="H402" s="1">
        <v>46113</v>
      </c>
      <c r="I402" s="1">
        <v>46142</v>
      </c>
      <c r="J402" s="13" t="s">
        <v>24</v>
      </c>
      <c r="L402" s="2">
        <v>1494.21</v>
      </c>
      <c r="M402" s="2">
        <v>2490.35</v>
      </c>
      <c r="N402" s="2">
        <v>498.07</v>
      </c>
      <c r="O402" s="2">
        <v>2988.42</v>
      </c>
      <c r="P402" s="3">
        <v>0.2</v>
      </c>
      <c r="Q402" s="3"/>
      <c r="R402" s="2">
        <v>780.2</v>
      </c>
      <c r="S402" s="3">
        <v>0.36</v>
      </c>
      <c r="T402" s="2">
        <v>2956.0899999999997</v>
      </c>
      <c r="U402" t="s">
        <v>25</v>
      </c>
      <c r="V402" s="13" t="str">
        <f t="shared" ref="V402:Z411" si="40">IF(ISNUMBER(SEARCH(V$1,$U402)),"Yes","No")</f>
        <v>No</v>
      </c>
      <c r="W402" s="13" t="str">
        <f t="shared" si="40"/>
        <v>Yes</v>
      </c>
      <c r="X402" s="13" t="str">
        <f t="shared" si="40"/>
        <v>No</v>
      </c>
      <c r="Y402" s="13" t="str">
        <f t="shared" si="40"/>
        <v>No</v>
      </c>
      <c r="Z402" s="13" t="str">
        <f t="shared" si="40"/>
        <v>No</v>
      </c>
      <c r="AA402" s="71">
        <f>+(Table1[[#This Row],[Everyday price]]-Table1[[#This Row],[Promo Price]])/Table1[[#This Row],[Everyday price]]</f>
        <v>0.13043478260869568</v>
      </c>
      <c r="AB402" s="69">
        <v>2.6</v>
      </c>
      <c r="AC402" s="69">
        <v>2.99</v>
      </c>
      <c r="AD402" s="15" t="s">
        <v>1257</v>
      </c>
      <c r="AE402" s="5">
        <v>46118</v>
      </c>
      <c r="AF402" s="5">
        <v>46145</v>
      </c>
      <c r="AG402" s="20">
        <v>2037</v>
      </c>
      <c r="AH402" s="6">
        <v>834</v>
      </c>
      <c r="AI402" s="11">
        <f>Table1[[#This Row],[Incremental Units]]/Table1[[#This Row],[Base Units]]</f>
        <v>0.40942562592047127</v>
      </c>
      <c r="AJ402" s="11">
        <f>IF(AND(ISNUMBER(Table1[[#This Row],[Lift  ]]),ISNUMBER(Table1[[#This Row],[Plan lift, %]]),Table1[[#This Row],[Plan lift, %]]&lt;&gt;0),Table1[[#This Row],[Lift  ]]-Table1[[#This Row],[Plan lift, %]],"")</f>
        <v>0.20942562592047126</v>
      </c>
      <c r="AK402" s="11"/>
      <c r="AL402" s="71" t="s">
        <v>1400</v>
      </c>
      <c r="AM402" s="4" t="s">
        <v>1359</v>
      </c>
    </row>
    <row r="403" spans="1:39" x14ac:dyDescent="0.35">
      <c r="A403" t="s">
        <v>815</v>
      </c>
      <c r="B403" s="12">
        <v>1304</v>
      </c>
      <c r="C403" s="21" t="s">
        <v>644</v>
      </c>
      <c r="D403" s="13" t="s">
        <v>1230</v>
      </c>
      <c r="F403" t="s">
        <v>816</v>
      </c>
      <c r="G403" t="s">
        <v>23</v>
      </c>
      <c r="H403" s="1">
        <v>46204</v>
      </c>
      <c r="I403" s="1">
        <v>46217</v>
      </c>
      <c r="J403" s="13" t="s">
        <v>24</v>
      </c>
      <c r="L403" s="2">
        <v>4182.37</v>
      </c>
      <c r="M403" s="2">
        <v>1136.8900000000001</v>
      </c>
      <c r="N403" s="2">
        <v>341.06</v>
      </c>
      <c r="O403" s="2">
        <v>1477.95</v>
      </c>
      <c r="P403" s="3">
        <v>0.3</v>
      </c>
      <c r="Q403" s="3"/>
      <c r="R403" s="2">
        <v>244.06</v>
      </c>
      <c r="S403" s="3">
        <v>0.36</v>
      </c>
      <c r="T403" s="2">
        <v>920.61</v>
      </c>
      <c r="U403" t="s">
        <v>267</v>
      </c>
      <c r="V403" s="13" t="str">
        <f t="shared" si="40"/>
        <v>No</v>
      </c>
      <c r="W403" s="13" t="str">
        <f t="shared" si="40"/>
        <v>Yes</v>
      </c>
      <c r="X403" s="13" t="str">
        <f t="shared" si="40"/>
        <v>No</v>
      </c>
      <c r="Y403" s="13" t="str">
        <f t="shared" si="40"/>
        <v>No</v>
      </c>
      <c r="Z403" s="13" t="str">
        <f t="shared" si="40"/>
        <v>No</v>
      </c>
      <c r="AA403" s="71" t="e">
        <f>+(Table1[[#This Row],[Everyday price]]-Table1[[#This Row],[Promo Price]])/Table1[[#This Row],[Everyday price]]</f>
        <v>#DIV/0!</v>
      </c>
      <c r="AC403" s="69"/>
      <c r="AD403" s="13"/>
      <c r="AH403" s="6"/>
      <c r="AJ403" s="116" t="str">
        <f>IF(AND(ISNUMBER(Table1[[#This Row],[Lift  ]]),ISNUMBER(Table1[[#This Row],[Plan lift, %]]),Table1[[#This Row],[Plan lift, %]]&lt;&gt;0),Table1[[#This Row],[Lift  ]]-Table1[[#This Row],[Plan lift, %]],"")</f>
        <v/>
      </c>
      <c r="AK403" s="116"/>
    </row>
    <row r="404" spans="1:39" x14ac:dyDescent="0.35">
      <c r="A404" t="s">
        <v>1052</v>
      </c>
      <c r="B404" s="12">
        <v>1305</v>
      </c>
      <c r="C404" s="21" t="s">
        <v>644</v>
      </c>
      <c r="D404" s="13" t="s">
        <v>1230</v>
      </c>
      <c r="F404" t="s">
        <v>1053</v>
      </c>
      <c r="G404" t="s">
        <v>44</v>
      </c>
      <c r="H404" s="1">
        <v>46296</v>
      </c>
      <c r="I404" s="1">
        <v>46326</v>
      </c>
      <c r="J404" s="13" t="s">
        <v>24</v>
      </c>
      <c r="L404" s="2">
        <v>957.03</v>
      </c>
      <c r="M404" s="2">
        <v>2658.45</v>
      </c>
      <c r="N404" s="2">
        <v>531.67999999999995</v>
      </c>
      <c r="O404" s="2">
        <v>3190.13</v>
      </c>
      <c r="P404" s="3">
        <v>0.2</v>
      </c>
      <c r="Q404" s="3"/>
      <c r="R404" s="2">
        <v>0</v>
      </c>
      <c r="S404" s="3">
        <v>0</v>
      </c>
      <c r="T404" s="2">
        <v>0</v>
      </c>
      <c r="U404" t="s">
        <v>25</v>
      </c>
      <c r="V404" s="13" t="str">
        <f t="shared" si="40"/>
        <v>No</v>
      </c>
      <c r="W404" s="13" t="str">
        <f t="shared" si="40"/>
        <v>Yes</v>
      </c>
      <c r="X404" s="13" t="str">
        <f t="shared" si="40"/>
        <v>No</v>
      </c>
      <c r="Y404" s="13" t="str">
        <f t="shared" si="40"/>
        <v>No</v>
      </c>
      <c r="Z404" s="13" t="str">
        <f t="shared" si="40"/>
        <v>No</v>
      </c>
      <c r="AA404" s="71" t="e">
        <f>+(Table1[[#This Row],[Everyday price]]-Table1[[#This Row],[Promo Price]])/Table1[[#This Row],[Everyday price]]</f>
        <v>#DIV/0!</v>
      </c>
      <c r="AC404" s="71"/>
      <c r="AD404" s="13"/>
      <c r="AH404" s="6"/>
      <c r="AJ404" s="116" t="str">
        <f>IF(AND(ISNUMBER(Table1[[#This Row],[Lift  ]]),ISNUMBER(Table1[[#This Row],[Plan lift, %]]),Table1[[#This Row],[Plan lift, %]]&lt;&gt;0),Table1[[#This Row],[Lift  ]]-Table1[[#This Row],[Plan lift, %]],"")</f>
        <v/>
      </c>
      <c r="AK404" s="116"/>
    </row>
    <row r="405" spans="1:39" x14ac:dyDescent="0.35">
      <c r="A405" t="s">
        <v>928</v>
      </c>
      <c r="B405" s="12">
        <v>1415</v>
      </c>
      <c r="C405" s="21" t="s">
        <v>66</v>
      </c>
      <c r="D405" s="13" t="s">
        <v>1232</v>
      </c>
      <c r="E405" t="s">
        <v>67</v>
      </c>
      <c r="F405" s="21" t="s">
        <v>929</v>
      </c>
      <c r="G405" t="s">
        <v>128</v>
      </c>
      <c r="H405" s="14">
        <v>46023</v>
      </c>
      <c r="I405" s="14">
        <v>46112</v>
      </c>
      <c r="J405" s="13" t="s">
        <v>24</v>
      </c>
      <c r="L405" s="2">
        <v>5869.71</v>
      </c>
      <c r="M405" s="2">
        <v>181438.23</v>
      </c>
      <c r="N405" s="2">
        <v>90719.1</v>
      </c>
      <c r="O405" s="2">
        <v>272157.33</v>
      </c>
      <c r="P405" s="3">
        <v>0.5</v>
      </c>
      <c r="Q405" s="3"/>
      <c r="R405" s="2">
        <v>188532.68</v>
      </c>
      <c r="S405" s="3">
        <v>0.97</v>
      </c>
      <c r="T405" s="2">
        <v>381930.03</v>
      </c>
      <c r="U405" s="13" t="s">
        <v>329</v>
      </c>
      <c r="V405" s="13" t="str">
        <f t="shared" si="40"/>
        <v>No</v>
      </c>
      <c r="W405" s="13" t="str">
        <f t="shared" si="40"/>
        <v>No</v>
      </c>
      <c r="X405" s="13" t="str">
        <f t="shared" si="40"/>
        <v>No</v>
      </c>
      <c r="Y405" s="13" t="str">
        <f t="shared" si="40"/>
        <v>No</v>
      </c>
      <c r="Z405" s="13" t="str">
        <f t="shared" si="40"/>
        <v>Yes</v>
      </c>
      <c r="AA405" s="71" t="e">
        <f>+(Table1[[#This Row],[Everyday price]]-Table1[[#This Row],[Promo Price]])/Table1[[#This Row],[Everyday price]]</f>
        <v>#DIV/0!</v>
      </c>
      <c r="AC405" s="69"/>
      <c r="AH405" s="6"/>
      <c r="AJ405" s="116" t="str">
        <f>IF(AND(ISNUMBER(Table1[[#This Row],[Lift  ]]),ISNUMBER(Table1[[#This Row],[Plan lift, %]]),Table1[[#This Row],[Plan lift, %]]&lt;&gt;0),Table1[[#This Row],[Lift  ]]-Table1[[#This Row],[Plan lift, %]],"")</f>
        <v/>
      </c>
      <c r="AK405" s="116"/>
    </row>
    <row r="406" spans="1:39" x14ac:dyDescent="0.35">
      <c r="A406" t="s">
        <v>774</v>
      </c>
      <c r="B406" s="82">
        <v>914</v>
      </c>
      <c r="C406" s="21" t="s">
        <v>66</v>
      </c>
      <c r="D406" s="13" t="s">
        <v>1232</v>
      </c>
      <c r="E406" t="s">
        <v>67</v>
      </c>
      <c r="F406" s="21" t="s">
        <v>775</v>
      </c>
      <c r="G406" t="s">
        <v>23</v>
      </c>
      <c r="H406" s="14">
        <v>46030</v>
      </c>
      <c r="I406" s="14">
        <v>46036</v>
      </c>
      <c r="J406" s="13" t="s">
        <v>29</v>
      </c>
      <c r="L406" s="2">
        <v>83397.94</v>
      </c>
      <c r="M406" s="2">
        <v>16679.580000000002</v>
      </c>
      <c r="N406" s="2">
        <v>25019.39</v>
      </c>
      <c r="O406" s="2">
        <v>41698.97</v>
      </c>
      <c r="P406" s="3">
        <v>1.5</v>
      </c>
      <c r="Q406" s="3"/>
      <c r="R406" s="2">
        <v>10827.67</v>
      </c>
      <c r="S406" s="3">
        <v>0.78</v>
      </c>
      <c r="T406" s="2">
        <v>24782.85</v>
      </c>
      <c r="U406" s="13" t="s">
        <v>25</v>
      </c>
      <c r="V406" s="13" t="str">
        <f t="shared" si="40"/>
        <v>No</v>
      </c>
      <c r="W406" s="13" t="str">
        <f t="shared" si="40"/>
        <v>Yes</v>
      </c>
      <c r="X406" s="13" t="str">
        <f t="shared" si="40"/>
        <v>No</v>
      </c>
      <c r="Y406" s="13" t="str">
        <f t="shared" si="40"/>
        <v>No</v>
      </c>
      <c r="Z406" s="13" t="str">
        <f t="shared" si="40"/>
        <v>No</v>
      </c>
      <c r="AA406" s="71">
        <f>+(Table1[[#This Row],[Everyday price]]-Table1[[#This Row],[Promo Price]])/Table1[[#This Row],[Everyday price]]</f>
        <v>0.18289353958143764</v>
      </c>
      <c r="AB406" s="69">
        <v>8.98</v>
      </c>
      <c r="AC406" s="69">
        <v>10.99</v>
      </c>
      <c r="AD406" s="40" t="s">
        <v>1257</v>
      </c>
      <c r="AE406" s="5">
        <v>46026</v>
      </c>
      <c r="AF406" s="5">
        <v>46032</v>
      </c>
      <c r="AG406" s="20">
        <v>12897</v>
      </c>
      <c r="AH406" s="6">
        <v>18473</v>
      </c>
      <c r="AI406" s="134">
        <f>Table1[[#This Row],[Incremental Units]]/Table1[[#This Row],[Base Units]]</f>
        <v>1.4323486082034582</v>
      </c>
      <c r="AJ406" s="134">
        <f>IF(AND(ISNUMBER(Table1[[#This Row],[Lift  ]]),ISNUMBER(Table1[[#This Row],[Plan lift, %]]),Table1[[#This Row],[Plan lift, %]]&lt;&gt;0),Table1[[#This Row],[Lift  ]]-Table1[[#This Row],[Plan lift, %]],"")</f>
        <v>-6.7651391796541782E-2</v>
      </c>
      <c r="AK406" s="11"/>
      <c r="AL406" s="15" t="s">
        <v>1400</v>
      </c>
      <c r="AM406" s="4" t="s">
        <v>1443</v>
      </c>
    </row>
    <row r="407" spans="1:39" x14ac:dyDescent="0.35">
      <c r="A407" t="s">
        <v>400</v>
      </c>
      <c r="B407" s="82">
        <v>908</v>
      </c>
      <c r="C407" s="21" t="s">
        <v>66</v>
      </c>
      <c r="D407" s="13" t="s">
        <v>1232</v>
      </c>
      <c r="E407" t="s">
        <v>67</v>
      </c>
      <c r="F407" s="21" t="s">
        <v>401</v>
      </c>
      <c r="G407" t="s">
        <v>23</v>
      </c>
      <c r="H407" s="14">
        <v>46044</v>
      </c>
      <c r="I407" s="14">
        <v>46050</v>
      </c>
      <c r="J407" s="13" t="s">
        <v>24</v>
      </c>
      <c r="L407" s="2">
        <v>214523.68</v>
      </c>
      <c r="M407" s="2">
        <v>22700.92</v>
      </c>
      <c r="N407" s="2">
        <v>136205.51999999999</v>
      </c>
      <c r="O407" s="2">
        <v>158906.44</v>
      </c>
      <c r="P407" s="3">
        <v>6</v>
      </c>
      <c r="Q407" s="3"/>
      <c r="R407" s="2">
        <v>158309.22</v>
      </c>
      <c r="S407" s="3">
        <v>5.58</v>
      </c>
      <c r="T407" s="2">
        <v>186686.41</v>
      </c>
      <c r="U407" s="13" t="s">
        <v>199</v>
      </c>
      <c r="V407" s="13" t="str">
        <f t="shared" si="40"/>
        <v>No</v>
      </c>
      <c r="W407" s="13" t="str">
        <f t="shared" si="40"/>
        <v>No</v>
      </c>
      <c r="X407" s="13" t="str">
        <f t="shared" si="40"/>
        <v>No</v>
      </c>
      <c r="Y407" s="13" t="str">
        <f t="shared" si="40"/>
        <v>No</v>
      </c>
      <c r="Z407" s="13" t="str">
        <f t="shared" si="40"/>
        <v>No</v>
      </c>
      <c r="AA407" s="71">
        <f>+(Table1[[#This Row],[Everyday price]]-Table1[[#This Row],[Promo Price]])/Table1[[#This Row],[Everyday price]]</f>
        <v>0.4962686567164179</v>
      </c>
      <c r="AB407" s="69">
        <v>1.35</v>
      </c>
      <c r="AC407" s="69">
        <v>2.68</v>
      </c>
      <c r="AD407" s="40" t="s">
        <v>1257</v>
      </c>
      <c r="AE407" s="5">
        <v>45309</v>
      </c>
      <c r="AF407" s="5">
        <v>46046</v>
      </c>
      <c r="AG407" s="20">
        <v>40143</v>
      </c>
      <c r="AH407" s="6">
        <v>327451</v>
      </c>
      <c r="AI407" s="134">
        <f>Table1[[#This Row],[Incremental Units]]/Table1[[#This Row],[Base Units]]</f>
        <v>8.1571133198814234</v>
      </c>
      <c r="AJ407" s="134">
        <f>IF(AND(ISNUMBER(Table1[[#This Row],[Lift  ]]),ISNUMBER(Table1[[#This Row],[Plan lift, %]]),Table1[[#This Row],[Plan lift, %]]&lt;&gt;0),Table1[[#This Row],[Lift  ]]-Table1[[#This Row],[Plan lift, %]],"")</f>
        <v>2.1571133198814234</v>
      </c>
      <c r="AK407" s="116"/>
      <c r="AL407" s="15" t="s">
        <v>1400</v>
      </c>
      <c r="AM407" s="4" t="s">
        <v>1443</v>
      </c>
    </row>
    <row r="408" spans="1:39" x14ac:dyDescent="0.35">
      <c r="A408" t="s">
        <v>463</v>
      </c>
      <c r="B408" s="82">
        <v>1414</v>
      </c>
      <c r="C408" s="21" t="s">
        <v>66</v>
      </c>
      <c r="D408" s="13" t="s">
        <v>1232</v>
      </c>
      <c r="E408" t="s">
        <v>67</v>
      </c>
      <c r="F408" s="21" t="s">
        <v>464</v>
      </c>
      <c r="G408" t="s">
        <v>23</v>
      </c>
      <c r="H408" s="14">
        <v>46054</v>
      </c>
      <c r="I408" s="14">
        <v>46081</v>
      </c>
      <c r="J408" s="13" t="s">
        <v>24</v>
      </c>
      <c r="L408" s="2">
        <v>0</v>
      </c>
      <c r="M408" s="2">
        <v>0</v>
      </c>
      <c r="N408" s="2">
        <v>0</v>
      </c>
      <c r="O408" s="2">
        <v>0</v>
      </c>
      <c r="P408" s="3">
        <v>0</v>
      </c>
      <c r="Q408" s="3"/>
      <c r="R408" s="2">
        <v>8295.82</v>
      </c>
      <c r="S408" s="3">
        <v>0.26</v>
      </c>
      <c r="T408" s="2">
        <v>40406.609999999993</v>
      </c>
      <c r="U408" s="13" t="s">
        <v>465</v>
      </c>
      <c r="V408" s="13" t="str">
        <f t="shared" si="40"/>
        <v>No</v>
      </c>
      <c r="W408" s="13" t="str">
        <f t="shared" si="40"/>
        <v>No</v>
      </c>
      <c r="X408" s="13" t="str">
        <f t="shared" si="40"/>
        <v>No</v>
      </c>
      <c r="Y408" s="13" t="str">
        <f t="shared" si="40"/>
        <v>No</v>
      </c>
      <c r="Z408" s="13" t="str">
        <f t="shared" si="40"/>
        <v>No</v>
      </c>
      <c r="AA408" s="71">
        <f>+(Table1[[#This Row],[Everyday price]]-Table1[[#This Row],[Promo Price]])/Table1[[#This Row],[Everyday price]]</f>
        <v>1.492537313432837E-2</v>
      </c>
      <c r="AB408" s="69">
        <v>2.64</v>
      </c>
      <c r="AC408" s="69">
        <v>2.68</v>
      </c>
      <c r="AD408" s="40" t="s">
        <v>1256</v>
      </c>
      <c r="AE408" s="5">
        <v>46054</v>
      </c>
      <c r="AF408" s="5">
        <v>46081</v>
      </c>
      <c r="AG408" s="135">
        <v>12198</v>
      </c>
      <c r="AH408" s="135">
        <v>17960</v>
      </c>
      <c r="AI408" s="134">
        <f>Table1[[#This Row],[Incremental Units]]/Table1[[#This Row],[Base Units]]</f>
        <v>1.47237252008526</v>
      </c>
      <c r="AJ408" s="134" t="str">
        <f>IF(AND(ISNUMBER(Table1[[#This Row],[Lift  ]]),ISNUMBER(Table1[[#This Row],[Plan lift, %]]),Table1[[#This Row],[Plan lift, %]]&lt;&gt;0),Table1[[#This Row],[Lift  ]]-Table1[[#This Row],[Plan lift, %]],"")</f>
        <v/>
      </c>
      <c r="AK408" s="116"/>
      <c r="AL408" s="15" t="s">
        <v>1400</v>
      </c>
      <c r="AM408" s="4" t="s">
        <v>1444</v>
      </c>
    </row>
    <row r="409" spans="1:39" x14ac:dyDescent="0.35">
      <c r="A409" t="s">
        <v>249</v>
      </c>
      <c r="B409" s="82">
        <v>915</v>
      </c>
      <c r="C409" s="21" t="s">
        <v>66</v>
      </c>
      <c r="D409" s="13" t="s">
        <v>1232</v>
      </c>
      <c r="E409" t="s">
        <v>67</v>
      </c>
      <c r="F409" s="21" t="s">
        <v>250</v>
      </c>
      <c r="G409" t="s">
        <v>23</v>
      </c>
      <c r="H409" s="14">
        <v>46086</v>
      </c>
      <c r="I409" s="14">
        <v>46092</v>
      </c>
      <c r="J409" s="13" t="s">
        <v>29</v>
      </c>
      <c r="L409" s="2">
        <v>84245.22</v>
      </c>
      <c r="M409" s="2">
        <v>14040.87</v>
      </c>
      <c r="N409" s="2">
        <v>14040.87</v>
      </c>
      <c r="O409" s="2">
        <v>28081.74</v>
      </c>
      <c r="P409" s="3">
        <v>1</v>
      </c>
      <c r="Q409" s="3"/>
      <c r="R409" s="2">
        <v>13080.05</v>
      </c>
      <c r="S409" s="3">
        <v>0.81</v>
      </c>
      <c r="T409" s="2">
        <v>29184.28</v>
      </c>
      <c r="U409" s="13" t="s">
        <v>25</v>
      </c>
      <c r="V409" s="13" t="str">
        <f t="shared" si="40"/>
        <v>No</v>
      </c>
      <c r="W409" s="13" t="str">
        <f t="shared" si="40"/>
        <v>Yes</v>
      </c>
      <c r="X409" s="13" t="str">
        <f t="shared" si="40"/>
        <v>No</v>
      </c>
      <c r="Y409" s="13" t="str">
        <f t="shared" si="40"/>
        <v>No</v>
      </c>
      <c r="Z409" s="13" t="str">
        <f t="shared" si="40"/>
        <v>No</v>
      </c>
      <c r="AA409" s="71" t="e">
        <f>+(Table1[[#This Row],[Everyday price]]-Table1[[#This Row],[Promo Price]])/Table1[[#This Row],[Everyday price]]</f>
        <v>#DIV/0!</v>
      </c>
      <c r="AC409" s="69"/>
      <c r="AH409" s="6"/>
      <c r="AJ409" s="116" t="str">
        <f>IF(AND(ISNUMBER(Table1[[#This Row],[Lift  ]]),ISNUMBER(Table1[[#This Row],[Plan lift, %]]),Table1[[#This Row],[Plan lift, %]]&lt;&gt;0),Table1[[#This Row],[Lift  ]]-Table1[[#This Row],[Plan lift, %]],"")</f>
        <v/>
      </c>
      <c r="AK409" s="116"/>
    </row>
    <row r="410" spans="1:39" x14ac:dyDescent="0.35">
      <c r="A410" t="s">
        <v>327</v>
      </c>
      <c r="B410" s="12">
        <v>1416</v>
      </c>
      <c r="C410" s="21" t="s">
        <v>66</v>
      </c>
      <c r="D410" s="13" t="s">
        <v>1232</v>
      </c>
      <c r="E410" t="s">
        <v>67</v>
      </c>
      <c r="F410" s="21" t="s">
        <v>328</v>
      </c>
      <c r="G410" t="s">
        <v>128</v>
      </c>
      <c r="H410" s="14">
        <v>46113</v>
      </c>
      <c r="I410" s="14">
        <v>46203</v>
      </c>
      <c r="J410" s="13" t="s">
        <v>24</v>
      </c>
      <c r="L410" s="2">
        <v>5869.71</v>
      </c>
      <c r="M410" s="2">
        <v>186816.03</v>
      </c>
      <c r="N410" s="2">
        <v>46704.01</v>
      </c>
      <c r="O410" s="2">
        <v>233520.04</v>
      </c>
      <c r="P410" s="3">
        <v>0.25</v>
      </c>
      <c r="Q410" s="3"/>
      <c r="R410" s="2">
        <v>102311.29</v>
      </c>
      <c r="S410" s="3">
        <v>0.66</v>
      </c>
      <c r="T410" s="2">
        <v>257532.37</v>
      </c>
      <c r="U410" s="13" t="s">
        <v>329</v>
      </c>
      <c r="V410" s="13" t="str">
        <f t="shared" si="40"/>
        <v>No</v>
      </c>
      <c r="W410" s="13" t="str">
        <f t="shared" si="40"/>
        <v>No</v>
      </c>
      <c r="X410" s="13" t="str">
        <f t="shared" si="40"/>
        <v>No</v>
      </c>
      <c r="Y410" s="13" t="str">
        <f t="shared" si="40"/>
        <v>No</v>
      </c>
      <c r="Z410" s="13" t="str">
        <f t="shared" si="40"/>
        <v>Yes</v>
      </c>
      <c r="AA410" s="71" t="e">
        <f>+(Table1[[#This Row],[Everyday price]]-Table1[[#This Row],[Promo Price]])/Table1[[#This Row],[Everyday price]]</f>
        <v>#DIV/0!</v>
      </c>
      <c r="AC410" s="69"/>
      <c r="AH410" s="6"/>
      <c r="AJ410" s="116" t="str">
        <f>IF(AND(ISNUMBER(Table1[[#This Row],[Lift  ]]),ISNUMBER(Table1[[#This Row],[Plan lift, %]]),Table1[[#This Row],[Plan lift, %]]&lt;&gt;0),Table1[[#This Row],[Lift  ]]-Table1[[#This Row],[Plan lift, %]],"")</f>
        <v/>
      </c>
      <c r="AK410" s="116"/>
    </row>
    <row r="411" spans="1:39" x14ac:dyDescent="0.35">
      <c r="A411" t="s">
        <v>376</v>
      </c>
      <c r="B411" s="12">
        <v>909</v>
      </c>
      <c r="C411" s="21" t="s">
        <v>66</v>
      </c>
      <c r="D411" s="13" t="s">
        <v>1232</v>
      </c>
      <c r="E411" t="s">
        <v>67</v>
      </c>
      <c r="F411" s="21" t="s">
        <v>377</v>
      </c>
      <c r="G411" t="s">
        <v>23</v>
      </c>
      <c r="H411" s="14">
        <v>46128</v>
      </c>
      <c r="I411" s="14">
        <v>46134</v>
      </c>
      <c r="J411" s="13" t="s">
        <v>24</v>
      </c>
      <c r="L411" s="2">
        <v>71886.03</v>
      </c>
      <c r="M411" s="2">
        <v>32056.2</v>
      </c>
      <c r="N411" s="2">
        <v>72126.460000000006</v>
      </c>
      <c r="O411" s="2">
        <v>104182.66</v>
      </c>
      <c r="P411" s="3">
        <v>2.25</v>
      </c>
      <c r="Q411" s="3"/>
      <c r="R411" s="2">
        <v>38863.410000000003</v>
      </c>
      <c r="S411" s="3">
        <v>1.03</v>
      </c>
      <c r="T411" s="2">
        <v>76681.47</v>
      </c>
      <c r="U411" s="13" t="s">
        <v>25</v>
      </c>
      <c r="V411" s="13" t="str">
        <f t="shared" si="40"/>
        <v>No</v>
      </c>
      <c r="W411" s="13" t="str">
        <f t="shared" si="40"/>
        <v>Yes</v>
      </c>
      <c r="X411" s="13" t="str">
        <f t="shared" si="40"/>
        <v>No</v>
      </c>
      <c r="Y411" s="13" t="str">
        <f t="shared" si="40"/>
        <v>No</v>
      </c>
      <c r="Z411" s="13" t="str">
        <f t="shared" si="40"/>
        <v>No</v>
      </c>
      <c r="AA411" s="71" t="e">
        <f>+(Table1[[#This Row],[Everyday price]]-Table1[[#This Row],[Promo Price]])/Table1[[#This Row],[Everyday price]]</f>
        <v>#DIV/0!</v>
      </c>
      <c r="AC411" s="69"/>
      <c r="AH411" s="6"/>
      <c r="AJ411" s="116" t="str">
        <f>IF(AND(ISNUMBER(Table1[[#This Row],[Lift  ]]),ISNUMBER(Table1[[#This Row],[Plan lift, %]]),Table1[[#This Row],[Plan lift, %]]&lt;&gt;0),Table1[[#This Row],[Lift  ]]-Table1[[#This Row],[Plan lift, %]],"")</f>
        <v/>
      </c>
      <c r="AK411" s="116"/>
    </row>
    <row r="412" spans="1:39" x14ac:dyDescent="0.35">
      <c r="A412" t="s">
        <v>431</v>
      </c>
      <c r="B412" s="12">
        <v>916</v>
      </c>
      <c r="C412" s="21" t="s">
        <v>66</v>
      </c>
      <c r="D412" s="13" t="s">
        <v>1232</v>
      </c>
      <c r="E412" t="s">
        <v>67</v>
      </c>
      <c r="F412" s="21" t="s">
        <v>432</v>
      </c>
      <c r="G412" t="s">
        <v>23</v>
      </c>
      <c r="H412" s="14">
        <v>46156</v>
      </c>
      <c r="I412" s="14">
        <v>46162</v>
      </c>
      <c r="J412" s="13" t="s">
        <v>29</v>
      </c>
      <c r="L412" s="2">
        <v>77877.5</v>
      </c>
      <c r="M412" s="2">
        <v>15575.5</v>
      </c>
      <c r="N412" s="2">
        <v>23363.25</v>
      </c>
      <c r="O412" s="2">
        <v>38938.75</v>
      </c>
      <c r="P412" s="3">
        <v>1.5</v>
      </c>
      <c r="Q412" s="3"/>
      <c r="R412" s="2">
        <v>7644.17</v>
      </c>
      <c r="S412" s="3">
        <v>0.68</v>
      </c>
      <c r="T412" s="2">
        <v>18910.59</v>
      </c>
      <c r="U412" s="13" t="s">
        <v>25</v>
      </c>
      <c r="V412" s="13" t="str">
        <f t="shared" ref="V412:Z421" si="41">IF(ISNUMBER(SEARCH(V$1,$U412)),"Yes","No")</f>
        <v>No</v>
      </c>
      <c r="W412" s="13" t="str">
        <f t="shared" si="41"/>
        <v>Yes</v>
      </c>
      <c r="X412" s="13" t="str">
        <f t="shared" si="41"/>
        <v>No</v>
      </c>
      <c r="Y412" s="13" t="str">
        <f t="shared" si="41"/>
        <v>No</v>
      </c>
      <c r="Z412" s="13" t="str">
        <f t="shared" si="41"/>
        <v>No</v>
      </c>
      <c r="AA412" s="71" t="e">
        <f>+(Table1[[#This Row],[Everyday price]]-Table1[[#This Row],[Promo Price]])/Table1[[#This Row],[Everyday price]]</f>
        <v>#DIV/0!</v>
      </c>
      <c r="AC412" s="69"/>
      <c r="AH412" s="6"/>
      <c r="AJ412" s="116" t="str">
        <f>IF(AND(ISNUMBER(Table1[[#This Row],[Lift  ]]),ISNUMBER(Table1[[#This Row],[Plan lift, %]]),Table1[[#This Row],[Plan lift, %]]&lt;&gt;0),Table1[[#This Row],[Lift  ]]-Table1[[#This Row],[Plan lift, %]],"")</f>
        <v/>
      </c>
      <c r="AK412" s="116"/>
    </row>
    <row r="413" spans="1:39" x14ac:dyDescent="0.35">
      <c r="A413" t="s">
        <v>594</v>
      </c>
      <c r="B413" s="12">
        <v>910</v>
      </c>
      <c r="C413" s="21" t="s">
        <v>66</v>
      </c>
      <c r="D413" s="13" t="s">
        <v>1232</v>
      </c>
      <c r="E413" t="s">
        <v>67</v>
      </c>
      <c r="F413" s="21" t="s">
        <v>595</v>
      </c>
      <c r="G413" t="s">
        <v>23</v>
      </c>
      <c r="H413" s="14">
        <v>46177</v>
      </c>
      <c r="I413" s="14">
        <v>46183</v>
      </c>
      <c r="J413" s="13" t="s">
        <v>24</v>
      </c>
      <c r="L413" s="2">
        <v>100079.34</v>
      </c>
      <c r="M413" s="2">
        <v>4241.2</v>
      </c>
      <c r="N413" s="2">
        <v>25447.200000000001</v>
      </c>
      <c r="O413" s="2">
        <v>29688.400000000001</v>
      </c>
      <c r="P413" s="3">
        <v>6</v>
      </c>
      <c r="Q413" s="3"/>
      <c r="R413" s="2">
        <v>51991.09</v>
      </c>
      <c r="S413" s="3">
        <v>4.5999999999999996</v>
      </c>
      <c r="T413" s="2">
        <v>63291.53</v>
      </c>
      <c r="U413" s="13" t="s">
        <v>199</v>
      </c>
      <c r="V413" s="13" t="str">
        <f t="shared" si="41"/>
        <v>No</v>
      </c>
      <c r="W413" s="13" t="str">
        <f t="shared" si="41"/>
        <v>No</v>
      </c>
      <c r="X413" s="13" t="str">
        <f t="shared" si="41"/>
        <v>No</v>
      </c>
      <c r="Y413" s="13" t="str">
        <f t="shared" si="41"/>
        <v>No</v>
      </c>
      <c r="Z413" s="13" t="str">
        <f t="shared" si="41"/>
        <v>No</v>
      </c>
      <c r="AA413" s="71" t="e">
        <f>+(Table1[[#This Row],[Everyday price]]-Table1[[#This Row],[Promo Price]])/Table1[[#This Row],[Everyday price]]</f>
        <v>#DIV/0!</v>
      </c>
      <c r="AC413" s="69"/>
      <c r="AH413" s="6"/>
      <c r="AJ413" s="116" t="str">
        <f>IF(AND(ISNUMBER(Table1[[#This Row],[Lift  ]]),ISNUMBER(Table1[[#This Row],[Plan lift, %]]),Table1[[#This Row],[Plan lift, %]]&lt;&gt;0),Table1[[#This Row],[Lift  ]]-Table1[[#This Row],[Plan lift, %]],"")</f>
        <v/>
      </c>
      <c r="AK413" s="116"/>
    </row>
    <row r="414" spans="1:39" x14ac:dyDescent="0.35">
      <c r="A414" t="s">
        <v>209</v>
      </c>
      <c r="B414" s="12" t="s">
        <v>1730</v>
      </c>
      <c r="C414" s="21" t="s">
        <v>66</v>
      </c>
      <c r="D414" s="13" t="s">
        <v>1232</v>
      </c>
      <c r="E414" t="s">
        <v>67</v>
      </c>
      <c r="F414" s="21" t="s">
        <v>210</v>
      </c>
      <c r="G414" t="s">
        <v>23</v>
      </c>
      <c r="H414" s="14">
        <v>46184</v>
      </c>
      <c r="I414" s="14">
        <v>46207</v>
      </c>
      <c r="J414" s="13" t="s">
        <v>24</v>
      </c>
      <c r="L414" s="2">
        <v>246466.37</v>
      </c>
      <c r="M414" s="2">
        <v>109906.97</v>
      </c>
      <c r="N414" s="2">
        <v>247290.67</v>
      </c>
      <c r="O414" s="2">
        <v>357197.64</v>
      </c>
      <c r="P414" s="3">
        <v>2.25</v>
      </c>
      <c r="Q414" s="3"/>
      <c r="R414" s="2">
        <v>128888.38</v>
      </c>
      <c r="S414" s="3">
        <v>1.36</v>
      </c>
      <c r="T414" s="2">
        <v>223877.52</v>
      </c>
      <c r="U414" s="13" t="s">
        <v>25</v>
      </c>
      <c r="V414" s="13" t="str">
        <f t="shared" si="41"/>
        <v>No</v>
      </c>
      <c r="W414" s="13" t="str">
        <f t="shared" si="41"/>
        <v>Yes</v>
      </c>
      <c r="X414" s="13" t="str">
        <f t="shared" si="41"/>
        <v>No</v>
      </c>
      <c r="Y414" s="13" t="str">
        <f t="shared" si="41"/>
        <v>No</v>
      </c>
      <c r="Z414" s="13" t="str">
        <f t="shared" si="41"/>
        <v>No</v>
      </c>
      <c r="AA414" s="71" t="e">
        <f>+(Table1[[#This Row],[Everyday price]]-Table1[[#This Row],[Promo Price]])/Table1[[#This Row],[Everyday price]]</f>
        <v>#DIV/0!</v>
      </c>
      <c r="AC414" s="69"/>
      <c r="AH414" s="6"/>
      <c r="AJ414" s="116" t="str">
        <f>IF(AND(ISNUMBER(Table1[[#This Row],[Lift  ]]),ISNUMBER(Table1[[#This Row],[Plan lift, %]]),Table1[[#This Row],[Plan lift, %]]&lt;&gt;0),Table1[[#This Row],[Lift  ]]-Table1[[#This Row],[Plan lift, %]],"")</f>
        <v/>
      </c>
      <c r="AK414" s="116"/>
    </row>
    <row r="415" spans="1:39" x14ac:dyDescent="0.35">
      <c r="A415" t="s">
        <v>209</v>
      </c>
      <c r="B415" s="12" t="s">
        <v>1731</v>
      </c>
      <c r="C415" s="21" t="s">
        <v>66</v>
      </c>
      <c r="D415" s="13" t="s">
        <v>1232</v>
      </c>
      <c r="E415" t="s">
        <v>67</v>
      </c>
      <c r="F415" s="21" t="s">
        <v>210</v>
      </c>
      <c r="G415" t="s">
        <v>23</v>
      </c>
      <c r="H415" s="14">
        <v>46184</v>
      </c>
      <c r="I415" s="14">
        <v>46207</v>
      </c>
      <c r="J415" s="13" t="s">
        <v>151</v>
      </c>
      <c r="L415" s="2">
        <v>0</v>
      </c>
      <c r="M415" s="2">
        <v>0</v>
      </c>
      <c r="N415" s="2">
        <v>0</v>
      </c>
      <c r="O415" s="2">
        <v>0</v>
      </c>
      <c r="P415" s="3">
        <v>0</v>
      </c>
      <c r="Q415" s="3"/>
      <c r="R415" s="2">
        <v>0</v>
      </c>
      <c r="S415" s="3">
        <v>0</v>
      </c>
      <c r="T415" s="2">
        <v>7.2</v>
      </c>
      <c r="U415" s="13" t="s">
        <v>25</v>
      </c>
      <c r="V415" s="13" t="str">
        <f t="shared" si="41"/>
        <v>No</v>
      </c>
      <c r="W415" s="13" t="str">
        <f t="shared" si="41"/>
        <v>Yes</v>
      </c>
      <c r="X415" s="13" t="str">
        <f t="shared" si="41"/>
        <v>No</v>
      </c>
      <c r="Y415" s="13" t="str">
        <f t="shared" si="41"/>
        <v>No</v>
      </c>
      <c r="Z415" s="13" t="str">
        <f t="shared" si="41"/>
        <v>No</v>
      </c>
      <c r="AA415" s="71" t="e">
        <f>+(Table1[[#This Row],[Everyday price]]-Table1[[#This Row],[Promo Price]])/Table1[[#This Row],[Everyday price]]</f>
        <v>#DIV/0!</v>
      </c>
      <c r="AC415" s="69"/>
      <c r="AH415" s="6"/>
      <c r="AJ415" s="116" t="str">
        <f>IF(AND(ISNUMBER(Table1[[#This Row],[Lift  ]]),ISNUMBER(Table1[[#This Row],[Plan lift, %]]),Table1[[#This Row],[Plan lift, %]]&lt;&gt;0),Table1[[#This Row],[Lift  ]]-Table1[[#This Row],[Plan lift, %]],"")</f>
        <v/>
      </c>
      <c r="AK415" s="116"/>
    </row>
    <row r="416" spans="1:39" x14ac:dyDescent="0.35">
      <c r="A416" t="s">
        <v>592</v>
      </c>
      <c r="B416" s="12">
        <v>1573</v>
      </c>
      <c r="C416" s="21" t="s">
        <v>66</v>
      </c>
      <c r="D416" s="13" t="s">
        <v>1232</v>
      </c>
      <c r="E416" t="s">
        <v>67</v>
      </c>
      <c r="F416" s="21" t="s">
        <v>593</v>
      </c>
      <c r="G416" t="s">
        <v>60</v>
      </c>
      <c r="H416" s="14">
        <v>46200</v>
      </c>
      <c r="I416" s="14">
        <v>46387</v>
      </c>
      <c r="J416" s="13" t="s">
        <v>29</v>
      </c>
      <c r="L416" s="2">
        <v>97930.47</v>
      </c>
      <c r="M416" s="2">
        <v>310890.42</v>
      </c>
      <c r="N416" s="2">
        <v>15544.52</v>
      </c>
      <c r="O416" s="2">
        <v>326434.94</v>
      </c>
      <c r="P416" s="3">
        <v>0.05</v>
      </c>
      <c r="Q416" s="3"/>
      <c r="R416" s="2">
        <v>144.5</v>
      </c>
      <c r="S416" s="3">
        <v>0.01</v>
      </c>
      <c r="T416" s="2">
        <v>21624.52</v>
      </c>
      <c r="U416" s="13" t="s">
        <v>61</v>
      </c>
      <c r="V416" s="13" t="str">
        <f t="shared" si="41"/>
        <v>No</v>
      </c>
      <c r="W416" s="13" t="str">
        <f t="shared" si="41"/>
        <v>No</v>
      </c>
      <c r="X416" s="13" t="str">
        <f t="shared" si="41"/>
        <v>No</v>
      </c>
      <c r="Y416" s="13" t="str">
        <f t="shared" si="41"/>
        <v>No</v>
      </c>
      <c r="Z416" s="13" t="str">
        <f t="shared" si="41"/>
        <v>No</v>
      </c>
      <c r="AA416" s="71" t="e">
        <f>+(Table1[[#This Row],[Everyday price]]-Table1[[#This Row],[Promo Price]])/Table1[[#This Row],[Everyday price]]</f>
        <v>#DIV/0!</v>
      </c>
      <c r="AC416" s="69"/>
      <c r="AH416" s="6"/>
      <c r="AJ416" s="116" t="str">
        <f>IF(AND(ISNUMBER(Table1[[#This Row],[Lift  ]]),ISNUMBER(Table1[[#This Row],[Plan lift, %]]),Table1[[#This Row],[Plan lift, %]]&lt;&gt;0),Table1[[#This Row],[Lift  ]]-Table1[[#This Row],[Plan lift, %]],"")</f>
        <v/>
      </c>
      <c r="AK416" s="116"/>
    </row>
    <row r="417" spans="1:39" x14ac:dyDescent="0.35">
      <c r="A417" t="s">
        <v>731</v>
      </c>
      <c r="B417" s="12">
        <v>1417</v>
      </c>
      <c r="C417" s="21" t="s">
        <v>66</v>
      </c>
      <c r="D417" s="13" t="s">
        <v>1232</v>
      </c>
      <c r="E417" t="s">
        <v>67</v>
      </c>
      <c r="F417" s="21" t="s">
        <v>732</v>
      </c>
      <c r="G417" t="s">
        <v>128</v>
      </c>
      <c r="H417" s="14">
        <v>46204</v>
      </c>
      <c r="I417" s="14">
        <v>46295</v>
      </c>
      <c r="J417" s="13" t="s">
        <v>24</v>
      </c>
      <c r="L417" s="2">
        <v>5869.71</v>
      </c>
      <c r="M417" s="2">
        <v>142669.73000000001</v>
      </c>
      <c r="N417" s="2">
        <v>35667.43</v>
      </c>
      <c r="O417" s="2">
        <v>178337.16</v>
      </c>
      <c r="P417" s="3">
        <v>0.25</v>
      </c>
      <c r="Q417" s="3"/>
      <c r="R417" s="2">
        <v>2404.2199999999998</v>
      </c>
      <c r="S417" s="3">
        <v>0.14000000000000001</v>
      </c>
      <c r="T417" s="2">
        <v>19606.439999999999</v>
      </c>
      <c r="U417" s="13" t="s">
        <v>329</v>
      </c>
      <c r="V417" s="13" t="str">
        <f t="shared" si="41"/>
        <v>No</v>
      </c>
      <c r="W417" s="13" t="str">
        <f t="shared" si="41"/>
        <v>No</v>
      </c>
      <c r="X417" s="13" t="str">
        <f t="shared" si="41"/>
        <v>No</v>
      </c>
      <c r="Y417" s="13" t="str">
        <f t="shared" si="41"/>
        <v>No</v>
      </c>
      <c r="Z417" s="13" t="str">
        <f t="shared" si="41"/>
        <v>Yes</v>
      </c>
      <c r="AA417" s="71" t="e">
        <f>+(Table1[[#This Row],[Everyday price]]-Table1[[#This Row],[Promo Price]])/Table1[[#This Row],[Everyday price]]</f>
        <v>#DIV/0!</v>
      </c>
      <c r="AC417" s="69"/>
      <c r="AH417" s="6"/>
      <c r="AJ417" s="116" t="str">
        <f>IF(AND(ISNUMBER(Table1[[#This Row],[Lift  ]]),ISNUMBER(Table1[[#This Row],[Plan lift, %]]),Table1[[#This Row],[Plan lift, %]]&lt;&gt;0),Table1[[#This Row],[Lift  ]]-Table1[[#This Row],[Plan lift, %]],"")</f>
        <v/>
      </c>
      <c r="AK417" s="116"/>
    </row>
    <row r="418" spans="1:39" x14ac:dyDescent="0.35">
      <c r="A418" t="s">
        <v>1182</v>
      </c>
      <c r="B418" s="12">
        <v>917</v>
      </c>
      <c r="C418" s="21" t="s">
        <v>66</v>
      </c>
      <c r="D418" s="13" t="s">
        <v>1232</v>
      </c>
      <c r="E418" t="s">
        <v>67</v>
      </c>
      <c r="F418" s="21" t="s">
        <v>1183</v>
      </c>
      <c r="G418" t="s">
        <v>23</v>
      </c>
      <c r="H418" s="14">
        <v>46226</v>
      </c>
      <c r="I418" s="14">
        <v>46232</v>
      </c>
      <c r="J418" s="13" t="s">
        <v>29</v>
      </c>
      <c r="L418" s="2">
        <v>56873</v>
      </c>
      <c r="M418" s="2">
        <v>11374.6</v>
      </c>
      <c r="N418" s="2">
        <v>17061.900000000001</v>
      </c>
      <c r="O418" s="2">
        <v>28436.5</v>
      </c>
      <c r="P418" s="3">
        <v>1.5</v>
      </c>
      <c r="Q418" s="3"/>
      <c r="R418" s="2">
        <v>0</v>
      </c>
      <c r="S418" s="3">
        <v>0</v>
      </c>
      <c r="T418" s="2">
        <v>0</v>
      </c>
      <c r="U418" s="13" t="s">
        <v>25</v>
      </c>
      <c r="V418" s="13" t="str">
        <f t="shared" si="41"/>
        <v>No</v>
      </c>
      <c r="W418" s="13" t="str">
        <f t="shared" si="41"/>
        <v>Yes</v>
      </c>
      <c r="X418" s="13" t="str">
        <f t="shared" si="41"/>
        <v>No</v>
      </c>
      <c r="Y418" s="13" t="str">
        <f t="shared" si="41"/>
        <v>No</v>
      </c>
      <c r="Z418" s="13" t="str">
        <f t="shared" si="41"/>
        <v>No</v>
      </c>
      <c r="AA418" s="71" t="e">
        <f>+(Table1[[#This Row],[Everyday price]]-Table1[[#This Row],[Promo Price]])/Table1[[#This Row],[Everyday price]]</f>
        <v>#DIV/0!</v>
      </c>
      <c r="AC418" s="69"/>
      <c r="AH418" s="6"/>
      <c r="AJ418" s="116" t="str">
        <f>IF(AND(ISNUMBER(Table1[[#This Row],[Lift  ]]),ISNUMBER(Table1[[#This Row],[Plan lift, %]]),Table1[[#This Row],[Plan lift, %]]&lt;&gt;0),Table1[[#This Row],[Lift  ]]-Table1[[#This Row],[Plan lift, %]],"")</f>
        <v/>
      </c>
      <c r="AK418" s="116"/>
    </row>
    <row r="419" spans="1:39" x14ac:dyDescent="0.35">
      <c r="A419" t="s">
        <v>676</v>
      </c>
      <c r="B419" s="12">
        <v>1572</v>
      </c>
      <c r="C419" s="21" t="s">
        <v>66</v>
      </c>
      <c r="D419" s="13" t="s">
        <v>1232</v>
      </c>
      <c r="E419" t="s">
        <v>67</v>
      </c>
      <c r="F419" s="21" t="s">
        <v>677</v>
      </c>
      <c r="G419" t="s">
        <v>23</v>
      </c>
      <c r="H419" s="14">
        <v>46226</v>
      </c>
      <c r="I419" s="14">
        <v>46232</v>
      </c>
      <c r="J419" s="13" t="s">
        <v>29</v>
      </c>
      <c r="L419" s="2">
        <v>0</v>
      </c>
      <c r="M419" s="2">
        <v>4861.8</v>
      </c>
      <c r="N419" s="2">
        <v>7292.7</v>
      </c>
      <c r="O419" s="2">
        <v>12154.5</v>
      </c>
      <c r="P419" s="3"/>
      <c r="Q419" s="3"/>
      <c r="R419" s="2">
        <v>0</v>
      </c>
      <c r="S419" s="3">
        <v>0</v>
      </c>
      <c r="T419" s="2">
        <v>0</v>
      </c>
      <c r="U419" s="13" t="s">
        <v>25</v>
      </c>
      <c r="V419" s="13" t="str">
        <f t="shared" si="41"/>
        <v>No</v>
      </c>
      <c r="W419" s="13" t="str">
        <f t="shared" si="41"/>
        <v>Yes</v>
      </c>
      <c r="X419" s="13" t="str">
        <f t="shared" si="41"/>
        <v>No</v>
      </c>
      <c r="Y419" s="13" t="str">
        <f t="shared" si="41"/>
        <v>No</v>
      </c>
      <c r="Z419" s="13" t="str">
        <f t="shared" si="41"/>
        <v>No</v>
      </c>
      <c r="AA419" s="71" t="e">
        <f>+(Table1[[#This Row],[Everyday price]]-Table1[[#This Row],[Promo Price]])/Table1[[#This Row],[Everyday price]]</f>
        <v>#DIV/0!</v>
      </c>
      <c r="AC419" s="69"/>
      <c r="AH419" s="6"/>
      <c r="AJ419" s="116" t="str">
        <f>IF(AND(ISNUMBER(Table1[[#This Row],[Lift  ]]),ISNUMBER(Table1[[#This Row],[Plan lift, %]]),Table1[[#This Row],[Plan lift, %]]&lt;&gt;0),Table1[[#This Row],[Lift  ]]-Table1[[#This Row],[Plan lift, %]],"")</f>
        <v/>
      </c>
      <c r="AK419" s="116"/>
    </row>
    <row r="420" spans="1:39" x14ac:dyDescent="0.35">
      <c r="A420" t="s">
        <v>1018</v>
      </c>
      <c r="B420" s="12" t="s">
        <v>1732</v>
      </c>
      <c r="C420" s="21" t="s">
        <v>66</v>
      </c>
      <c r="D420" s="13" t="s">
        <v>1232</v>
      </c>
      <c r="E420" t="s">
        <v>67</v>
      </c>
      <c r="F420" s="21" t="s">
        <v>1019</v>
      </c>
      <c r="G420" t="s">
        <v>44</v>
      </c>
      <c r="H420" s="14">
        <v>46247</v>
      </c>
      <c r="I420" s="14">
        <v>46260</v>
      </c>
      <c r="J420" s="13" t="s">
        <v>24</v>
      </c>
      <c r="L420" s="2">
        <v>372135.6</v>
      </c>
      <c r="M420" s="2">
        <v>55131.199999999997</v>
      </c>
      <c r="N420" s="2">
        <v>220524.79999999999</v>
      </c>
      <c r="O420" s="2">
        <v>275656</v>
      </c>
      <c r="P420" s="3">
        <v>4</v>
      </c>
      <c r="Q420" s="3"/>
      <c r="R420" s="2">
        <v>0</v>
      </c>
      <c r="S420" s="3">
        <v>0</v>
      </c>
      <c r="T420" s="2">
        <v>0</v>
      </c>
      <c r="U420" s="13" t="s">
        <v>199</v>
      </c>
      <c r="V420" s="13" t="str">
        <f t="shared" si="41"/>
        <v>No</v>
      </c>
      <c r="W420" s="13" t="str">
        <f t="shared" si="41"/>
        <v>No</v>
      </c>
      <c r="X420" s="13" t="str">
        <f t="shared" si="41"/>
        <v>No</v>
      </c>
      <c r="Y420" s="13" t="str">
        <f t="shared" si="41"/>
        <v>No</v>
      </c>
      <c r="Z420" s="13" t="str">
        <f t="shared" si="41"/>
        <v>No</v>
      </c>
      <c r="AA420" s="71" t="e">
        <f>+(Table1[[#This Row],[Everyday price]]-Table1[[#This Row],[Promo Price]])/Table1[[#This Row],[Everyday price]]</f>
        <v>#DIV/0!</v>
      </c>
      <c r="AC420" s="69"/>
      <c r="AH420" s="6"/>
      <c r="AJ420" s="116" t="str">
        <f>IF(AND(ISNUMBER(Table1[[#This Row],[Lift  ]]),ISNUMBER(Table1[[#This Row],[Plan lift, %]]),Table1[[#This Row],[Plan lift, %]]&lt;&gt;0),Table1[[#This Row],[Lift  ]]-Table1[[#This Row],[Plan lift, %]],"")</f>
        <v/>
      </c>
      <c r="AK420" s="116"/>
    </row>
    <row r="421" spans="1:39" x14ac:dyDescent="0.35">
      <c r="A421" t="s">
        <v>1018</v>
      </c>
      <c r="B421" s="12" t="s">
        <v>1733</v>
      </c>
      <c r="C421" s="21" t="s">
        <v>66</v>
      </c>
      <c r="D421" s="13" t="s">
        <v>1232</v>
      </c>
      <c r="E421" t="s">
        <v>67</v>
      </c>
      <c r="F421" s="21" t="s">
        <v>1019</v>
      </c>
      <c r="G421" t="s">
        <v>44</v>
      </c>
      <c r="H421" s="14">
        <v>46247</v>
      </c>
      <c r="I421" s="14">
        <v>46260</v>
      </c>
      <c r="J421" s="13" t="s">
        <v>151</v>
      </c>
      <c r="L421" s="2">
        <v>0</v>
      </c>
      <c r="M421" s="2">
        <v>0</v>
      </c>
      <c r="N421" s="2">
        <v>0</v>
      </c>
      <c r="O421" s="2">
        <v>0</v>
      </c>
      <c r="P421" s="3">
        <v>0</v>
      </c>
      <c r="Q421" s="3"/>
      <c r="R421" s="2">
        <v>0</v>
      </c>
      <c r="S421" s="3">
        <v>0</v>
      </c>
      <c r="T421" s="2">
        <v>0</v>
      </c>
      <c r="U421" s="13" t="s">
        <v>199</v>
      </c>
      <c r="V421" s="13" t="str">
        <f t="shared" si="41"/>
        <v>No</v>
      </c>
      <c r="W421" s="13" t="str">
        <f t="shared" si="41"/>
        <v>No</v>
      </c>
      <c r="X421" s="13" t="str">
        <f t="shared" si="41"/>
        <v>No</v>
      </c>
      <c r="Y421" s="13" t="str">
        <f t="shared" si="41"/>
        <v>No</v>
      </c>
      <c r="Z421" s="13" t="str">
        <f t="shared" si="41"/>
        <v>No</v>
      </c>
      <c r="AA421" s="71" t="e">
        <f>+(Table1[[#This Row],[Everyday price]]-Table1[[#This Row],[Promo Price]])/Table1[[#This Row],[Everyday price]]</f>
        <v>#DIV/0!</v>
      </c>
      <c r="AC421" s="69"/>
      <c r="AH421" s="6"/>
      <c r="AJ421" s="116" t="str">
        <f>IF(AND(ISNUMBER(Table1[[#This Row],[Lift  ]]),ISNUMBER(Table1[[#This Row],[Plan lift, %]]),Table1[[#This Row],[Plan lift, %]]&lt;&gt;0),Table1[[#This Row],[Lift  ]]-Table1[[#This Row],[Plan lift, %]],"")</f>
        <v/>
      </c>
      <c r="AK421" s="116"/>
    </row>
    <row r="422" spans="1:39" x14ac:dyDescent="0.35">
      <c r="A422" t="s">
        <v>1018</v>
      </c>
      <c r="B422" s="12" t="s">
        <v>1733</v>
      </c>
      <c r="C422" s="21" t="s">
        <v>66</v>
      </c>
      <c r="D422" s="13" t="s">
        <v>1232</v>
      </c>
      <c r="E422" t="s">
        <v>67</v>
      </c>
      <c r="F422" s="21" t="s">
        <v>1019</v>
      </c>
      <c r="G422" t="s">
        <v>44</v>
      </c>
      <c r="H422" s="14">
        <v>46247</v>
      </c>
      <c r="I422" s="14">
        <v>46260</v>
      </c>
      <c r="J422" s="13" t="s">
        <v>1020</v>
      </c>
      <c r="L422" s="2">
        <v>0</v>
      </c>
      <c r="M422" s="2">
        <v>0</v>
      </c>
      <c r="N422" s="2">
        <v>0</v>
      </c>
      <c r="O422" s="2">
        <v>0</v>
      </c>
      <c r="P422" s="3">
        <v>0</v>
      </c>
      <c r="Q422" s="3"/>
      <c r="R422" s="2">
        <v>0</v>
      </c>
      <c r="S422" s="3">
        <v>0</v>
      </c>
      <c r="T422" s="2">
        <v>0</v>
      </c>
      <c r="U422" s="13" t="s">
        <v>199</v>
      </c>
      <c r="V422" s="13" t="str">
        <f t="shared" ref="V422:Z431" si="42">IF(ISNUMBER(SEARCH(V$1,$U422)),"Yes","No")</f>
        <v>No</v>
      </c>
      <c r="W422" s="13" t="str">
        <f t="shared" si="42"/>
        <v>No</v>
      </c>
      <c r="X422" s="13" t="str">
        <f t="shared" si="42"/>
        <v>No</v>
      </c>
      <c r="Y422" s="13" t="str">
        <f t="shared" si="42"/>
        <v>No</v>
      </c>
      <c r="Z422" s="13" t="str">
        <f t="shared" si="42"/>
        <v>No</v>
      </c>
      <c r="AA422" s="71" t="e">
        <f>+(Table1[[#This Row],[Everyday price]]-Table1[[#This Row],[Promo Price]])/Table1[[#This Row],[Everyday price]]</f>
        <v>#DIV/0!</v>
      </c>
      <c r="AC422" s="69"/>
      <c r="AH422" s="6"/>
      <c r="AJ422" s="116" t="str">
        <f>IF(AND(ISNUMBER(Table1[[#This Row],[Lift  ]]),ISNUMBER(Table1[[#This Row],[Plan lift, %]]),Table1[[#This Row],[Plan lift, %]]&lt;&gt;0),Table1[[#This Row],[Lift  ]]-Table1[[#This Row],[Plan lift, %]],"")</f>
        <v/>
      </c>
      <c r="AK422" s="116"/>
    </row>
    <row r="423" spans="1:39" x14ac:dyDescent="0.35">
      <c r="A423" t="s">
        <v>113</v>
      </c>
      <c r="B423" s="12">
        <v>918</v>
      </c>
      <c r="C423" s="21" t="s">
        <v>66</v>
      </c>
      <c r="D423" s="13" t="s">
        <v>1232</v>
      </c>
      <c r="E423" t="s">
        <v>67</v>
      </c>
      <c r="F423" s="21" t="s">
        <v>114</v>
      </c>
      <c r="G423" t="s">
        <v>44</v>
      </c>
      <c r="H423" s="14">
        <v>46282</v>
      </c>
      <c r="I423" s="14">
        <v>46288</v>
      </c>
      <c r="J423" s="13" t="s">
        <v>29</v>
      </c>
      <c r="L423" s="2">
        <v>62560.3</v>
      </c>
      <c r="M423" s="2">
        <v>11374.6</v>
      </c>
      <c r="N423" s="2">
        <v>19905.55</v>
      </c>
      <c r="O423" s="2">
        <v>31280.15</v>
      </c>
      <c r="P423" s="3">
        <v>1.75</v>
      </c>
      <c r="Q423" s="3"/>
      <c r="R423" s="2">
        <v>0</v>
      </c>
      <c r="S423" s="3">
        <v>0</v>
      </c>
      <c r="T423" s="2">
        <v>0</v>
      </c>
      <c r="U423" s="13" t="s">
        <v>25</v>
      </c>
      <c r="V423" s="13" t="str">
        <f t="shared" si="42"/>
        <v>No</v>
      </c>
      <c r="W423" s="13" t="str">
        <f t="shared" si="42"/>
        <v>Yes</v>
      </c>
      <c r="X423" s="13" t="str">
        <f t="shared" si="42"/>
        <v>No</v>
      </c>
      <c r="Y423" s="13" t="str">
        <f t="shared" si="42"/>
        <v>No</v>
      </c>
      <c r="Z423" s="13" t="str">
        <f t="shared" si="42"/>
        <v>No</v>
      </c>
      <c r="AA423" s="71" t="e">
        <f>+(Table1[[#This Row],[Everyday price]]-Table1[[#This Row],[Promo Price]])/Table1[[#This Row],[Everyday price]]</f>
        <v>#DIV/0!</v>
      </c>
      <c r="AC423" s="69"/>
      <c r="AH423" s="6"/>
      <c r="AJ423" s="116" t="str">
        <f>IF(AND(ISNUMBER(Table1[[#This Row],[Lift  ]]),ISNUMBER(Table1[[#This Row],[Plan lift, %]]),Table1[[#This Row],[Plan lift, %]]&lt;&gt;0),Table1[[#This Row],[Lift  ]]-Table1[[#This Row],[Plan lift, %]],"")</f>
        <v/>
      </c>
      <c r="AK423" s="116"/>
    </row>
    <row r="424" spans="1:39" x14ac:dyDescent="0.35">
      <c r="A424" t="s">
        <v>438</v>
      </c>
      <c r="B424" s="12">
        <v>1418</v>
      </c>
      <c r="C424" s="21" t="s">
        <v>66</v>
      </c>
      <c r="D424" s="13" t="s">
        <v>1232</v>
      </c>
      <c r="E424" t="s">
        <v>67</v>
      </c>
      <c r="F424" s="21" t="s">
        <v>439</v>
      </c>
      <c r="G424" t="s">
        <v>128</v>
      </c>
      <c r="H424" s="14">
        <v>46296</v>
      </c>
      <c r="I424" s="14">
        <v>46387</v>
      </c>
      <c r="J424" s="13" t="s">
        <v>24</v>
      </c>
      <c r="L424" s="2">
        <v>5869.71</v>
      </c>
      <c r="M424" s="2">
        <v>140047.66</v>
      </c>
      <c r="N424" s="2">
        <v>35011.910000000003</v>
      </c>
      <c r="O424" s="2">
        <v>175059.57</v>
      </c>
      <c r="P424" s="3">
        <v>0.25</v>
      </c>
      <c r="Q424" s="3"/>
      <c r="R424" s="2">
        <v>0</v>
      </c>
      <c r="S424" s="3">
        <v>0</v>
      </c>
      <c r="T424" s="2">
        <v>0</v>
      </c>
      <c r="U424" s="13" t="s">
        <v>329</v>
      </c>
      <c r="V424" s="13" t="str">
        <f t="shared" si="42"/>
        <v>No</v>
      </c>
      <c r="W424" s="13" t="str">
        <f t="shared" si="42"/>
        <v>No</v>
      </c>
      <c r="X424" s="13" t="str">
        <f t="shared" si="42"/>
        <v>No</v>
      </c>
      <c r="Y424" s="13" t="str">
        <f t="shared" si="42"/>
        <v>No</v>
      </c>
      <c r="Z424" s="13" t="str">
        <f t="shared" si="42"/>
        <v>Yes</v>
      </c>
      <c r="AA424" s="71" t="e">
        <f>+(Table1[[#This Row],[Everyday price]]-Table1[[#This Row],[Promo Price]])/Table1[[#This Row],[Everyday price]]</f>
        <v>#DIV/0!</v>
      </c>
      <c r="AC424" s="69"/>
      <c r="AH424" s="6"/>
      <c r="AJ424" s="116" t="str">
        <f>IF(AND(ISNUMBER(Table1[[#This Row],[Lift  ]]),ISNUMBER(Table1[[#This Row],[Plan lift, %]]),Table1[[#This Row],[Plan lift, %]]&lt;&gt;0),Table1[[#This Row],[Lift  ]]-Table1[[#This Row],[Plan lift, %]],"")</f>
        <v/>
      </c>
      <c r="AK424" s="116"/>
    </row>
    <row r="425" spans="1:39" x14ac:dyDescent="0.35">
      <c r="A425" t="s">
        <v>65</v>
      </c>
      <c r="B425" s="12">
        <v>919</v>
      </c>
      <c r="C425" s="21" t="s">
        <v>66</v>
      </c>
      <c r="D425" s="13" t="s">
        <v>1232</v>
      </c>
      <c r="E425" t="s">
        <v>67</v>
      </c>
      <c r="F425" s="21" t="s">
        <v>68</v>
      </c>
      <c r="G425" t="s">
        <v>44</v>
      </c>
      <c r="H425" s="14">
        <v>46317</v>
      </c>
      <c r="I425" s="14">
        <v>46323</v>
      </c>
      <c r="J425" s="13" t="s">
        <v>29</v>
      </c>
      <c r="L425" s="2">
        <v>56873</v>
      </c>
      <c r="M425" s="2">
        <v>11374.6</v>
      </c>
      <c r="N425" s="2">
        <v>17061.900000000001</v>
      </c>
      <c r="O425" s="2">
        <v>28436.5</v>
      </c>
      <c r="P425" s="3">
        <v>1.5</v>
      </c>
      <c r="Q425" s="3"/>
      <c r="R425" s="2">
        <v>0</v>
      </c>
      <c r="S425" s="3">
        <v>0</v>
      </c>
      <c r="T425" s="2">
        <v>0</v>
      </c>
      <c r="U425" s="13" t="s">
        <v>25</v>
      </c>
      <c r="V425" s="13" t="str">
        <f t="shared" si="42"/>
        <v>No</v>
      </c>
      <c r="W425" s="13" t="str">
        <f t="shared" si="42"/>
        <v>Yes</v>
      </c>
      <c r="X425" s="13" t="str">
        <f t="shared" si="42"/>
        <v>No</v>
      </c>
      <c r="Y425" s="13" t="str">
        <f t="shared" si="42"/>
        <v>No</v>
      </c>
      <c r="Z425" s="13" t="str">
        <f t="shared" si="42"/>
        <v>No</v>
      </c>
      <c r="AA425" s="71" t="e">
        <f>+(Table1[[#This Row],[Everyday price]]-Table1[[#This Row],[Promo Price]])/Table1[[#This Row],[Everyday price]]</f>
        <v>#DIV/0!</v>
      </c>
      <c r="AC425" s="69"/>
      <c r="AH425" s="6"/>
      <c r="AJ425" s="116" t="str">
        <f>IF(AND(ISNUMBER(Table1[[#This Row],[Lift  ]]),ISNUMBER(Table1[[#This Row],[Plan lift, %]]),Table1[[#This Row],[Plan lift, %]]&lt;&gt;0),Table1[[#This Row],[Lift  ]]-Table1[[#This Row],[Plan lift, %]],"")</f>
        <v/>
      </c>
      <c r="AK425" s="116"/>
    </row>
    <row r="426" spans="1:39" x14ac:dyDescent="0.35">
      <c r="A426" t="s">
        <v>197</v>
      </c>
      <c r="B426" s="12">
        <v>913</v>
      </c>
      <c r="C426" s="21" t="s">
        <v>66</v>
      </c>
      <c r="D426" s="13" t="s">
        <v>1232</v>
      </c>
      <c r="E426" t="s">
        <v>67</v>
      </c>
      <c r="F426" s="21" t="s">
        <v>198</v>
      </c>
      <c r="G426" t="s">
        <v>44</v>
      </c>
      <c r="H426" s="14">
        <v>46331</v>
      </c>
      <c r="I426" s="14">
        <v>46337</v>
      </c>
      <c r="J426" s="13" t="s">
        <v>24</v>
      </c>
      <c r="L426" s="2">
        <v>204674.57</v>
      </c>
      <c r="M426" s="2">
        <v>27565.599999999999</v>
      </c>
      <c r="N426" s="2">
        <v>124045.2</v>
      </c>
      <c r="O426" s="2">
        <v>151610.79999999999</v>
      </c>
      <c r="P426" s="3">
        <v>4.5</v>
      </c>
      <c r="Q426" s="3"/>
      <c r="R426" s="2">
        <v>0</v>
      </c>
      <c r="S426" s="3">
        <v>0</v>
      </c>
      <c r="T426" s="2">
        <v>0</v>
      </c>
      <c r="U426" s="13" t="s">
        <v>199</v>
      </c>
      <c r="V426" s="13" t="str">
        <f t="shared" si="42"/>
        <v>No</v>
      </c>
      <c r="W426" s="13" t="str">
        <f t="shared" si="42"/>
        <v>No</v>
      </c>
      <c r="X426" s="13" t="str">
        <f t="shared" si="42"/>
        <v>No</v>
      </c>
      <c r="Y426" s="13" t="str">
        <f t="shared" si="42"/>
        <v>No</v>
      </c>
      <c r="Z426" s="13" t="str">
        <f t="shared" si="42"/>
        <v>No</v>
      </c>
      <c r="AA426" s="71" t="e">
        <f>+(Table1[[#This Row],[Everyday price]]-Table1[[#This Row],[Promo Price]])/Table1[[#This Row],[Everyday price]]</f>
        <v>#DIV/0!</v>
      </c>
      <c r="AC426" s="69"/>
      <c r="AH426" s="6"/>
      <c r="AJ426" s="116" t="str">
        <f>IF(AND(ISNUMBER(Table1[[#This Row],[Lift  ]]),ISNUMBER(Table1[[#This Row],[Plan lift, %]]),Table1[[#This Row],[Plan lift, %]]&lt;&gt;0),Table1[[#This Row],[Lift  ]]-Table1[[#This Row],[Plan lift, %]],"")</f>
        <v/>
      </c>
      <c r="AK426" s="116"/>
    </row>
    <row r="427" spans="1:39" x14ac:dyDescent="0.35">
      <c r="A427" t="s">
        <v>566</v>
      </c>
      <c r="B427" s="82">
        <v>978</v>
      </c>
      <c r="C427" s="21" t="s">
        <v>181</v>
      </c>
      <c r="D427" s="13" t="s">
        <v>1232</v>
      </c>
      <c r="F427" s="21" t="s">
        <v>567</v>
      </c>
      <c r="G427" t="s">
        <v>23</v>
      </c>
      <c r="H427" s="14">
        <v>46054</v>
      </c>
      <c r="I427" s="14">
        <v>46081</v>
      </c>
      <c r="J427" s="13" t="s">
        <v>24</v>
      </c>
      <c r="L427" s="2">
        <v>8011.28</v>
      </c>
      <c r="M427" s="2">
        <v>11132</v>
      </c>
      <c r="N427" s="2">
        <v>5566</v>
      </c>
      <c r="O427" s="2">
        <v>16698</v>
      </c>
      <c r="P427" s="3">
        <v>0.5</v>
      </c>
      <c r="Q427" s="3"/>
      <c r="R427" s="2">
        <v>3720.65</v>
      </c>
      <c r="S427" s="3">
        <v>0.44</v>
      </c>
      <c r="T427" s="2">
        <v>12222.130000000001</v>
      </c>
      <c r="U427" s="13" t="s">
        <v>33</v>
      </c>
      <c r="V427" s="13" t="str">
        <f t="shared" si="42"/>
        <v>No</v>
      </c>
      <c r="W427" s="13" t="str">
        <f t="shared" si="42"/>
        <v>Yes</v>
      </c>
      <c r="X427" s="13" t="str">
        <f t="shared" si="42"/>
        <v>Yes</v>
      </c>
      <c r="Y427" s="13" t="str">
        <f t="shared" si="42"/>
        <v>No</v>
      </c>
      <c r="Z427" s="13" t="str">
        <f t="shared" si="42"/>
        <v>No</v>
      </c>
      <c r="AA427" s="71">
        <f>+(Table1[[#This Row],[Everyday price]]-Table1[[#This Row],[Promo Price]])/Table1[[#This Row],[Everyday price]]</f>
        <v>0.18729096989966557</v>
      </c>
      <c r="AB427" s="69">
        <v>2.4300000000000002</v>
      </c>
      <c r="AC427" s="69">
        <v>2.99</v>
      </c>
      <c r="AD427" s="40" t="s">
        <v>1229</v>
      </c>
      <c r="AE427" s="5">
        <v>46048</v>
      </c>
      <c r="AF427" s="5">
        <v>46075</v>
      </c>
      <c r="AG427" s="20">
        <v>8280</v>
      </c>
      <c r="AH427" s="6">
        <v>4176</v>
      </c>
      <c r="AI427" s="134">
        <f>Table1[[#This Row],[Incremental Units]]/Table1[[#This Row],[Base Units]]</f>
        <v>0.5043478260869565</v>
      </c>
      <c r="AJ427" s="116">
        <f>IF(AND(ISNUMBER(Table1[[#This Row],[Lift  ]]),ISNUMBER(Table1[[#This Row],[Plan lift, %]]),Table1[[#This Row],[Plan lift, %]]&lt;&gt;0),Table1[[#This Row],[Lift  ]]-Table1[[#This Row],[Plan lift, %]],"")</f>
        <v>4.3478260869564966E-3</v>
      </c>
      <c r="AK427" s="116"/>
      <c r="AL427" s="15" t="s">
        <v>1400</v>
      </c>
      <c r="AM427" s="4" t="s">
        <v>1504</v>
      </c>
    </row>
    <row r="428" spans="1:39" x14ac:dyDescent="0.35">
      <c r="A428" t="s">
        <v>689</v>
      </c>
      <c r="B428" s="82">
        <v>979</v>
      </c>
      <c r="C428" s="21" t="s">
        <v>181</v>
      </c>
      <c r="D428" s="13" t="s">
        <v>1232</v>
      </c>
      <c r="F428" s="21" t="s">
        <v>690</v>
      </c>
      <c r="G428" t="s">
        <v>23</v>
      </c>
      <c r="H428" s="14">
        <v>46143</v>
      </c>
      <c r="I428" s="14">
        <v>46173</v>
      </c>
      <c r="J428" s="13" t="s">
        <v>24</v>
      </c>
      <c r="L428" s="2">
        <v>5546.13</v>
      </c>
      <c r="M428" s="2">
        <v>12324.72</v>
      </c>
      <c r="N428" s="2">
        <v>3081.17</v>
      </c>
      <c r="O428" s="2">
        <v>15405.89</v>
      </c>
      <c r="P428" s="3">
        <v>0.25</v>
      </c>
      <c r="Q428" s="3"/>
      <c r="R428" s="2">
        <v>3487.77</v>
      </c>
      <c r="S428" s="3">
        <v>0.41</v>
      </c>
      <c r="T428" s="2">
        <v>11923.39</v>
      </c>
      <c r="U428" s="13" t="s">
        <v>25</v>
      </c>
      <c r="V428" s="13" t="str">
        <f t="shared" si="42"/>
        <v>No</v>
      </c>
      <c r="W428" s="13" t="str">
        <f t="shared" si="42"/>
        <v>Yes</v>
      </c>
      <c r="X428" s="13" t="str">
        <f t="shared" si="42"/>
        <v>No</v>
      </c>
      <c r="Y428" s="13" t="str">
        <f t="shared" si="42"/>
        <v>No</v>
      </c>
      <c r="Z428" s="13" t="str">
        <f t="shared" si="42"/>
        <v>No</v>
      </c>
      <c r="AA428" s="71">
        <f>+(Table1[[#This Row],[Everyday price]]-Table1[[#This Row],[Promo Price]])/Table1[[#This Row],[Everyday price]]</f>
        <v>0.19127516778523485</v>
      </c>
      <c r="AB428" s="69">
        <v>2.41</v>
      </c>
      <c r="AC428" s="69">
        <v>2.98</v>
      </c>
      <c r="AD428" s="40" t="s">
        <v>1229</v>
      </c>
      <c r="AE428" s="5">
        <v>46132</v>
      </c>
      <c r="AF428" s="5">
        <v>46166</v>
      </c>
      <c r="AG428" s="20">
        <v>9837</v>
      </c>
      <c r="AH428" s="6">
        <v>4644</v>
      </c>
      <c r="AI428" s="134">
        <f>Table1[[#This Row],[Incremental Units]]/Table1[[#This Row],[Base Units]]</f>
        <v>0.47209515096065874</v>
      </c>
      <c r="AJ428" s="116">
        <f>IF(AND(ISNUMBER(Table1[[#This Row],[Lift  ]]),ISNUMBER(Table1[[#This Row],[Plan lift, %]]),Table1[[#This Row],[Plan lift, %]]&lt;&gt;0),Table1[[#This Row],[Lift  ]]-Table1[[#This Row],[Plan lift, %]],"")</f>
        <v>0.22209515096065874</v>
      </c>
      <c r="AK428" s="116"/>
      <c r="AL428" s="15" t="s">
        <v>1400</v>
      </c>
    </row>
    <row r="429" spans="1:39" x14ac:dyDescent="0.35">
      <c r="A429" t="s">
        <v>180</v>
      </c>
      <c r="B429" s="82">
        <v>981</v>
      </c>
      <c r="C429" s="21" t="s">
        <v>181</v>
      </c>
      <c r="D429" s="13" t="s">
        <v>1232</v>
      </c>
      <c r="F429" s="21" t="s">
        <v>182</v>
      </c>
      <c r="G429" t="s">
        <v>23</v>
      </c>
      <c r="H429" s="14">
        <v>46204</v>
      </c>
      <c r="I429" s="14">
        <v>46234</v>
      </c>
      <c r="J429" s="13" t="s">
        <v>24</v>
      </c>
      <c r="L429" s="2">
        <v>5546.13</v>
      </c>
      <c r="M429" s="2">
        <v>12324.72</v>
      </c>
      <c r="N429" s="2">
        <v>3081.17</v>
      </c>
      <c r="O429" s="2">
        <v>15405.89</v>
      </c>
      <c r="P429" s="3">
        <v>0.25</v>
      </c>
      <c r="Q429" s="3"/>
      <c r="R429" s="2">
        <v>1341.88</v>
      </c>
      <c r="S429" s="3">
        <v>0.44</v>
      </c>
      <c r="T429" s="2">
        <v>4425.1400000000003</v>
      </c>
      <c r="U429" s="13" t="s">
        <v>25</v>
      </c>
      <c r="V429" s="13" t="str">
        <f t="shared" si="42"/>
        <v>No</v>
      </c>
      <c r="W429" s="13" t="str">
        <f t="shared" si="42"/>
        <v>Yes</v>
      </c>
      <c r="X429" s="13" t="str">
        <f t="shared" si="42"/>
        <v>No</v>
      </c>
      <c r="Y429" s="13" t="str">
        <f t="shared" si="42"/>
        <v>No</v>
      </c>
      <c r="Z429" s="13" t="str">
        <f t="shared" si="42"/>
        <v>No</v>
      </c>
      <c r="AA429" s="71">
        <f>+(Table1[[#This Row],[Everyday price]]-Table1[[#This Row],[Promo Price]])/Table1[[#This Row],[Everyday price]]</f>
        <v>0.19191919191919199</v>
      </c>
      <c r="AB429" s="69">
        <v>2.4</v>
      </c>
      <c r="AC429" s="69">
        <v>2.97</v>
      </c>
      <c r="AD429" s="40" t="s">
        <v>1229</v>
      </c>
      <c r="AE429" s="5">
        <v>46195</v>
      </c>
      <c r="AF429" s="5">
        <v>46229</v>
      </c>
      <c r="AG429" s="20">
        <v>8888</v>
      </c>
      <c r="AH429" s="6">
        <v>3886</v>
      </c>
      <c r="AI429" s="134">
        <f>Table1[[#This Row],[Incremental Units]]/Table1[[#This Row],[Base Units]]</f>
        <v>0.43721872187218724</v>
      </c>
      <c r="AJ429" s="116">
        <f>IF(AND(ISNUMBER(Table1[[#This Row],[Lift  ]]),ISNUMBER(Table1[[#This Row],[Plan lift, %]]),Table1[[#This Row],[Plan lift, %]]&lt;&gt;0),Table1[[#This Row],[Lift  ]]-Table1[[#This Row],[Plan lift, %]],"")</f>
        <v>0.18721872187218724</v>
      </c>
      <c r="AK429" s="116"/>
      <c r="AL429" s="15" t="s">
        <v>1400</v>
      </c>
    </row>
    <row r="430" spans="1:39" x14ac:dyDescent="0.35">
      <c r="A430" t="s">
        <v>482</v>
      </c>
      <c r="B430" s="12">
        <v>980</v>
      </c>
      <c r="C430" s="21" t="s">
        <v>181</v>
      </c>
      <c r="D430" s="13" t="s">
        <v>1232</v>
      </c>
      <c r="F430" s="21" t="s">
        <v>483</v>
      </c>
      <c r="G430" t="s">
        <v>44</v>
      </c>
      <c r="H430" s="14">
        <v>46266</v>
      </c>
      <c r="I430" s="14">
        <v>46295</v>
      </c>
      <c r="J430" s="13" t="s">
        <v>24</v>
      </c>
      <c r="L430" s="2">
        <v>7367.22</v>
      </c>
      <c r="M430" s="2">
        <v>11927.14</v>
      </c>
      <c r="N430" s="2">
        <v>2981.8</v>
      </c>
      <c r="O430" s="2">
        <v>14908.94</v>
      </c>
      <c r="P430" s="3">
        <v>0.25</v>
      </c>
      <c r="Q430" s="3"/>
      <c r="R430" s="2">
        <v>0</v>
      </c>
      <c r="S430" s="3">
        <v>0</v>
      </c>
      <c r="T430" s="2">
        <v>0</v>
      </c>
      <c r="U430" s="13" t="s">
        <v>33</v>
      </c>
      <c r="V430" s="13" t="str">
        <f t="shared" si="42"/>
        <v>No</v>
      </c>
      <c r="W430" s="13" t="str">
        <f t="shared" si="42"/>
        <v>Yes</v>
      </c>
      <c r="X430" s="13" t="str">
        <f t="shared" si="42"/>
        <v>Yes</v>
      </c>
      <c r="Y430" s="13" t="str">
        <f t="shared" si="42"/>
        <v>No</v>
      </c>
      <c r="Z430" s="13" t="str">
        <f t="shared" si="42"/>
        <v>No</v>
      </c>
      <c r="AA430" s="71" t="e">
        <f>+(Table1[[#This Row],[Everyday price]]-Table1[[#This Row],[Promo Price]])/Table1[[#This Row],[Everyday price]]</f>
        <v>#DIV/0!</v>
      </c>
      <c r="AC430" s="69"/>
      <c r="AH430" s="6"/>
      <c r="AI430" s="134"/>
      <c r="AJ430" s="116" t="str">
        <f>IF(AND(ISNUMBER(Table1[[#This Row],[Lift  ]]),ISNUMBER(Table1[[#This Row],[Plan lift, %]]),Table1[[#This Row],[Plan lift, %]]&lt;&gt;0),Table1[[#This Row],[Lift  ]]-Table1[[#This Row],[Plan lift, %]],"")</f>
        <v/>
      </c>
      <c r="AK430" s="116"/>
    </row>
    <row r="431" spans="1:39" x14ac:dyDescent="0.35">
      <c r="A431" t="s">
        <v>532</v>
      </c>
      <c r="B431" s="143">
        <v>1093</v>
      </c>
      <c r="C431" s="21" t="s">
        <v>55</v>
      </c>
      <c r="D431" s="13" t="s">
        <v>1232</v>
      </c>
      <c r="F431" s="21" t="s">
        <v>533</v>
      </c>
      <c r="G431" t="s">
        <v>23</v>
      </c>
      <c r="H431" s="14">
        <v>46054</v>
      </c>
      <c r="I431" s="14">
        <v>46081</v>
      </c>
      <c r="J431" s="13" t="s">
        <v>24</v>
      </c>
      <c r="L431" s="2">
        <v>2993.65</v>
      </c>
      <c r="M431" s="2">
        <v>7676.01</v>
      </c>
      <c r="N431" s="2">
        <v>2302.8000000000002</v>
      </c>
      <c r="O431" s="2">
        <v>9978.81</v>
      </c>
      <c r="P431" s="3">
        <v>0.3</v>
      </c>
      <c r="Q431" s="3"/>
      <c r="R431" s="2">
        <v>5166.7700000000004</v>
      </c>
      <c r="S431" s="3">
        <v>0.28999999999999998</v>
      </c>
      <c r="T431" s="2">
        <v>22865.15</v>
      </c>
      <c r="U431" s="13" t="s">
        <v>25</v>
      </c>
      <c r="V431" s="13" t="str">
        <f t="shared" si="42"/>
        <v>No</v>
      </c>
      <c r="W431" s="13" t="str">
        <f t="shared" si="42"/>
        <v>Yes</v>
      </c>
      <c r="X431" s="13" t="str">
        <f t="shared" si="42"/>
        <v>No</v>
      </c>
      <c r="Y431" s="13" t="str">
        <f t="shared" si="42"/>
        <v>No</v>
      </c>
      <c r="Z431" s="13" t="str">
        <f t="shared" si="42"/>
        <v>No</v>
      </c>
      <c r="AA431" s="71">
        <f>+(Table1[[#This Row],[Everyday price]]-Table1[[#This Row],[Promo Price]])/Table1[[#This Row],[Everyday price]]</f>
        <v>0.15100671140939603</v>
      </c>
      <c r="AB431" s="69">
        <v>2.5299999999999998</v>
      </c>
      <c r="AC431" s="69">
        <v>2.98</v>
      </c>
      <c r="AD431" s="40" t="s">
        <v>1229</v>
      </c>
      <c r="AE431" s="5">
        <v>46048</v>
      </c>
      <c r="AF431" s="5">
        <v>46089</v>
      </c>
      <c r="AG431" s="20">
        <v>28999</v>
      </c>
      <c r="AH431" s="6">
        <v>8938</v>
      </c>
      <c r="AI431" s="134">
        <f>Table1[[#This Row],[Incremental Units]]/Table1[[#This Row],[Base Units]]</f>
        <v>0.30821752474223252</v>
      </c>
      <c r="AJ431" s="116">
        <f>IF(AND(ISNUMBER(Table1[[#This Row],[Lift  ]]),ISNUMBER(Table1[[#This Row],[Plan lift, %]]),Table1[[#This Row],[Plan lift, %]]&lt;&gt;0),Table1[[#This Row],[Lift  ]]-Table1[[#This Row],[Plan lift, %]],"")</f>
        <v>8.2175247422325293E-3</v>
      </c>
      <c r="AK431" s="116"/>
      <c r="AL431" s="15" t="s">
        <v>1400</v>
      </c>
    </row>
    <row r="432" spans="1:39" x14ac:dyDescent="0.35">
      <c r="A432" t="s">
        <v>524</v>
      </c>
      <c r="B432" s="144">
        <v>1095</v>
      </c>
      <c r="C432" s="21" t="s">
        <v>55</v>
      </c>
      <c r="D432" s="13" t="s">
        <v>1232</v>
      </c>
      <c r="F432" s="21" t="s">
        <v>525</v>
      </c>
      <c r="G432" t="s">
        <v>23</v>
      </c>
      <c r="H432" s="14">
        <v>46082</v>
      </c>
      <c r="I432" s="14">
        <v>46111</v>
      </c>
      <c r="J432" s="13" t="s">
        <v>29</v>
      </c>
      <c r="L432" s="2">
        <v>3362.1</v>
      </c>
      <c r="M432" s="2">
        <v>3362.1</v>
      </c>
      <c r="N432" s="2">
        <v>840.52</v>
      </c>
      <c r="O432" s="2">
        <v>4202.62</v>
      </c>
      <c r="P432" s="3">
        <v>0.25</v>
      </c>
      <c r="Q432" s="3"/>
      <c r="R432" s="2">
        <v>92.31</v>
      </c>
      <c r="S432" s="3">
        <v>0.02</v>
      </c>
      <c r="T432" s="2">
        <v>4660.7099999999991</v>
      </c>
      <c r="U432" s="13" t="s">
        <v>25</v>
      </c>
      <c r="V432" s="13" t="str">
        <f t="shared" ref="V432:Z441" si="43">IF(ISNUMBER(SEARCH(V$1,$U432)),"Yes","No")</f>
        <v>No</v>
      </c>
      <c r="W432" s="13" t="str">
        <f t="shared" si="43"/>
        <v>Yes</v>
      </c>
      <c r="X432" s="13" t="str">
        <f t="shared" si="43"/>
        <v>No</v>
      </c>
      <c r="Y432" s="13" t="str">
        <f t="shared" si="43"/>
        <v>No</v>
      </c>
      <c r="Z432" s="13" t="str">
        <f t="shared" si="43"/>
        <v>No</v>
      </c>
      <c r="AA432" s="71" t="e">
        <f>+(Table1[[#This Row],[Everyday price]]-Table1[[#This Row],[Promo Price]])/Table1[[#This Row],[Everyday price]]</f>
        <v>#DIV/0!</v>
      </c>
      <c r="AC432" s="69"/>
      <c r="AH432" s="6"/>
      <c r="AJ432" s="116" t="str">
        <f>IF(AND(ISNUMBER(Table1[[#This Row],[Lift  ]]),ISNUMBER(Table1[[#This Row],[Plan lift, %]]),Table1[[#This Row],[Plan lift, %]]&lt;&gt;0),Table1[[#This Row],[Lift  ]]-Table1[[#This Row],[Plan lift, %]],"")</f>
        <v/>
      </c>
      <c r="AK432" s="116"/>
    </row>
    <row r="433" spans="1:39" x14ac:dyDescent="0.35">
      <c r="A433" t="s">
        <v>54</v>
      </c>
      <c r="B433" s="143">
        <v>1096</v>
      </c>
      <c r="C433" s="21" t="s">
        <v>55</v>
      </c>
      <c r="D433" s="13" t="s">
        <v>1232</v>
      </c>
      <c r="F433" s="21" t="s">
        <v>56</v>
      </c>
      <c r="G433" t="s">
        <v>23</v>
      </c>
      <c r="H433" s="14">
        <v>46082</v>
      </c>
      <c r="I433" s="14">
        <v>46111</v>
      </c>
      <c r="J433" s="13" t="s">
        <v>24</v>
      </c>
      <c r="L433" s="2">
        <v>2752.75</v>
      </c>
      <c r="M433" s="2">
        <v>7646.54</v>
      </c>
      <c r="N433" s="2">
        <v>1529.31</v>
      </c>
      <c r="O433" s="2">
        <v>9175.85</v>
      </c>
      <c r="P433" s="3">
        <v>0.2</v>
      </c>
      <c r="Q433" s="3"/>
      <c r="R433" s="2">
        <v>1550.53</v>
      </c>
      <c r="S433" s="3">
        <v>7.0000000000000007E-2</v>
      </c>
      <c r="T433" s="2">
        <v>23508.85</v>
      </c>
      <c r="U433" s="13" t="s">
        <v>25</v>
      </c>
      <c r="V433" s="13" t="str">
        <f t="shared" si="43"/>
        <v>No</v>
      </c>
      <c r="W433" s="13" t="str">
        <f t="shared" si="43"/>
        <v>Yes</v>
      </c>
      <c r="X433" s="13" t="str">
        <f t="shared" si="43"/>
        <v>No</v>
      </c>
      <c r="Y433" s="13" t="str">
        <f t="shared" si="43"/>
        <v>No</v>
      </c>
      <c r="Z433" s="13" t="str">
        <f t="shared" si="43"/>
        <v>No</v>
      </c>
      <c r="AA433" s="71">
        <f>+(Table1[[#This Row],[Everyday price]]-Table1[[#This Row],[Promo Price]])/Table1[[#This Row],[Everyday price]]</f>
        <v>0.15719063545150508</v>
      </c>
      <c r="AB433" s="69">
        <v>2.52</v>
      </c>
      <c r="AC433" s="69">
        <v>2.99</v>
      </c>
      <c r="AD433" s="40" t="s">
        <v>1229</v>
      </c>
      <c r="AE433" s="5">
        <v>46139</v>
      </c>
      <c r="AF433" s="5">
        <v>46173</v>
      </c>
      <c r="AG433" s="20">
        <v>17706</v>
      </c>
      <c r="AH433" s="6">
        <v>7311</v>
      </c>
      <c r="AI433" s="134">
        <f>Table1[[#This Row],[Incremental Units]]/Table1[[#This Row],[Base Units]]</f>
        <v>0.41291087766858692</v>
      </c>
      <c r="AJ433" s="116">
        <f>IF(AND(ISNUMBER(Table1[[#This Row],[Lift  ]]),ISNUMBER(Table1[[#This Row],[Plan lift, %]]),Table1[[#This Row],[Plan lift, %]]&lt;&gt;0),Table1[[#This Row],[Lift  ]]-Table1[[#This Row],[Plan lift, %]],"")</f>
        <v>0.21291087766858691</v>
      </c>
      <c r="AK433" s="116"/>
      <c r="AL433" s="15" t="s">
        <v>1400</v>
      </c>
      <c r="AM433" s="4" t="s">
        <v>1509</v>
      </c>
    </row>
    <row r="434" spans="1:39" x14ac:dyDescent="0.35">
      <c r="A434" t="s">
        <v>991</v>
      </c>
      <c r="B434" s="143">
        <v>1091</v>
      </c>
      <c r="C434" s="21" t="s">
        <v>55</v>
      </c>
      <c r="D434" s="13" t="s">
        <v>1232</v>
      </c>
      <c r="F434" s="21" t="s">
        <v>992</v>
      </c>
      <c r="G434" t="s">
        <v>23</v>
      </c>
      <c r="H434" s="14">
        <v>46113</v>
      </c>
      <c r="I434" s="14">
        <v>46142</v>
      </c>
      <c r="J434" s="13" t="s">
        <v>29</v>
      </c>
      <c r="L434" s="2">
        <v>3127.63</v>
      </c>
      <c r="M434" s="2">
        <v>3257.95</v>
      </c>
      <c r="N434" s="2">
        <v>651.59</v>
      </c>
      <c r="O434" s="2">
        <v>3909.54</v>
      </c>
      <c r="P434" s="3">
        <v>0.2</v>
      </c>
      <c r="Q434" s="3"/>
      <c r="R434" s="2">
        <v>114.82</v>
      </c>
      <c r="S434" s="3">
        <v>0.02</v>
      </c>
      <c r="T434" s="2">
        <v>4743.9999999999991</v>
      </c>
      <c r="U434" s="13" t="s">
        <v>25</v>
      </c>
      <c r="V434" s="13" t="str">
        <f t="shared" si="43"/>
        <v>No</v>
      </c>
      <c r="W434" s="13" t="str">
        <f t="shared" si="43"/>
        <v>Yes</v>
      </c>
      <c r="X434" s="13" t="str">
        <f t="shared" si="43"/>
        <v>No</v>
      </c>
      <c r="Y434" s="13" t="str">
        <f t="shared" si="43"/>
        <v>No</v>
      </c>
      <c r="Z434" s="13" t="str">
        <f t="shared" si="43"/>
        <v>No</v>
      </c>
      <c r="AA434" s="71">
        <f>+(Table1[[#This Row],[Everyday price]]-Table1[[#This Row],[Promo Price]])/Table1[[#This Row],[Everyday price]]</f>
        <v>0.11010009099181081</v>
      </c>
      <c r="AB434" s="69">
        <v>9.7799999999999994</v>
      </c>
      <c r="AC434" s="69">
        <v>10.99</v>
      </c>
      <c r="AD434" s="40" t="s">
        <v>1256</v>
      </c>
      <c r="AE434" s="5">
        <v>46174</v>
      </c>
      <c r="AF434" s="5">
        <v>46201</v>
      </c>
      <c r="AG434" s="20">
        <v>5987</v>
      </c>
      <c r="AH434" s="6">
        <v>3822</v>
      </c>
      <c r="AI434" s="134">
        <f>Table1[[#This Row],[Incremental Units]]/Table1[[#This Row],[Base Units]]</f>
        <v>0.63838316352096214</v>
      </c>
      <c r="AJ434" s="116">
        <f>IF(AND(ISNUMBER(Table1[[#This Row],[Lift  ]]),ISNUMBER(Table1[[#This Row],[Plan lift, %]]),Table1[[#This Row],[Plan lift, %]]&lt;&gt;0),Table1[[#This Row],[Lift  ]]-Table1[[#This Row],[Plan lift, %]],"")</f>
        <v>0.43838316352096213</v>
      </c>
      <c r="AK434" s="116"/>
      <c r="AL434" s="15" t="s">
        <v>1434</v>
      </c>
      <c r="AM434" s="4" t="s">
        <v>1510</v>
      </c>
    </row>
    <row r="435" spans="1:39" x14ac:dyDescent="0.35">
      <c r="A435" t="s">
        <v>111</v>
      </c>
      <c r="B435" s="12">
        <v>1094</v>
      </c>
      <c r="C435" s="21" t="s">
        <v>55</v>
      </c>
      <c r="D435" s="13" t="s">
        <v>1232</v>
      </c>
      <c r="F435" s="21" t="s">
        <v>112</v>
      </c>
      <c r="G435" t="s">
        <v>23</v>
      </c>
      <c r="H435" s="14">
        <v>46204</v>
      </c>
      <c r="I435" s="14">
        <v>46234</v>
      </c>
      <c r="J435" s="13" t="s">
        <v>24</v>
      </c>
      <c r="L435" s="2">
        <v>6262.62</v>
      </c>
      <c r="M435" s="2">
        <v>16058</v>
      </c>
      <c r="N435" s="2">
        <v>4817.3999999999996</v>
      </c>
      <c r="O435" s="2">
        <v>20875.400000000001</v>
      </c>
      <c r="P435" s="3">
        <v>0.3</v>
      </c>
      <c r="Q435" s="3"/>
      <c r="R435" s="2">
        <v>1634.45</v>
      </c>
      <c r="S435" s="3">
        <v>0.36</v>
      </c>
      <c r="T435" s="2">
        <v>6160.78</v>
      </c>
      <c r="U435" s="13" t="s">
        <v>25</v>
      </c>
      <c r="V435" s="13" t="str">
        <f t="shared" si="43"/>
        <v>No</v>
      </c>
      <c r="W435" s="13" t="str">
        <f t="shared" si="43"/>
        <v>Yes</v>
      </c>
      <c r="X435" s="13" t="str">
        <f t="shared" si="43"/>
        <v>No</v>
      </c>
      <c r="Y435" s="13" t="str">
        <f t="shared" si="43"/>
        <v>No</v>
      </c>
      <c r="Z435" s="13" t="str">
        <f t="shared" si="43"/>
        <v>No</v>
      </c>
      <c r="AA435" s="71" t="e">
        <f>+(Table1[[#This Row],[Everyday price]]-Table1[[#This Row],[Promo Price]])/Table1[[#This Row],[Everyday price]]</f>
        <v>#DIV/0!</v>
      </c>
      <c r="AC435" s="69"/>
      <c r="AH435" s="6"/>
      <c r="AJ435" s="116" t="str">
        <f>IF(AND(ISNUMBER(Table1[[#This Row],[Lift  ]]),ISNUMBER(Table1[[#This Row],[Plan lift, %]]),Table1[[#This Row],[Plan lift, %]]&lt;&gt;0),Table1[[#This Row],[Lift  ]]-Table1[[#This Row],[Plan lift, %]],"")</f>
        <v/>
      </c>
      <c r="AK435" s="116"/>
    </row>
    <row r="436" spans="1:39" x14ac:dyDescent="0.35">
      <c r="A436" t="s">
        <v>1096</v>
      </c>
      <c r="B436" s="12">
        <v>1092</v>
      </c>
      <c r="C436" s="21" t="s">
        <v>55</v>
      </c>
      <c r="D436" s="13" t="s">
        <v>1232</v>
      </c>
      <c r="F436" s="21" t="s">
        <v>1097</v>
      </c>
      <c r="G436" t="s">
        <v>60</v>
      </c>
      <c r="H436" s="14">
        <v>46235</v>
      </c>
      <c r="I436" s="14">
        <v>46265</v>
      </c>
      <c r="J436" s="13" t="s">
        <v>24</v>
      </c>
      <c r="L436" s="2">
        <v>5780.88</v>
      </c>
      <c r="M436" s="2">
        <v>16058</v>
      </c>
      <c r="N436" s="2">
        <v>3211.6</v>
      </c>
      <c r="O436" s="2">
        <v>19269.599999999999</v>
      </c>
      <c r="P436" s="3">
        <v>0.2</v>
      </c>
      <c r="Q436" s="3"/>
      <c r="R436" s="2">
        <v>0</v>
      </c>
      <c r="S436" s="3">
        <v>0</v>
      </c>
      <c r="T436" s="2">
        <v>0</v>
      </c>
      <c r="U436" s="13" t="s">
        <v>25</v>
      </c>
      <c r="V436" s="13" t="str">
        <f t="shared" si="43"/>
        <v>No</v>
      </c>
      <c r="W436" s="13" t="str">
        <f t="shared" si="43"/>
        <v>Yes</v>
      </c>
      <c r="X436" s="13" t="str">
        <f t="shared" si="43"/>
        <v>No</v>
      </c>
      <c r="Y436" s="13" t="str">
        <f t="shared" si="43"/>
        <v>No</v>
      </c>
      <c r="Z436" s="13" t="str">
        <f t="shared" si="43"/>
        <v>No</v>
      </c>
      <c r="AA436" s="71" t="e">
        <f>+(Table1[[#This Row],[Everyday price]]-Table1[[#This Row],[Promo Price]])/Table1[[#This Row],[Everyday price]]</f>
        <v>#DIV/0!</v>
      </c>
      <c r="AC436" s="69"/>
      <c r="AH436" s="6"/>
      <c r="AJ436" s="116" t="str">
        <f>IF(AND(ISNUMBER(Table1[[#This Row],[Lift  ]]),ISNUMBER(Table1[[#This Row],[Plan lift, %]]),Table1[[#This Row],[Plan lift, %]]&lt;&gt;0),Table1[[#This Row],[Lift  ]]-Table1[[#This Row],[Plan lift, %]],"")</f>
        <v/>
      </c>
      <c r="AK436" s="116"/>
    </row>
    <row r="437" spans="1:39" x14ac:dyDescent="0.35">
      <c r="A437" t="s">
        <v>193</v>
      </c>
      <c r="B437" s="12">
        <v>1098</v>
      </c>
      <c r="C437" s="21" t="s">
        <v>55</v>
      </c>
      <c r="D437" s="13" t="s">
        <v>1232</v>
      </c>
      <c r="F437" s="21" t="s">
        <v>194</v>
      </c>
      <c r="G437" t="s">
        <v>44</v>
      </c>
      <c r="H437" s="14">
        <v>46266</v>
      </c>
      <c r="I437" s="14">
        <v>46295</v>
      </c>
      <c r="J437" s="13" t="s">
        <v>29</v>
      </c>
      <c r="L437" s="2">
        <v>3240</v>
      </c>
      <c r="M437" s="2">
        <v>3240</v>
      </c>
      <c r="N437" s="2">
        <v>810</v>
      </c>
      <c r="O437" s="2">
        <v>4050</v>
      </c>
      <c r="P437" s="3">
        <v>0.25</v>
      </c>
      <c r="Q437" s="3"/>
      <c r="R437" s="2">
        <v>0</v>
      </c>
      <c r="S437" s="3">
        <v>0</v>
      </c>
      <c r="T437" s="2">
        <v>0</v>
      </c>
      <c r="U437" s="13" t="s">
        <v>25</v>
      </c>
      <c r="V437" s="13" t="str">
        <f t="shared" si="43"/>
        <v>No</v>
      </c>
      <c r="W437" s="13" t="str">
        <f t="shared" si="43"/>
        <v>Yes</v>
      </c>
      <c r="X437" s="13" t="str">
        <f t="shared" si="43"/>
        <v>No</v>
      </c>
      <c r="Y437" s="13" t="str">
        <f t="shared" si="43"/>
        <v>No</v>
      </c>
      <c r="Z437" s="13" t="str">
        <f t="shared" si="43"/>
        <v>No</v>
      </c>
      <c r="AA437" s="71" t="e">
        <f>+(Table1[[#This Row],[Everyday price]]-Table1[[#This Row],[Promo Price]])/Table1[[#This Row],[Everyday price]]</f>
        <v>#DIV/0!</v>
      </c>
      <c r="AC437" s="69"/>
      <c r="AH437" s="6"/>
      <c r="AJ437" s="116" t="str">
        <f>IF(AND(ISNUMBER(Table1[[#This Row],[Lift  ]]),ISNUMBER(Table1[[#This Row],[Plan lift, %]]),Table1[[#This Row],[Plan lift, %]]&lt;&gt;0),Table1[[#This Row],[Lift  ]]-Table1[[#This Row],[Plan lift, %]],"")</f>
        <v/>
      </c>
      <c r="AK437" s="116"/>
    </row>
    <row r="438" spans="1:39" x14ac:dyDescent="0.35">
      <c r="A438" t="s">
        <v>305</v>
      </c>
      <c r="B438" s="12">
        <v>1097</v>
      </c>
      <c r="C438" s="21" t="s">
        <v>55</v>
      </c>
      <c r="D438" s="13" t="s">
        <v>1232</v>
      </c>
      <c r="F438" s="21" t="s">
        <v>306</v>
      </c>
      <c r="G438" t="s">
        <v>44</v>
      </c>
      <c r="H438" s="14">
        <v>46296</v>
      </c>
      <c r="I438" s="14">
        <v>46326</v>
      </c>
      <c r="J438" s="13" t="s">
        <v>29</v>
      </c>
      <c r="L438" s="2">
        <v>3214.08</v>
      </c>
      <c r="M438" s="2">
        <v>3348</v>
      </c>
      <c r="N438" s="2">
        <v>669.6</v>
      </c>
      <c r="O438" s="2">
        <v>4017.6</v>
      </c>
      <c r="P438" s="3">
        <v>0.2</v>
      </c>
      <c r="Q438" s="3"/>
      <c r="R438" s="2">
        <v>0</v>
      </c>
      <c r="S438" s="3">
        <v>0</v>
      </c>
      <c r="T438" s="2">
        <v>0</v>
      </c>
      <c r="U438" s="13" t="s">
        <v>25</v>
      </c>
      <c r="V438" s="13" t="str">
        <f t="shared" si="43"/>
        <v>No</v>
      </c>
      <c r="W438" s="13" t="str">
        <f t="shared" si="43"/>
        <v>Yes</v>
      </c>
      <c r="X438" s="13" t="str">
        <f t="shared" si="43"/>
        <v>No</v>
      </c>
      <c r="Y438" s="13" t="str">
        <f t="shared" si="43"/>
        <v>No</v>
      </c>
      <c r="Z438" s="13" t="str">
        <f t="shared" si="43"/>
        <v>No</v>
      </c>
      <c r="AA438" s="71" t="e">
        <f>+(Table1[[#This Row],[Everyday price]]-Table1[[#This Row],[Promo Price]])/Table1[[#This Row],[Everyday price]]</f>
        <v>#DIV/0!</v>
      </c>
      <c r="AC438" s="69"/>
      <c r="AH438" s="6"/>
      <c r="AJ438" s="116" t="str">
        <f>IF(AND(ISNUMBER(Table1[[#This Row],[Lift  ]]),ISNUMBER(Table1[[#This Row],[Plan lift, %]]),Table1[[#This Row],[Plan lift, %]]&lt;&gt;0),Table1[[#This Row],[Lift  ]]-Table1[[#This Row],[Plan lift, %]],"")</f>
        <v/>
      </c>
      <c r="AK438" s="116"/>
    </row>
    <row r="439" spans="1:39" x14ac:dyDescent="0.35">
      <c r="A439" t="s">
        <v>1072</v>
      </c>
      <c r="B439" s="12">
        <v>982</v>
      </c>
      <c r="C439" s="21" t="s">
        <v>656</v>
      </c>
      <c r="D439" s="13" t="s">
        <v>1230</v>
      </c>
      <c r="F439" t="s">
        <v>1073</v>
      </c>
      <c r="G439" t="s">
        <v>23</v>
      </c>
      <c r="H439" s="1">
        <v>46031</v>
      </c>
      <c r="I439" s="1">
        <v>46033</v>
      </c>
      <c r="J439" s="13" t="s">
        <v>24</v>
      </c>
      <c r="L439" s="2">
        <v>673.57</v>
      </c>
      <c r="M439" s="2">
        <v>192.85</v>
      </c>
      <c r="N439" s="2">
        <v>96.42</v>
      </c>
      <c r="O439" s="2">
        <v>289.27</v>
      </c>
      <c r="P439" s="3">
        <v>0.5</v>
      </c>
      <c r="Q439" s="3"/>
      <c r="R439" s="2">
        <v>70.88</v>
      </c>
      <c r="S439" s="3">
        <v>0.82</v>
      </c>
      <c r="T439" s="2">
        <v>157.30000000000001</v>
      </c>
      <c r="U439" t="s">
        <v>33</v>
      </c>
      <c r="V439" s="13" t="str">
        <f t="shared" si="43"/>
        <v>No</v>
      </c>
      <c r="W439" s="13" t="str">
        <f t="shared" si="43"/>
        <v>Yes</v>
      </c>
      <c r="X439" s="13" t="str">
        <f t="shared" si="43"/>
        <v>Yes</v>
      </c>
      <c r="Y439" s="13" t="str">
        <f t="shared" si="43"/>
        <v>No</v>
      </c>
      <c r="Z439" s="13" t="str">
        <f t="shared" si="43"/>
        <v>No</v>
      </c>
      <c r="AA439" s="71" t="e">
        <f>+(Table1[[#This Row],[Everyday price]]-Table1[[#This Row],[Promo Price]])/Table1[[#This Row],[Everyday price]]</f>
        <v>#DIV/0!</v>
      </c>
      <c r="AC439" s="69"/>
      <c r="AD439" s="13"/>
      <c r="AH439" s="6"/>
      <c r="AJ439" s="116" t="str">
        <f>IF(AND(ISNUMBER(Table1[[#This Row],[Lift  ]]),ISNUMBER(Table1[[#This Row],[Plan lift, %]]),Table1[[#This Row],[Plan lift, %]]&lt;&gt;0),Table1[[#This Row],[Lift  ]]-Table1[[#This Row],[Plan lift, %]],"")</f>
        <v/>
      </c>
      <c r="AK439" s="116"/>
    </row>
    <row r="440" spans="1:39" x14ac:dyDescent="0.35">
      <c r="A440" t="s">
        <v>738</v>
      </c>
      <c r="B440" s="12">
        <v>983</v>
      </c>
      <c r="C440" s="21" t="s">
        <v>656</v>
      </c>
      <c r="D440" s="13" t="s">
        <v>1230</v>
      </c>
      <c r="F440" t="s">
        <v>739</v>
      </c>
      <c r="G440" t="s">
        <v>23</v>
      </c>
      <c r="H440" s="1">
        <v>46054</v>
      </c>
      <c r="I440" s="1">
        <v>46081</v>
      </c>
      <c r="J440" s="13" t="s">
        <v>24</v>
      </c>
      <c r="L440" s="2">
        <v>1275</v>
      </c>
      <c r="M440" s="2">
        <v>1800</v>
      </c>
      <c r="N440" s="2">
        <v>450</v>
      </c>
      <c r="O440" s="2">
        <v>2250</v>
      </c>
      <c r="P440" s="3">
        <v>0.25</v>
      </c>
      <c r="Q440" s="3"/>
      <c r="R440" s="2">
        <v>0</v>
      </c>
      <c r="S440" s="3">
        <v>0</v>
      </c>
      <c r="T440" s="2">
        <v>909.66999999999985</v>
      </c>
      <c r="U440" t="s">
        <v>33</v>
      </c>
      <c r="V440" s="13" t="str">
        <f t="shared" si="43"/>
        <v>No</v>
      </c>
      <c r="W440" s="13" t="str">
        <f t="shared" si="43"/>
        <v>Yes</v>
      </c>
      <c r="X440" s="13" t="str">
        <f t="shared" si="43"/>
        <v>Yes</v>
      </c>
      <c r="Y440" s="13" t="str">
        <f t="shared" si="43"/>
        <v>No</v>
      </c>
      <c r="Z440" s="13" t="str">
        <f t="shared" si="43"/>
        <v>No</v>
      </c>
      <c r="AA440" s="71" t="e">
        <f>+(Table1[[#This Row],[Everyday price]]-Table1[[#This Row],[Promo Price]])/Table1[[#This Row],[Everyday price]]</f>
        <v>#DIV/0!</v>
      </c>
      <c r="AC440" s="69"/>
      <c r="AD440" s="13"/>
      <c r="AH440" s="6"/>
      <c r="AJ440" s="116" t="str">
        <f>IF(AND(ISNUMBER(Table1[[#This Row],[Lift  ]]),ISNUMBER(Table1[[#This Row],[Plan lift, %]]),Table1[[#This Row],[Plan lift, %]]&lt;&gt;0),Table1[[#This Row],[Lift  ]]-Table1[[#This Row],[Plan lift, %]],"")</f>
        <v/>
      </c>
      <c r="AK440" s="116"/>
    </row>
    <row r="441" spans="1:39" x14ac:dyDescent="0.35">
      <c r="A441" t="s">
        <v>655</v>
      </c>
      <c r="B441" s="12">
        <v>984</v>
      </c>
      <c r="C441" s="21" t="s">
        <v>656</v>
      </c>
      <c r="D441" s="13" t="s">
        <v>1230</v>
      </c>
      <c r="F441" t="s">
        <v>657</v>
      </c>
      <c r="G441" t="s">
        <v>23</v>
      </c>
      <c r="H441" s="1">
        <v>46143</v>
      </c>
      <c r="I441" s="1">
        <v>46173</v>
      </c>
      <c r="J441" s="13" t="s">
        <v>24</v>
      </c>
      <c r="L441" s="2">
        <v>1395.52</v>
      </c>
      <c r="M441" s="2">
        <v>1992.85</v>
      </c>
      <c r="N441" s="2">
        <v>498.2</v>
      </c>
      <c r="O441" s="2">
        <v>2491.0500000000002</v>
      </c>
      <c r="P441" s="3">
        <v>0.25</v>
      </c>
      <c r="Q441" s="3"/>
      <c r="R441" s="2">
        <v>444.54</v>
      </c>
      <c r="S441" s="3">
        <v>0.17</v>
      </c>
      <c r="T441" s="2">
        <v>3130.1799999999994</v>
      </c>
      <c r="U441" t="s">
        <v>33</v>
      </c>
      <c r="V441" s="13" t="str">
        <f t="shared" si="43"/>
        <v>No</v>
      </c>
      <c r="W441" s="13" t="str">
        <f t="shared" si="43"/>
        <v>Yes</v>
      </c>
      <c r="X441" s="13" t="str">
        <f t="shared" si="43"/>
        <v>Yes</v>
      </c>
      <c r="Y441" s="13" t="str">
        <f t="shared" si="43"/>
        <v>No</v>
      </c>
      <c r="Z441" s="13" t="str">
        <f t="shared" si="43"/>
        <v>No</v>
      </c>
      <c r="AA441" s="71" t="e">
        <f>+(Table1[[#This Row],[Everyday price]]-Table1[[#This Row],[Promo Price]])/Table1[[#This Row],[Everyday price]]</f>
        <v>#DIV/0!</v>
      </c>
      <c r="AC441" s="69"/>
      <c r="AD441" s="13"/>
      <c r="AH441" s="6"/>
      <c r="AJ441" s="116" t="str">
        <f>IF(AND(ISNUMBER(Table1[[#This Row],[Lift  ]]),ISNUMBER(Table1[[#This Row],[Plan lift, %]]),Table1[[#This Row],[Plan lift, %]]&lt;&gt;0),Table1[[#This Row],[Lift  ]]-Table1[[#This Row],[Plan lift, %]],"")</f>
        <v/>
      </c>
      <c r="AK441" s="116"/>
    </row>
    <row r="442" spans="1:39" x14ac:dyDescent="0.35">
      <c r="A442" t="s">
        <v>1030</v>
      </c>
      <c r="B442" s="12">
        <v>985</v>
      </c>
      <c r="C442" s="21" t="s">
        <v>656</v>
      </c>
      <c r="D442" s="13" t="s">
        <v>1230</v>
      </c>
      <c r="F442" t="s">
        <v>1031</v>
      </c>
      <c r="G442" t="s">
        <v>60</v>
      </c>
      <c r="H442" s="1">
        <v>46235</v>
      </c>
      <c r="I442" s="1">
        <v>46265</v>
      </c>
      <c r="J442" s="13" t="s">
        <v>24</v>
      </c>
      <c r="L442" s="2">
        <v>1745.52</v>
      </c>
      <c r="M442" s="2">
        <v>1992.85</v>
      </c>
      <c r="N442" s="2">
        <v>498.2</v>
      </c>
      <c r="O442" s="2">
        <v>2491.0500000000002</v>
      </c>
      <c r="P442" s="3">
        <v>0.25</v>
      </c>
      <c r="Q442" s="3"/>
      <c r="R442" s="2">
        <v>0</v>
      </c>
      <c r="S442" s="3">
        <v>0</v>
      </c>
      <c r="T442" s="2">
        <v>0</v>
      </c>
      <c r="U442" t="s">
        <v>33</v>
      </c>
      <c r="V442" s="13" t="str">
        <f t="shared" ref="V442:Z451" si="44">IF(ISNUMBER(SEARCH(V$1,$U442)),"Yes","No")</f>
        <v>No</v>
      </c>
      <c r="W442" s="13" t="str">
        <f t="shared" si="44"/>
        <v>Yes</v>
      </c>
      <c r="X442" s="13" t="str">
        <f t="shared" si="44"/>
        <v>Yes</v>
      </c>
      <c r="Y442" s="13" t="str">
        <f t="shared" si="44"/>
        <v>No</v>
      </c>
      <c r="Z442" s="13" t="str">
        <f t="shared" si="44"/>
        <v>No</v>
      </c>
      <c r="AA442" s="71" t="e">
        <f>+(Table1[[#This Row],[Everyday price]]-Table1[[#This Row],[Promo Price]])/Table1[[#This Row],[Everyday price]]</f>
        <v>#DIV/0!</v>
      </c>
      <c r="AC442" s="69"/>
      <c r="AD442" s="13"/>
      <c r="AH442" s="6"/>
      <c r="AJ442" s="116" t="str">
        <f>IF(AND(ISNUMBER(Table1[[#This Row],[Lift  ]]),ISNUMBER(Table1[[#This Row],[Plan lift, %]]),Table1[[#This Row],[Plan lift, %]]&lt;&gt;0),Table1[[#This Row],[Lift  ]]-Table1[[#This Row],[Plan lift, %]],"")</f>
        <v/>
      </c>
      <c r="AK442" s="116"/>
    </row>
    <row r="443" spans="1:39" x14ac:dyDescent="0.35">
      <c r="A443" t="s">
        <v>1057</v>
      </c>
      <c r="B443" s="12">
        <v>1199</v>
      </c>
      <c r="C443" s="21" t="s">
        <v>1058</v>
      </c>
      <c r="D443" s="13" t="s">
        <v>1232</v>
      </c>
      <c r="F443" s="21" t="s">
        <v>1059</v>
      </c>
      <c r="G443" t="s">
        <v>23</v>
      </c>
      <c r="H443" s="14">
        <v>46082</v>
      </c>
      <c r="I443" s="14">
        <v>46142</v>
      </c>
      <c r="J443" s="13" t="s">
        <v>24</v>
      </c>
      <c r="L443" s="2">
        <v>21528.94</v>
      </c>
      <c r="M443" s="2">
        <v>19607.14</v>
      </c>
      <c r="N443" s="2">
        <v>2941.08</v>
      </c>
      <c r="O443" s="2">
        <v>22548.22</v>
      </c>
      <c r="P443" s="3">
        <v>0.15</v>
      </c>
      <c r="Q443" s="3"/>
      <c r="R443" s="2">
        <v>0</v>
      </c>
      <c r="S443" s="3">
        <v>0</v>
      </c>
      <c r="T443" s="2">
        <v>0</v>
      </c>
      <c r="U443" s="13" t="s">
        <v>33</v>
      </c>
      <c r="V443" s="13" t="str">
        <f t="shared" si="44"/>
        <v>No</v>
      </c>
      <c r="W443" s="13" t="str">
        <f t="shared" si="44"/>
        <v>Yes</v>
      </c>
      <c r="X443" s="13" t="str">
        <f t="shared" si="44"/>
        <v>Yes</v>
      </c>
      <c r="Y443" s="13" t="str">
        <f t="shared" si="44"/>
        <v>No</v>
      </c>
      <c r="Z443" s="13" t="str">
        <f t="shared" si="44"/>
        <v>No</v>
      </c>
      <c r="AA443" s="71" t="e">
        <f>+(Table1[[#This Row],[Everyday price]]-Table1[[#This Row],[Promo Price]])/Table1[[#This Row],[Everyday price]]</f>
        <v>#DIV/0!</v>
      </c>
      <c r="AC443" s="69"/>
      <c r="AH443" s="6"/>
      <c r="AJ443" s="116" t="str">
        <f>IF(AND(ISNUMBER(Table1[[#This Row],[Lift  ]]),ISNUMBER(Table1[[#This Row],[Plan lift, %]]),Table1[[#This Row],[Plan lift, %]]&lt;&gt;0),Table1[[#This Row],[Lift  ]]-Table1[[#This Row],[Plan lift, %]],"")</f>
        <v/>
      </c>
      <c r="AK443" s="116"/>
    </row>
    <row r="444" spans="1:39" x14ac:dyDescent="0.35">
      <c r="A444" t="s">
        <v>586</v>
      </c>
      <c r="B444" s="82">
        <v>1564</v>
      </c>
      <c r="C444" s="21" t="s">
        <v>201</v>
      </c>
      <c r="D444" s="13" t="s">
        <v>1231</v>
      </c>
      <c r="E444" t="s">
        <v>202</v>
      </c>
      <c r="F444" t="s">
        <v>587</v>
      </c>
      <c r="G444" t="s">
        <v>23</v>
      </c>
      <c r="H444" s="1">
        <v>46023</v>
      </c>
      <c r="I444" s="1">
        <v>46053</v>
      </c>
      <c r="J444" s="13" t="s">
        <v>88</v>
      </c>
      <c r="L444" s="2">
        <v>1864059.44</v>
      </c>
      <c r="M444" s="2">
        <v>252722.78</v>
      </c>
      <c r="N444" s="2">
        <v>189542.08</v>
      </c>
      <c r="O444" s="2">
        <v>442264.86</v>
      </c>
      <c r="P444" s="3">
        <v>0.75</v>
      </c>
      <c r="Q444" s="3"/>
      <c r="R444" s="2">
        <v>-4699.7</v>
      </c>
      <c r="S444" s="3">
        <v>-0.01</v>
      </c>
      <c r="T444" s="2">
        <v>397950</v>
      </c>
      <c r="U444" t="s">
        <v>204</v>
      </c>
      <c r="V444" s="13" t="str">
        <f t="shared" si="44"/>
        <v>No</v>
      </c>
      <c r="W444" s="13" t="str">
        <f t="shared" si="44"/>
        <v>No</v>
      </c>
      <c r="X444" s="13" t="str">
        <f t="shared" si="44"/>
        <v>Yes</v>
      </c>
      <c r="Y444" s="13" t="str">
        <f t="shared" si="44"/>
        <v>Yes</v>
      </c>
      <c r="Z444" s="13" t="str">
        <f t="shared" si="44"/>
        <v>No</v>
      </c>
      <c r="AA444" s="71">
        <f>+(Table1[[#This Row],[Everyday price]]-Table1[[#This Row],[Promo Price]])/Table1[[#This Row],[Everyday price]]</f>
        <v>0.16641604010025066</v>
      </c>
      <c r="AB444" s="69">
        <v>16.63</v>
      </c>
      <c r="AC444" s="69">
        <v>19.95</v>
      </c>
      <c r="AD444" s="15" t="s">
        <v>1229</v>
      </c>
      <c r="AE444" s="5">
        <v>46020</v>
      </c>
      <c r="AF444" s="5">
        <v>46054</v>
      </c>
      <c r="AG444" s="20">
        <v>442994</v>
      </c>
      <c r="AH444" s="6">
        <v>358698</v>
      </c>
      <c r="AI444" s="11">
        <f>Table1[[#This Row],[Incremental Units]]/Table1[[#This Row],[Base Units]]</f>
        <v>0.80971299837018107</v>
      </c>
      <c r="AJ444" s="11">
        <f>IF(AND(ISNUMBER(Table1[[#This Row],[Lift  ]]),ISNUMBER(Table1[[#This Row],[Plan lift, %]]),Table1[[#This Row],[Plan lift, %]]&lt;&gt;0),Table1[[#This Row],[Lift  ]]-Table1[[#This Row],[Plan lift, %]],"")</f>
        <v>5.971299837018107E-2</v>
      </c>
      <c r="AK444" s="11"/>
      <c r="AL444" s="71" t="s">
        <v>1400</v>
      </c>
      <c r="AM444" s="4" t="s">
        <v>1375</v>
      </c>
    </row>
    <row r="445" spans="1:39" x14ac:dyDescent="0.35">
      <c r="A445" t="s">
        <v>200</v>
      </c>
      <c r="B445" s="12">
        <v>1565</v>
      </c>
      <c r="C445" s="21" t="s">
        <v>201</v>
      </c>
      <c r="D445" s="13" t="s">
        <v>1231</v>
      </c>
      <c r="E445" t="s">
        <v>202</v>
      </c>
      <c r="F445" t="s">
        <v>203</v>
      </c>
      <c r="G445" t="s">
        <v>60</v>
      </c>
      <c r="H445" s="1">
        <v>46235</v>
      </c>
      <c r="I445" s="1">
        <v>46265</v>
      </c>
      <c r="J445" s="13" t="s">
        <v>88</v>
      </c>
      <c r="L445" s="2">
        <v>2288744.48</v>
      </c>
      <c r="M445" s="2">
        <v>279218.06</v>
      </c>
      <c r="N445" s="2">
        <v>279218.06</v>
      </c>
      <c r="O445" s="2">
        <v>558436.12</v>
      </c>
      <c r="P445" s="3">
        <v>1</v>
      </c>
      <c r="Q445" s="3"/>
      <c r="R445" s="2">
        <v>0</v>
      </c>
      <c r="S445" s="3">
        <v>0</v>
      </c>
      <c r="T445" s="2">
        <v>0</v>
      </c>
      <c r="U445" t="s">
        <v>204</v>
      </c>
      <c r="V445" s="13" t="str">
        <f t="shared" si="44"/>
        <v>No</v>
      </c>
      <c r="W445" s="13" t="str">
        <f t="shared" si="44"/>
        <v>No</v>
      </c>
      <c r="X445" s="13" t="str">
        <f t="shared" si="44"/>
        <v>Yes</v>
      </c>
      <c r="Y445" s="13" t="str">
        <f t="shared" si="44"/>
        <v>Yes</v>
      </c>
      <c r="Z445" s="13" t="str">
        <f t="shared" si="44"/>
        <v>No</v>
      </c>
      <c r="AA445" s="71" t="e">
        <f>+(Table1[[#This Row],[Everyday price]]-Table1[[#This Row],[Promo Price]])/Table1[[#This Row],[Everyday price]]</f>
        <v>#DIV/0!</v>
      </c>
      <c r="AC445" s="69"/>
      <c r="AD445" s="13"/>
      <c r="AH445" s="6"/>
      <c r="AJ445" s="116" t="str">
        <f>IF(AND(ISNUMBER(Table1[[#This Row],[Lift  ]]),ISNUMBER(Table1[[#This Row],[Plan lift, %]]),Table1[[#This Row],[Plan lift, %]]&lt;&gt;0),Table1[[#This Row],[Lift  ]]-Table1[[#This Row],[Plan lift, %]],"")</f>
        <v/>
      </c>
      <c r="AK445" s="116"/>
    </row>
    <row r="446" spans="1:39" x14ac:dyDescent="0.35">
      <c r="A446" t="s">
        <v>295</v>
      </c>
      <c r="B446" s="12">
        <v>1566</v>
      </c>
      <c r="C446" s="21" t="s">
        <v>201</v>
      </c>
      <c r="D446" s="13" t="s">
        <v>1231</v>
      </c>
      <c r="E446" t="s">
        <v>202</v>
      </c>
      <c r="F446" t="s">
        <v>296</v>
      </c>
      <c r="G446" t="s">
        <v>44</v>
      </c>
      <c r="H446" s="1">
        <v>46353</v>
      </c>
      <c r="I446" s="1">
        <v>46356</v>
      </c>
      <c r="J446" s="13" t="s">
        <v>88</v>
      </c>
      <c r="L446" s="2">
        <v>66306.8</v>
      </c>
      <c r="M446" s="2">
        <v>32503.34</v>
      </c>
      <c r="N446" s="2">
        <v>650.05999999999995</v>
      </c>
      <c r="O446" s="2">
        <v>33153.4</v>
      </c>
      <c r="P446" s="3">
        <v>0.02</v>
      </c>
      <c r="Q446" s="3"/>
      <c r="R446" s="2">
        <v>0</v>
      </c>
      <c r="S446" s="3">
        <v>0</v>
      </c>
      <c r="T446" s="2">
        <v>0</v>
      </c>
      <c r="U446" t="s">
        <v>53</v>
      </c>
      <c r="V446" s="13" t="str">
        <f t="shared" si="44"/>
        <v>No</v>
      </c>
      <c r="W446" s="13" t="str">
        <f t="shared" si="44"/>
        <v>No</v>
      </c>
      <c r="X446" s="13" t="str">
        <f t="shared" si="44"/>
        <v>No</v>
      </c>
      <c r="Y446" s="13" t="str">
        <f t="shared" si="44"/>
        <v>Yes</v>
      </c>
      <c r="Z446" s="13" t="str">
        <f t="shared" si="44"/>
        <v>No</v>
      </c>
      <c r="AA446" s="71" t="e">
        <f>+(Table1[[#This Row],[Everyday price]]-Table1[[#This Row],[Promo Price]])/Table1[[#This Row],[Everyday price]]</f>
        <v>#DIV/0!</v>
      </c>
      <c r="AC446" s="69"/>
      <c r="AD446" s="13"/>
      <c r="AH446" s="6"/>
      <c r="AI446" s="11"/>
      <c r="AJ446" s="11" t="str">
        <f>IF(AND(ISNUMBER(Table1[[#This Row],[Lift  ]]),ISNUMBER(Table1[[#This Row],[Plan lift, %]]),Table1[[#This Row],[Plan lift, %]]&lt;&gt;0),Table1[[#This Row],[Lift  ]]-Table1[[#This Row],[Plan lift, %]],"")</f>
        <v/>
      </c>
      <c r="AK446" s="11"/>
      <c r="AL446" s="71"/>
    </row>
    <row r="447" spans="1:39" x14ac:dyDescent="0.35">
      <c r="A447" t="s">
        <v>584</v>
      </c>
      <c r="B447" s="82">
        <v>986</v>
      </c>
      <c r="C447" s="21" t="s">
        <v>21</v>
      </c>
      <c r="D447" s="13" t="s">
        <v>1232</v>
      </c>
      <c r="F447" s="21" t="s">
        <v>585</v>
      </c>
      <c r="G447" t="s">
        <v>23</v>
      </c>
      <c r="H447" s="14">
        <v>46056</v>
      </c>
      <c r="I447" s="14">
        <v>46083</v>
      </c>
      <c r="J447" s="13" t="s">
        <v>24</v>
      </c>
      <c r="L447" s="2">
        <v>5325.96</v>
      </c>
      <c r="M447" s="2">
        <v>5462.54</v>
      </c>
      <c r="N447" s="2">
        <v>2731.26</v>
      </c>
      <c r="O447" s="2">
        <v>8193.7999999999993</v>
      </c>
      <c r="P447" s="3">
        <v>0.5</v>
      </c>
      <c r="Q447" s="3"/>
      <c r="R447" s="2">
        <v>6468.04</v>
      </c>
      <c r="S447" s="3">
        <v>0.46</v>
      </c>
      <c r="T447" s="2">
        <v>20591.28</v>
      </c>
      <c r="U447" s="13" t="s">
        <v>25</v>
      </c>
      <c r="V447" s="13" t="str">
        <f t="shared" si="44"/>
        <v>No</v>
      </c>
      <c r="W447" s="13" t="str">
        <f t="shared" si="44"/>
        <v>Yes</v>
      </c>
      <c r="X447" s="13" t="str">
        <f t="shared" si="44"/>
        <v>No</v>
      </c>
      <c r="Y447" s="13" t="str">
        <f t="shared" si="44"/>
        <v>No</v>
      </c>
      <c r="Z447" s="13" t="str">
        <f t="shared" si="44"/>
        <v>No</v>
      </c>
      <c r="AA447" s="71">
        <f>+(Table1[[#This Row],[Everyday price]]-Table1[[#This Row],[Promo Price]])/Table1[[#This Row],[Everyday price]]</f>
        <v>0.36280487804878048</v>
      </c>
      <c r="AB447" s="69">
        <v>2.09</v>
      </c>
      <c r="AC447" s="69">
        <v>3.28</v>
      </c>
      <c r="AD447" s="41" t="s">
        <v>1361</v>
      </c>
      <c r="AE447" s="5">
        <v>46048</v>
      </c>
      <c r="AF447" s="5">
        <v>46117</v>
      </c>
      <c r="AG447" s="20">
        <v>41745</v>
      </c>
      <c r="AH447" s="6">
        <v>23645</v>
      </c>
      <c r="AI447" s="11">
        <f>Table1[[#This Row],[Incremental Units]]/Table1[[#This Row],[Base Units]]</f>
        <v>0.5664151395376692</v>
      </c>
      <c r="AJ447" s="11">
        <f>IF(AND(ISNUMBER(Table1[[#This Row],[Lift  ]]),ISNUMBER(Table1[[#This Row],[Plan lift, %]]),Table1[[#This Row],[Plan lift, %]]&lt;&gt;0),Table1[[#This Row],[Lift  ]]-Table1[[#This Row],[Plan lift, %]],"")</f>
        <v>6.6415139537669199E-2</v>
      </c>
      <c r="AK447" s="11"/>
      <c r="AL447" s="71" t="s">
        <v>1400</v>
      </c>
    </row>
    <row r="448" spans="1:39" x14ac:dyDescent="0.35">
      <c r="A448" t="s">
        <v>338</v>
      </c>
      <c r="B448" s="82">
        <v>987</v>
      </c>
      <c r="C448" s="21" t="s">
        <v>21</v>
      </c>
      <c r="D448" s="13" t="s">
        <v>1232</v>
      </c>
      <c r="F448" s="21" t="s">
        <v>339</v>
      </c>
      <c r="G448" t="s">
        <v>23</v>
      </c>
      <c r="H448" s="14">
        <v>46135</v>
      </c>
      <c r="I448" s="14">
        <v>46155</v>
      </c>
      <c r="J448" s="13" t="s">
        <v>24</v>
      </c>
      <c r="L448" s="2">
        <v>1746.21</v>
      </c>
      <c r="M448" s="2">
        <v>4477.45</v>
      </c>
      <c r="N448" s="2">
        <v>1343.24</v>
      </c>
      <c r="O448" s="2">
        <v>5820.69</v>
      </c>
      <c r="P448" s="3">
        <v>0.3</v>
      </c>
      <c r="Q448" s="3"/>
      <c r="R448" s="2">
        <v>3012.76</v>
      </c>
      <c r="S448" s="3">
        <v>0.31</v>
      </c>
      <c r="T448" s="2">
        <v>12616.85</v>
      </c>
      <c r="U448" s="13" t="s">
        <v>25</v>
      </c>
      <c r="V448" s="13" t="str">
        <f t="shared" si="44"/>
        <v>No</v>
      </c>
      <c r="W448" s="13" t="str">
        <f t="shared" si="44"/>
        <v>Yes</v>
      </c>
      <c r="X448" s="13" t="str">
        <f t="shared" si="44"/>
        <v>No</v>
      </c>
      <c r="Y448" s="13" t="str">
        <f t="shared" si="44"/>
        <v>No</v>
      </c>
      <c r="Z448" s="13" t="str">
        <f t="shared" si="44"/>
        <v>No</v>
      </c>
      <c r="AA448" s="71">
        <f>+(Table1[[#This Row],[Everyday price]]-Table1[[#This Row],[Promo Price]])/Table1[[#This Row],[Everyday price]]</f>
        <v>0.23270440251572333</v>
      </c>
      <c r="AB448" s="69">
        <v>2.44</v>
      </c>
      <c r="AC448" s="69">
        <v>3.18</v>
      </c>
      <c r="AD448" s="41" t="s">
        <v>1361</v>
      </c>
      <c r="AE448" s="5">
        <v>46139</v>
      </c>
      <c r="AF448" s="5">
        <v>46159</v>
      </c>
      <c r="AG448" s="20">
        <v>7412</v>
      </c>
      <c r="AH448" s="6">
        <v>3159</v>
      </c>
      <c r="AI448" s="11">
        <f>Table1[[#This Row],[Incremental Units]]/Table1[[#This Row],[Base Units]]</f>
        <v>0.42620075553157044</v>
      </c>
      <c r="AJ448" s="11">
        <f>IF(AND(ISNUMBER(Table1[[#This Row],[Lift  ]]),ISNUMBER(Table1[[#This Row],[Plan lift, %]]),Table1[[#This Row],[Plan lift, %]]&lt;&gt;0),Table1[[#This Row],[Lift  ]]-Table1[[#This Row],[Plan lift, %]],"")</f>
        <v>0.12620075553157045</v>
      </c>
      <c r="AK448" s="11"/>
      <c r="AL448" s="71" t="s">
        <v>1400</v>
      </c>
    </row>
    <row r="449" spans="1:39" x14ac:dyDescent="0.35">
      <c r="A449" t="s">
        <v>1144</v>
      </c>
      <c r="B449" s="105">
        <v>990</v>
      </c>
      <c r="C449" s="21" t="s">
        <v>21</v>
      </c>
      <c r="D449" s="13" t="s">
        <v>1232</v>
      </c>
      <c r="F449" s="21" t="s">
        <v>1145</v>
      </c>
      <c r="G449" t="s">
        <v>23</v>
      </c>
      <c r="H449" s="14">
        <v>46143</v>
      </c>
      <c r="I449" s="14">
        <v>46173</v>
      </c>
      <c r="J449" s="13" t="s">
        <v>29</v>
      </c>
      <c r="L449" s="2">
        <v>2311.71</v>
      </c>
      <c r="M449" s="2">
        <v>1926.42</v>
      </c>
      <c r="N449" s="2">
        <v>385.29</v>
      </c>
      <c r="O449" s="2">
        <v>2311.71</v>
      </c>
      <c r="P449" s="3">
        <v>0.2</v>
      </c>
      <c r="Q449" s="3"/>
      <c r="R449" s="2">
        <v>0</v>
      </c>
      <c r="S449" s="3">
        <v>0</v>
      </c>
      <c r="T449" s="2">
        <v>0</v>
      </c>
      <c r="U449" s="13" t="s">
        <v>25</v>
      </c>
      <c r="V449" s="13" t="str">
        <f t="shared" si="44"/>
        <v>No</v>
      </c>
      <c r="W449" s="13" t="str">
        <f t="shared" si="44"/>
        <v>Yes</v>
      </c>
      <c r="X449" s="13" t="str">
        <f t="shared" si="44"/>
        <v>No</v>
      </c>
      <c r="Y449" s="13" t="str">
        <f t="shared" si="44"/>
        <v>No</v>
      </c>
      <c r="Z449" s="13" t="str">
        <f t="shared" si="44"/>
        <v>No</v>
      </c>
      <c r="AA449" s="71" t="e">
        <f>+(Table1[[#This Row],[Everyday price]]-Table1[[#This Row],[Promo Price]])/Table1[[#This Row],[Everyday price]]</f>
        <v>#DIV/0!</v>
      </c>
      <c r="AC449" s="69"/>
      <c r="AH449" s="6"/>
      <c r="AJ449" s="116" t="str">
        <f>IF(AND(ISNUMBER(Table1[[#This Row],[Lift  ]]),ISNUMBER(Table1[[#This Row],[Plan lift, %]]),Table1[[#This Row],[Plan lift, %]]&lt;&gt;0),Table1[[#This Row],[Lift  ]]-Table1[[#This Row],[Plan lift, %]],"")</f>
        <v/>
      </c>
      <c r="AK449" s="116"/>
    </row>
    <row r="450" spans="1:39" ht="29" x14ac:dyDescent="0.35">
      <c r="A450" t="s">
        <v>374</v>
      </c>
      <c r="B450" s="82">
        <v>1032</v>
      </c>
      <c r="C450" s="21" t="s">
        <v>21</v>
      </c>
      <c r="D450" s="13" t="s">
        <v>1232</v>
      </c>
      <c r="F450" s="21" t="s">
        <v>375</v>
      </c>
      <c r="G450" t="s">
        <v>23</v>
      </c>
      <c r="H450" s="14">
        <v>46163</v>
      </c>
      <c r="I450" s="14">
        <v>46176</v>
      </c>
      <c r="J450" s="13" t="s">
        <v>24</v>
      </c>
      <c r="L450" s="2">
        <v>455.07</v>
      </c>
      <c r="M450" s="2">
        <v>2889.35</v>
      </c>
      <c r="N450" s="2">
        <v>144.47</v>
      </c>
      <c r="O450" s="2">
        <v>3033.82</v>
      </c>
      <c r="P450" s="3">
        <v>0.05</v>
      </c>
      <c r="Q450" s="3"/>
      <c r="R450" s="2">
        <v>364.26</v>
      </c>
      <c r="S450" s="3">
        <v>7.0000000000000007E-2</v>
      </c>
      <c r="T450" s="2">
        <v>5937.57</v>
      </c>
      <c r="U450" s="13" t="s">
        <v>53</v>
      </c>
      <c r="V450" s="13" t="str">
        <f t="shared" si="44"/>
        <v>No</v>
      </c>
      <c r="W450" s="13" t="str">
        <f t="shared" si="44"/>
        <v>No</v>
      </c>
      <c r="X450" s="13" t="str">
        <f t="shared" si="44"/>
        <v>No</v>
      </c>
      <c r="Y450" s="13" t="str">
        <f t="shared" si="44"/>
        <v>Yes</v>
      </c>
      <c r="Z450" s="13" t="str">
        <f t="shared" si="44"/>
        <v>No</v>
      </c>
      <c r="AA450" s="71">
        <f>+(Table1[[#This Row],[Everyday price]]-Table1[[#This Row],[Promo Price]])/Table1[[#This Row],[Everyday price]]</f>
        <v>0.3115264797507788</v>
      </c>
      <c r="AB450" s="69">
        <v>2.21</v>
      </c>
      <c r="AC450" s="69">
        <v>3.21</v>
      </c>
      <c r="AD450" s="41" t="s">
        <v>1257</v>
      </c>
      <c r="AE450" s="5">
        <v>46160</v>
      </c>
      <c r="AF450" s="5">
        <v>46173</v>
      </c>
      <c r="AG450" s="20">
        <v>4517</v>
      </c>
      <c r="AH450" s="6">
        <v>527</v>
      </c>
      <c r="AI450" s="11">
        <f>Table1[[#This Row],[Incremental Units]]/Table1[[#This Row],[Base Units]]</f>
        <v>0.11667035643125968</v>
      </c>
      <c r="AJ450" s="11">
        <f>IF(AND(ISNUMBER(Table1[[#This Row],[Lift  ]]),ISNUMBER(Table1[[#This Row],[Plan lift, %]]),Table1[[#This Row],[Plan lift, %]]&lt;&gt;0),Table1[[#This Row],[Lift  ]]-Table1[[#This Row],[Plan lift, %]],"")</f>
        <v>6.6670356431259681E-2</v>
      </c>
      <c r="AK450" s="11"/>
      <c r="AL450" s="71" t="s">
        <v>1400</v>
      </c>
      <c r="AM450" s="107" t="s">
        <v>1362</v>
      </c>
    </row>
    <row r="451" spans="1:39" x14ac:dyDescent="0.35">
      <c r="A451" t="s">
        <v>749</v>
      </c>
      <c r="B451" s="105">
        <v>991</v>
      </c>
      <c r="C451" s="21" t="s">
        <v>21</v>
      </c>
      <c r="D451" s="13" t="s">
        <v>1232</v>
      </c>
      <c r="F451" s="21" t="s">
        <v>750</v>
      </c>
      <c r="G451" t="s">
        <v>23</v>
      </c>
      <c r="H451" s="14">
        <v>46174</v>
      </c>
      <c r="I451" s="14">
        <v>46203</v>
      </c>
      <c r="J451" s="13" t="s">
        <v>29</v>
      </c>
      <c r="L451" s="2">
        <v>2237.16</v>
      </c>
      <c r="M451" s="2">
        <v>1864.29</v>
      </c>
      <c r="N451" s="2">
        <v>372.87</v>
      </c>
      <c r="O451" s="2">
        <v>2237.16</v>
      </c>
      <c r="P451" s="3">
        <v>0.2</v>
      </c>
      <c r="Q451" s="3"/>
      <c r="R451" s="2">
        <v>0</v>
      </c>
      <c r="S451" s="3">
        <v>0</v>
      </c>
      <c r="T451" s="2">
        <v>0</v>
      </c>
      <c r="U451" s="13" t="s">
        <v>25</v>
      </c>
      <c r="V451" s="13" t="str">
        <f t="shared" si="44"/>
        <v>No</v>
      </c>
      <c r="W451" s="13" t="str">
        <f t="shared" si="44"/>
        <v>Yes</v>
      </c>
      <c r="X451" s="13" t="str">
        <f t="shared" si="44"/>
        <v>No</v>
      </c>
      <c r="Y451" s="13" t="str">
        <f t="shared" si="44"/>
        <v>No</v>
      </c>
      <c r="Z451" s="13" t="str">
        <f t="shared" si="44"/>
        <v>No</v>
      </c>
      <c r="AA451" s="71" t="e">
        <f>+(Table1[[#This Row],[Everyday price]]-Table1[[#This Row],[Promo Price]])/Table1[[#This Row],[Everyday price]]</f>
        <v>#DIV/0!</v>
      </c>
      <c r="AC451" s="69"/>
      <c r="AE451" s="5"/>
      <c r="AF451" s="5"/>
      <c r="AH451" s="6"/>
      <c r="AJ451" s="116" t="str">
        <f>IF(AND(ISNUMBER(Table1[[#This Row],[Lift  ]]),ISNUMBER(Table1[[#This Row],[Plan lift, %]]),Table1[[#This Row],[Plan lift, %]]&lt;&gt;0),Table1[[#This Row],[Lift  ]]-Table1[[#This Row],[Plan lift, %]],"")</f>
        <v/>
      </c>
      <c r="AK451" s="116"/>
    </row>
    <row r="452" spans="1:39" x14ac:dyDescent="0.35">
      <c r="A452" t="s">
        <v>20</v>
      </c>
      <c r="B452" s="12">
        <v>988</v>
      </c>
      <c r="C452" s="21" t="s">
        <v>21</v>
      </c>
      <c r="D452" s="13" t="s">
        <v>1232</v>
      </c>
      <c r="F452" s="21" t="s">
        <v>22</v>
      </c>
      <c r="G452" t="s">
        <v>23</v>
      </c>
      <c r="H452" s="14">
        <v>46196</v>
      </c>
      <c r="I452" s="14">
        <v>46230</v>
      </c>
      <c r="J452" s="13" t="s">
        <v>24</v>
      </c>
      <c r="L452" s="2">
        <v>2712.07</v>
      </c>
      <c r="M452" s="2">
        <v>6954.04</v>
      </c>
      <c r="N452" s="2">
        <v>2086.1999999999998</v>
      </c>
      <c r="O452" s="2">
        <v>9040.24</v>
      </c>
      <c r="P452" s="3">
        <v>0.3</v>
      </c>
      <c r="Q452" s="3"/>
      <c r="R452" s="2">
        <v>623.26</v>
      </c>
      <c r="S452" s="3">
        <v>0.3</v>
      </c>
      <c r="T452" s="2">
        <v>2731.43</v>
      </c>
      <c r="U452" s="13" t="s">
        <v>25</v>
      </c>
      <c r="V452" s="13" t="str">
        <f t="shared" ref="V452:Z461" si="45">IF(ISNUMBER(SEARCH(V$1,$U452)),"Yes","No")</f>
        <v>No</v>
      </c>
      <c r="W452" s="13" t="str">
        <f t="shared" si="45"/>
        <v>Yes</v>
      </c>
      <c r="X452" s="13" t="str">
        <f t="shared" si="45"/>
        <v>No</v>
      </c>
      <c r="Y452" s="13" t="str">
        <f t="shared" si="45"/>
        <v>No</v>
      </c>
      <c r="Z452" s="13" t="str">
        <f t="shared" si="45"/>
        <v>No</v>
      </c>
      <c r="AA452" s="71" t="e">
        <f>+(Table1[[#This Row],[Everyday price]]-Table1[[#This Row],[Promo Price]])/Table1[[#This Row],[Everyday price]]</f>
        <v>#DIV/0!</v>
      </c>
      <c r="AC452" s="69"/>
      <c r="AH452" s="6"/>
      <c r="AJ452" s="116" t="str">
        <f>IF(AND(ISNUMBER(Table1[[#This Row],[Lift  ]]),ISNUMBER(Table1[[#This Row],[Plan lift, %]]),Table1[[#This Row],[Plan lift, %]]&lt;&gt;0),Table1[[#This Row],[Lift  ]]-Table1[[#This Row],[Plan lift, %]],"")</f>
        <v/>
      </c>
      <c r="AK452" s="116"/>
    </row>
    <row r="453" spans="1:39" x14ac:dyDescent="0.35">
      <c r="A453" t="s">
        <v>220</v>
      </c>
      <c r="B453" s="12">
        <v>992</v>
      </c>
      <c r="C453" s="21" t="s">
        <v>21</v>
      </c>
      <c r="D453" s="13" t="s">
        <v>1232</v>
      </c>
      <c r="F453" s="21" t="s">
        <v>221</v>
      </c>
      <c r="G453" t="s">
        <v>44</v>
      </c>
      <c r="H453" s="14">
        <v>46266</v>
      </c>
      <c r="I453" s="14">
        <v>46295</v>
      </c>
      <c r="J453" s="13" t="s">
        <v>29</v>
      </c>
      <c r="L453" s="2">
        <v>2237.16</v>
      </c>
      <c r="M453" s="2">
        <v>1864.29</v>
      </c>
      <c r="N453" s="2">
        <v>372.87</v>
      </c>
      <c r="O453" s="2">
        <v>2237.16</v>
      </c>
      <c r="P453" s="3">
        <v>0.2</v>
      </c>
      <c r="Q453" s="3"/>
      <c r="R453" s="2">
        <v>0</v>
      </c>
      <c r="S453" s="3">
        <v>0</v>
      </c>
      <c r="T453" s="2">
        <v>0</v>
      </c>
      <c r="U453" s="13" t="s">
        <v>25</v>
      </c>
      <c r="V453" s="13" t="str">
        <f t="shared" si="45"/>
        <v>No</v>
      </c>
      <c r="W453" s="13" t="str">
        <f t="shared" si="45"/>
        <v>Yes</v>
      </c>
      <c r="X453" s="13" t="str">
        <f t="shared" si="45"/>
        <v>No</v>
      </c>
      <c r="Y453" s="13" t="str">
        <f t="shared" si="45"/>
        <v>No</v>
      </c>
      <c r="Z453" s="13" t="str">
        <f t="shared" si="45"/>
        <v>No</v>
      </c>
      <c r="AA453" s="71" t="e">
        <f>+(Table1[[#This Row],[Everyday price]]-Table1[[#This Row],[Promo Price]])/Table1[[#This Row],[Everyday price]]</f>
        <v>#DIV/0!</v>
      </c>
      <c r="AC453" s="69"/>
      <c r="AH453" s="6"/>
      <c r="AJ453" s="116" t="str">
        <f>IF(AND(ISNUMBER(Table1[[#This Row],[Lift  ]]),ISNUMBER(Table1[[#This Row],[Plan lift, %]]),Table1[[#This Row],[Plan lift, %]]&lt;&gt;0),Table1[[#This Row],[Lift  ]]-Table1[[#This Row],[Plan lift, %]],"")</f>
        <v/>
      </c>
      <c r="AK453" s="116"/>
    </row>
    <row r="454" spans="1:39" x14ac:dyDescent="0.35">
      <c r="A454" t="s">
        <v>615</v>
      </c>
      <c r="B454" s="12">
        <v>1033</v>
      </c>
      <c r="C454" s="21" t="s">
        <v>21</v>
      </c>
      <c r="D454" s="13" t="s">
        <v>1232</v>
      </c>
      <c r="F454" s="21" t="s">
        <v>616</v>
      </c>
      <c r="G454" t="s">
        <v>44</v>
      </c>
      <c r="H454" s="14">
        <v>46275</v>
      </c>
      <c r="I454" s="14">
        <v>46288</v>
      </c>
      <c r="J454" s="13" t="s">
        <v>24</v>
      </c>
      <c r="L454" s="2">
        <v>370.24</v>
      </c>
      <c r="M454" s="2">
        <v>2350.6799999999998</v>
      </c>
      <c r="N454" s="2">
        <v>117.54</v>
      </c>
      <c r="O454" s="2">
        <v>2468.2199999999998</v>
      </c>
      <c r="P454" s="3">
        <v>0.05</v>
      </c>
      <c r="Q454" s="3"/>
      <c r="R454" s="2">
        <v>0</v>
      </c>
      <c r="S454" s="3">
        <v>0</v>
      </c>
      <c r="T454" s="2">
        <v>0</v>
      </c>
      <c r="U454" s="13" t="s">
        <v>53</v>
      </c>
      <c r="V454" s="13" t="str">
        <f t="shared" si="45"/>
        <v>No</v>
      </c>
      <c r="W454" s="13" t="str">
        <f t="shared" si="45"/>
        <v>No</v>
      </c>
      <c r="X454" s="13" t="str">
        <f t="shared" si="45"/>
        <v>No</v>
      </c>
      <c r="Y454" s="13" t="str">
        <f t="shared" si="45"/>
        <v>Yes</v>
      </c>
      <c r="Z454" s="13" t="str">
        <f t="shared" si="45"/>
        <v>No</v>
      </c>
      <c r="AA454" s="71" t="e">
        <f>+(Table1[[#This Row],[Everyday price]]-Table1[[#This Row],[Promo Price]])/Table1[[#This Row],[Everyday price]]</f>
        <v>#DIV/0!</v>
      </c>
      <c r="AC454" s="69"/>
      <c r="AH454" s="6"/>
      <c r="AJ454" s="116" t="str">
        <f>IF(AND(ISNUMBER(Table1[[#This Row],[Lift  ]]),ISNUMBER(Table1[[#This Row],[Plan lift, %]]),Table1[[#This Row],[Plan lift, %]]&lt;&gt;0),Table1[[#This Row],[Lift  ]]-Table1[[#This Row],[Plan lift, %]],"")</f>
        <v/>
      </c>
      <c r="AK454" s="116"/>
    </row>
    <row r="455" spans="1:39" x14ac:dyDescent="0.35">
      <c r="A455" t="s">
        <v>73</v>
      </c>
      <c r="B455" s="12">
        <v>989</v>
      </c>
      <c r="C455" s="21" t="s">
        <v>21</v>
      </c>
      <c r="D455" s="13" t="s">
        <v>1232</v>
      </c>
      <c r="F455" s="21" t="s">
        <v>74</v>
      </c>
      <c r="G455" t="s">
        <v>44</v>
      </c>
      <c r="H455" s="14">
        <v>46287</v>
      </c>
      <c r="I455" s="14">
        <v>46321</v>
      </c>
      <c r="J455" s="13" t="s">
        <v>24</v>
      </c>
      <c r="L455" s="2">
        <v>3525.69</v>
      </c>
      <c r="M455" s="2">
        <v>6954.04</v>
      </c>
      <c r="N455" s="2">
        <v>2086.1999999999998</v>
      </c>
      <c r="O455" s="2">
        <v>9040.24</v>
      </c>
      <c r="P455" s="3">
        <v>0.3</v>
      </c>
      <c r="Q455" s="3"/>
      <c r="R455" s="2">
        <v>0</v>
      </c>
      <c r="S455" s="3">
        <v>0</v>
      </c>
      <c r="T455" s="2">
        <v>0</v>
      </c>
      <c r="U455" s="13" t="s">
        <v>25</v>
      </c>
      <c r="V455" s="13" t="str">
        <f t="shared" si="45"/>
        <v>No</v>
      </c>
      <c r="W455" s="13" t="str">
        <f t="shared" si="45"/>
        <v>Yes</v>
      </c>
      <c r="X455" s="13" t="str">
        <f t="shared" si="45"/>
        <v>No</v>
      </c>
      <c r="Y455" s="13" t="str">
        <f t="shared" si="45"/>
        <v>No</v>
      </c>
      <c r="Z455" s="13" t="str">
        <f t="shared" si="45"/>
        <v>No</v>
      </c>
      <c r="AA455" s="71" t="e">
        <f>+(Table1[[#This Row],[Everyday price]]-Table1[[#This Row],[Promo Price]])/Table1[[#This Row],[Everyday price]]</f>
        <v>#DIV/0!</v>
      </c>
      <c r="AC455" s="69"/>
      <c r="AH455" s="6"/>
      <c r="AJ455" s="116" t="str">
        <f>IF(AND(ISNUMBER(Table1[[#This Row],[Lift  ]]),ISNUMBER(Table1[[#This Row],[Plan lift, %]]),Table1[[#This Row],[Plan lift, %]]&lt;&gt;0),Table1[[#This Row],[Lift  ]]-Table1[[#This Row],[Plan lift, %]],"")</f>
        <v/>
      </c>
      <c r="AK455" s="116"/>
    </row>
    <row r="456" spans="1:39" x14ac:dyDescent="0.35">
      <c r="A456" t="s">
        <v>131</v>
      </c>
      <c r="B456" s="82">
        <v>1306</v>
      </c>
      <c r="C456" s="21" t="s">
        <v>100</v>
      </c>
      <c r="D456" s="13" t="s">
        <v>1232</v>
      </c>
      <c r="F456" s="21" t="s">
        <v>132</v>
      </c>
      <c r="G456" t="s">
        <v>23</v>
      </c>
      <c r="H456" s="14">
        <v>46023</v>
      </c>
      <c r="I456" s="14">
        <v>46053</v>
      </c>
      <c r="J456" s="13" t="s">
        <v>24</v>
      </c>
      <c r="L456" s="2">
        <v>7175.47</v>
      </c>
      <c r="M456" s="2">
        <v>12813.36</v>
      </c>
      <c r="N456" s="2">
        <v>5125.34</v>
      </c>
      <c r="O456" s="2">
        <v>17938.7</v>
      </c>
      <c r="P456" s="3">
        <v>0.4</v>
      </c>
      <c r="Q456" s="3"/>
      <c r="R456" s="2">
        <v>8602.09</v>
      </c>
      <c r="S456" s="3">
        <v>0.83</v>
      </c>
      <c r="T456" s="2">
        <v>18978.82</v>
      </c>
      <c r="U456" s="13" t="s">
        <v>25</v>
      </c>
      <c r="V456" s="13" t="str">
        <f t="shared" si="45"/>
        <v>No</v>
      </c>
      <c r="W456" s="13" t="str">
        <f t="shared" si="45"/>
        <v>Yes</v>
      </c>
      <c r="X456" s="13" t="str">
        <f t="shared" si="45"/>
        <v>No</v>
      </c>
      <c r="Y456" s="13" t="str">
        <f t="shared" si="45"/>
        <v>No</v>
      </c>
      <c r="Z456" s="13" t="str">
        <f t="shared" si="45"/>
        <v>No</v>
      </c>
      <c r="AA456" s="71">
        <f>+(Table1[[#This Row],[Everyday price]]-Table1[[#This Row],[Promo Price]])/Table1[[#This Row],[Everyday price]]</f>
        <v>0.30000000000000004</v>
      </c>
      <c r="AB456" s="69">
        <v>2.0299999999999998</v>
      </c>
      <c r="AC456" s="69">
        <v>2.9</v>
      </c>
      <c r="AD456" s="40" t="s">
        <v>1257</v>
      </c>
      <c r="AE456" s="5">
        <v>46020</v>
      </c>
      <c r="AF456" s="5">
        <v>46037</v>
      </c>
      <c r="AG456" s="20">
        <v>9374</v>
      </c>
      <c r="AH456" s="6">
        <v>8698</v>
      </c>
      <c r="AI456" s="11">
        <f>Table1[[#This Row],[Incremental Units]]/Table1[[#This Row],[Base Units]]</f>
        <v>0.92788564113505445</v>
      </c>
      <c r="AJ456" s="11">
        <f>IF(AND(ISNUMBER(Table1[[#This Row],[Lift  ]]),ISNUMBER(Table1[[#This Row],[Plan lift, %]]),Table1[[#This Row],[Plan lift, %]]&lt;&gt;0),Table1[[#This Row],[Lift  ]]-Table1[[#This Row],[Plan lift, %]],"")</f>
        <v>0.52788564113505443</v>
      </c>
      <c r="AK456" s="11"/>
      <c r="AL456" s="71" t="s">
        <v>1400</v>
      </c>
      <c r="AM456" s="4" t="s">
        <v>1365</v>
      </c>
    </row>
    <row r="457" spans="1:39" x14ac:dyDescent="0.35">
      <c r="A457" t="s">
        <v>958</v>
      </c>
      <c r="B457" s="82">
        <v>1313</v>
      </c>
      <c r="C457" s="21" t="s">
        <v>100</v>
      </c>
      <c r="D457" s="13" t="s">
        <v>1232</v>
      </c>
      <c r="F457" s="21" t="s">
        <v>959</v>
      </c>
      <c r="G457" t="s">
        <v>23</v>
      </c>
      <c r="H457" s="14">
        <v>46054</v>
      </c>
      <c r="I457" s="14">
        <v>46081</v>
      </c>
      <c r="J457" s="13" t="s">
        <v>29</v>
      </c>
      <c r="L457" s="2">
        <v>1601.28</v>
      </c>
      <c r="M457" s="2">
        <v>3335.99</v>
      </c>
      <c r="N457" s="2">
        <v>667.21</v>
      </c>
      <c r="O457" s="2">
        <v>4003.2</v>
      </c>
      <c r="P457" s="3">
        <v>0.2</v>
      </c>
      <c r="Q457" s="3"/>
      <c r="R457" s="2">
        <v>305.64</v>
      </c>
      <c r="S457" s="3">
        <v>0.12</v>
      </c>
      <c r="T457" s="2">
        <v>2918.75</v>
      </c>
      <c r="U457" s="13" t="s">
        <v>25</v>
      </c>
      <c r="V457" s="13" t="str">
        <f t="shared" si="45"/>
        <v>No</v>
      </c>
      <c r="W457" s="13" t="str">
        <f t="shared" si="45"/>
        <v>Yes</v>
      </c>
      <c r="X457" s="13" t="str">
        <f t="shared" si="45"/>
        <v>No</v>
      </c>
      <c r="Y457" s="13" t="str">
        <f t="shared" si="45"/>
        <v>No</v>
      </c>
      <c r="Z457" s="13" t="str">
        <f t="shared" si="45"/>
        <v>No</v>
      </c>
      <c r="AA457" s="71">
        <f>+(Table1[[#This Row],[Everyday price]]-Table1[[#This Row],[Promo Price]])/Table1[[#This Row],[Everyday price]]</f>
        <v>0.12825278810408913</v>
      </c>
      <c r="AB457" s="69">
        <v>9.3800000000000008</v>
      </c>
      <c r="AC457" s="69">
        <v>10.76</v>
      </c>
      <c r="AD457" s="40" t="s">
        <v>1257</v>
      </c>
      <c r="AE457" s="5">
        <v>46048</v>
      </c>
      <c r="AF457" s="5">
        <v>46061</v>
      </c>
      <c r="AG457" s="20">
        <v>1753</v>
      </c>
      <c r="AH457" s="6">
        <v>769</v>
      </c>
      <c r="AI457" s="11">
        <f>Table1[[#This Row],[Incremental Units]]/Table1[[#This Row],[Base Units]]</f>
        <v>0.43867655447803766</v>
      </c>
      <c r="AJ457" s="11">
        <f>IF(AND(ISNUMBER(Table1[[#This Row],[Lift  ]]),ISNUMBER(Table1[[#This Row],[Plan lift, %]]),Table1[[#This Row],[Plan lift, %]]&lt;&gt;0),Table1[[#This Row],[Lift  ]]-Table1[[#This Row],[Plan lift, %]],"")</f>
        <v>0.23867655447803765</v>
      </c>
      <c r="AK457" s="11"/>
      <c r="AL457" s="71" t="s">
        <v>1400</v>
      </c>
    </row>
    <row r="458" spans="1:39" x14ac:dyDescent="0.35">
      <c r="A458" t="s">
        <v>1091</v>
      </c>
      <c r="B458" s="82">
        <v>1307</v>
      </c>
      <c r="C458" s="21" t="s">
        <v>100</v>
      </c>
      <c r="D458" s="13" t="s">
        <v>1232</v>
      </c>
      <c r="F458" s="21" t="s">
        <v>1092</v>
      </c>
      <c r="G458" t="s">
        <v>23</v>
      </c>
      <c r="H458" s="14">
        <v>46082</v>
      </c>
      <c r="I458" s="14">
        <v>46095</v>
      </c>
      <c r="J458" s="13" t="s">
        <v>24</v>
      </c>
      <c r="L458" s="2">
        <v>677.71</v>
      </c>
      <c r="M458" s="2">
        <v>5020.1000000000004</v>
      </c>
      <c r="N458" s="2">
        <v>1757.04</v>
      </c>
      <c r="O458" s="2">
        <v>6777.14</v>
      </c>
      <c r="P458" s="3">
        <v>0.35</v>
      </c>
      <c r="Q458" s="3"/>
      <c r="R458" s="2">
        <v>1976.69</v>
      </c>
      <c r="S458" s="3">
        <v>0.48</v>
      </c>
      <c r="T458" s="2">
        <v>6087.44</v>
      </c>
      <c r="U458" s="13" t="s">
        <v>25</v>
      </c>
      <c r="V458" s="13" t="str">
        <f t="shared" si="45"/>
        <v>No</v>
      </c>
      <c r="W458" s="13" t="str">
        <f t="shared" si="45"/>
        <v>Yes</v>
      </c>
      <c r="X458" s="13" t="str">
        <f t="shared" si="45"/>
        <v>No</v>
      </c>
      <c r="Y458" s="13" t="str">
        <f t="shared" si="45"/>
        <v>No</v>
      </c>
      <c r="Z458" s="13" t="str">
        <f t="shared" si="45"/>
        <v>No</v>
      </c>
      <c r="AA458" s="71">
        <f>+(Table1[[#This Row],[Everyday price]]-Table1[[#This Row],[Promo Price]])/Table1[[#This Row],[Everyday price]]</f>
        <v>0.12802768166089967</v>
      </c>
      <c r="AB458" s="69">
        <v>2.52</v>
      </c>
      <c r="AC458" s="69">
        <v>2.89</v>
      </c>
      <c r="AD458" s="40" t="s">
        <v>1257</v>
      </c>
      <c r="AE458" s="5">
        <v>46083</v>
      </c>
      <c r="AF458" s="76">
        <v>46096</v>
      </c>
      <c r="AG458" s="20">
        <v>3388</v>
      </c>
      <c r="AH458" s="6">
        <v>2011</v>
      </c>
      <c r="AI458" s="11">
        <f>Table1[[#This Row],[Incremental Units]]/Table1[[#This Row],[Base Units]]</f>
        <v>0.59356552538370722</v>
      </c>
      <c r="AJ458" s="11">
        <f>IF(AND(ISNUMBER(Table1[[#This Row],[Lift  ]]),ISNUMBER(Table1[[#This Row],[Plan lift, %]]),Table1[[#This Row],[Plan lift, %]]&lt;&gt;0),Table1[[#This Row],[Lift  ]]-Table1[[#This Row],[Plan lift, %]],"")</f>
        <v>0.24356552538370724</v>
      </c>
      <c r="AK458" s="11"/>
      <c r="AL458" s="71" t="s">
        <v>1400</v>
      </c>
    </row>
    <row r="459" spans="1:39" x14ac:dyDescent="0.35">
      <c r="A459" t="s">
        <v>166</v>
      </c>
      <c r="B459" s="82">
        <v>1308</v>
      </c>
      <c r="C459" s="21" t="s">
        <v>100</v>
      </c>
      <c r="D459" s="13" t="s">
        <v>1232</v>
      </c>
      <c r="F459" s="21" t="s">
        <v>167</v>
      </c>
      <c r="G459" t="s">
        <v>23</v>
      </c>
      <c r="H459" s="14">
        <v>46113</v>
      </c>
      <c r="I459" s="14">
        <v>46126</v>
      </c>
      <c r="J459" s="13" t="s">
        <v>24</v>
      </c>
      <c r="L459" s="2">
        <v>3161.05</v>
      </c>
      <c r="M459" s="2">
        <v>5644.77</v>
      </c>
      <c r="N459" s="2">
        <v>2257.92</v>
      </c>
      <c r="O459" s="2">
        <v>7902.69</v>
      </c>
      <c r="P459" s="3">
        <v>0.4</v>
      </c>
      <c r="Q459" s="3"/>
      <c r="R459" s="2">
        <v>14.46</v>
      </c>
      <c r="S459" s="3">
        <v>0</v>
      </c>
      <c r="T459" s="2">
        <v>3771.3099999999995</v>
      </c>
      <c r="U459" s="13" t="s">
        <v>25</v>
      </c>
      <c r="V459" s="13" t="str">
        <f t="shared" si="45"/>
        <v>No</v>
      </c>
      <c r="W459" s="13" t="str">
        <f t="shared" si="45"/>
        <v>Yes</v>
      </c>
      <c r="X459" s="13" t="str">
        <f t="shared" si="45"/>
        <v>No</v>
      </c>
      <c r="Y459" s="13" t="str">
        <f t="shared" si="45"/>
        <v>No</v>
      </c>
      <c r="Z459" s="13" t="str">
        <f t="shared" si="45"/>
        <v>No</v>
      </c>
      <c r="AA459" s="71">
        <f>+(Table1[[#This Row],[Everyday price]]-Table1[[#This Row],[Promo Price]])/Table1[[#This Row],[Everyday price]]</f>
        <v>0.13058419243986266</v>
      </c>
      <c r="AB459" s="69">
        <v>2.5299999999999998</v>
      </c>
      <c r="AC459" s="69">
        <v>2.91</v>
      </c>
      <c r="AD459" s="40" t="s">
        <v>1257</v>
      </c>
      <c r="AE459" s="5">
        <v>46132</v>
      </c>
      <c r="AF459" s="5">
        <v>46145</v>
      </c>
      <c r="AG459" s="20">
        <v>3004</v>
      </c>
      <c r="AH459" s="6">
        <v>1691</v>
      </c>
      <c r="AI459" s="11">
        <f>Table1[[#This Row],[Incremental Units]]/Table1[[#This Row],[Base Units]]</f>
        <v>0.56291611185086554</v>
      </c>
      <c r="AJ459" s="11">
        <f>IF(AND(ISNUMBER(Table1[[#This Row],[Lift  ]]),ISNUMBER(Table1[[#This Row],[Plan lift, %]]),Table1[[#This Row],[Plan lift, %]]&lt;&gt;0),Table1[[#This Row],[Lift  ]]-Table1[[#This Row],[Plan lift, %]],"")</f>
        <v>0.16291611185086552</v>
      </c>
      <c r="AK459" s="11"/>
      <c r="AL459" s="71" t="s">
        <v>1400</v>
      </c>
    </row>
    <row r="460" spans="1:39" x14ac:dyDescent="0.35">
      <c r="A460" t="s">
        <v>564</v>
      </c>
      <c r="B460" s="82">
        <v>1314</v>
      </c>
      <c r="C460" s="21" t="s">
        <v>100</v>
      </c>
      <c r="D460" s="13" t="s">
        <v>1232</v>
      </c>
      <c r="F460" s="21" t="s">
        <v>565</v>
      </c>
      <c r="G460" t="s">
        <v>23</v>
      </c>
      <c r="H460" s="14">
        <v>46113</v>
      </c>
      <c r="I460" s="14">
        <v>46126</v>
      </c>
      <c r="J460" s="13" t="s">
        <v>29</v>
      </c>
      <c r="L460" s="2">
        <v>901.86</v>
      </c>
      <c r="M460" s="2">
        <v>1670.12</v>
      </c>
      <c r="N460" s="2">
        <v>584.54</v>
      </c>
      <c r="O460" s="2">
        <v>2254.66</v>
      </c>
      <c r="P460" s="3">
        <v>0.35</v>
      </c>
      <c r="Q460" s="3"/>
      <c r="R460" s="2">
        <v>704.91</v>
      </c>
      <c r="S460" s="3">
        <v>0.54</v>
      </c>
      <c r="T460" s="2">
        <v>2010.44</v>
      </c>
      <c r="U460" s="13" t="s">
        <v>25</v>
      </c>
      <c r="V460" s="13" t="str">
        <f t="shared" si="45"/>
        <v>No</v>
      </c>
      <c r="W460" s="13" t="str">
        <f t="shared" si="45"/>
        <v>Yes</v>
      </c>
      <c r="X460" s="13" t="str">
        <f t="shared" si="45"/>
        <v>No</v>
      </c>
      <c r="Y460" s="13" t="str">
        <f t="shared" si="45"/>
        <v>No</v>
      </c>
      <c r="Z460" s="13" t="str">
        <f t="shared" si="45"/>
        <v>No</v>
      </c>
      <c r="AA460" s="71">
        <f>+(Table1[[#This Row],[Everyday price]]-Table1[[#This Row],[Promo Price]])/Table1[[#This Row],[Everyday price]]</f>
        <v>0.15477293790546803</v>
      </c>
      <c r="AB460" s="69">
        <v>9.1199999999999992</v>
      </c>
      <c r="AC460" s="69">
        <v>10.79</v>
      </c>
      <c r="AD460" s="40" t="s">
        <v>1257</v>
      </c>
      <c r="AE460" s="5">
        <v>46111</v>
      </c>
      <c r="AF460" s="5">
        <v>46124</v>
      </c>
      <c r="AG460" s="20">
        <v>1831</v>
      </c>
      <c r="AH460" s="6">
        <v>994</v>
      </c>
      <c r="AI460" s="11">
        <f>Table1[[#This Row],[Incremental Units]]/Table1[[#This Row],[Base Units]]</f>
        <v>0.54287274713271438</v>
      </c>
      <c r="AJ460" s="11">
        <f>IF(AND(ISNUMBER(Table1[[#This Row],[Lift  ]]),ISNUMBER(Table1[[#This Row],[Plan lift, %]]),Table1[[#This Row],[Plan lift, %]]&lt;&gt;0),Table1[[#This Row],[Lift  ]]-Table1[[#This Row],[Plan lift, %]],"")</f>
        <v>0.19287274713271441</v>
      </c>
      <c r="AK460" s="11"/>
      <c r="AL460" s="71" t="s">
        <v>1400</v>
      </c>
      <c r="AM460" s="4" t="s">
        <v>1370</v>
      </c>
    </row>
    <row r="461" spans="1:39" x14ac:dyDescent="0.35">
      <c r="A461" t="s">
        <v>711</v>
      </c>
      <c r="B461" s="82">
        <v>1315</v>
      </c>
      <c r="C461" s="21" t="s">
        <v>100</v>
      </c>
      <c r="D461" s="13" t="s">
        <v>1232</v>
      </c>
      <c r="F461" s="21" t="s">
        <v>712</v>
      </c>
      <c r="G461" t="s">
        <v>23</v>
      </c>
      <c r="H461" s="14">
        <v>46143</v>
      </c>
      <c r="I461" s="14">
        <v>46156</v>
      </c>
      <c r="J461" s="13" t="s">
        <v>29</v>
      </c>
      <c r="L461" s="2">
        <v>2466.33</v>
      </c>
      <c r="M461" s="2">
        <v>1826.91</v>
      </c>
      <c r="N461" s="2">
        <v>639.41999999999996</v>
      </c>
      <c r="O461" s="2">
        <v>2466.33</v>
      </c>
      <c r="P461" s="3">
        <v>0.35</v>
      </c>
      <c r="Q461" s="3"/>
      <c r="R461" s="2">
        <v>52.17</v>
      </c>
      <c r="S461" s="3">
        <v>0.04</v>
      </c>
      <c r="T461" s="2">
        <v>1239.17</v>
      </c>
      <c r="U461" s="13" t="s">
        <v>25</v>
      </c>
      <c r="V461" s="13" t="str">
        <f t="shared" si="45"/>
        <v>No</v>
      </c>
      <c r="W461" s="13" t="str">
        <f t="shared" si="45"/>
        <v>Yes</v>
      </c>
      <c r="X461" s="13" t="str">
        <f t="shared" si="45"/>
        <v>No</v>
      </c>
      <c r="Y461" s="13" t="str">
        <f t="shared" si="45"/>
        <v>No</v>
      </c>
      <c r="Z461" s="13" t="str">
        <f t="shared" si="45"/>
        <v>No</v>
      </c>
      <c r="AA461" s="71">
        <f>+(Table1[[#This Row],[Everyday price]]-Table1[[#This Row],[Promo Price]])/Table1[[#This Row],[Everyday price]]</f>
        <v>0.14656771799628945</v>
      </c>
      <c r="AB461" s="69">
        <v>9.1999999999999993</v>
      </c>
      <c r="AC461" s="69">
        <v>10.78</v>
      </c>
      <c r="AD461" s="40" t="s">
        <v>1257</v>
      </c>
      <c r="AE461" s="5">
        <v>46174</v>
      </c>
      <c r="AF461" s="5">
        <v>46187</v>
      </c>
      <c r="AG461" s="63">
        <v>1562</v>
      </c>
      <c r="AH461" s="63">
        <v>551</v>
      </c>
      <c r="AI461" s="11">
        <f>Table1[[#This Row],[Incremental Units]]/Table1[[#This Row],[Base Units]]</f>
        <v>0.352752880921895</v>
      </c>
      <c r="AJ461" s="11">
        <f>IF(AND(ISNUMBER(Table1[[#This Row],[Lift  ]]),ISNUMBER(Table1[[#This Row],[Plan lift, %]]),Table1[[#This Row],[Plan lift, %]]&lt;&gt;0),Table1[[#This Row],[Lift  ]]-Table1[[#This Row],[Plan lift, %]],"")</f>
        <v>2.7528809218950179E-3</v>
      </c>
      <c r="AK461" s="11"/>
      <c r="AL461" s="71" t="s">
        <v>1400</v>
      </c>
      <c r="AM461" s="4" t="s">
        <v>1371</v>
      </c>
    </row>
    <row r="462" spans="1:39" x14ac:dyDescent="0.35">
      <c r="A462" t="s">
        <v>631</v>
      </c>
      <c r="B462" s="82">
        <v>1309</v>
      </c>
      <c r="C462" s="21" t="s">
        <v>100</v>
      </c>
      <c r="D462" s="13" t="s">
        <v>1232</v>
      </c>
      <c r="F462" s="21" t="s">
        <v>632</v>
      </c>
      <c r="G462" t="s">
        <v>23</v>
      </c>
      <c r="H462" s="14">
        <v>46174</v>
      </c>
      <c r="I462" s="14">
        <v>46187</v>
      </c>
      <c r="J462" s="13" t="s">
        <v>24</v>
      </c>
      <c r="L462" s="2">
        <v>649.87</v>
      </c>
      <c r="M462" s="2">
        <v>4813.8</v>
      </c>
      <c r="N462" s="2">
        <v>1684.84</v>
      </c>
      <c r="O462" s="2">
        <v>6498.64</v>
      </c>
      <c r="P462" s="3">
        <v>0.35</v>
      </c>
      <c r="Q462" s="3"/>
      <c r="R462" s="2">
        <v>1291.8</v>
      </c>
      <c r="S462" s="3">
        <v>0.36</v>
      </c>
      <c r="T462" s="2">
        <v>4905.9999999999991</v>
      </c>
      <c r="U462" s="13" t="s">
        <v>25</v>
      </c>
      <c r="V462" s="13" t="str">
        <f t="shared" ref="V462:Z471" si="46">IF(ISNUMBER(SEARCH(V$1,$U462)),"Yes","No")</f>
        <v>No</v>
      </c>
      <c r="W462" s="13" t="str">
        <f t="shared" si="46"/>
        <v>Yes</v>
      </c>
      <c r="X462" s="13" t="str">
        <f t="shared" si="46"/>
        <v>No</v>
      </c>
      <c r="Y462" s="13" t="str">
        <f t="shared" si="46"/>
        <v>No</v>
      </c>
      <c r="Z462" s="13" t="str">
        <f t="shared" si="46"/>
        <v>No</v>
      </c>
      <c r="AA462" s="71">
        <f>+(Table1[[#This Row],[Everyday price]]-Table1[[#This Row],[Promo Price]])/Table1[[#This Row],[Everyday price]]</f>
        <v>0.1946308724832215</v>
      </c>
      <c r="AB462" s="69">
        <v>2.4</v>
      </c>
      <c r="AC462" s="69">
        <v>2.98</v>
      </c>
      <c r="AD462" s="40" t="s">
        <v>1257</v>
      </c>
      <c r="AE462" s="5">
        <v>46174</v>
      </c>
      <c r="AF462" s="5">
        <v>46187</v>
      </c>
      <c r="AG462" s="20">
        <v>4305</v>
      </c>
      <c r="AH462" s="6">
        <v>1223</v>
      </c>
      <c r="AI462" s="11">
        <f>Table1[[#This Row],[Incremental Units]]/Table1[[#This Row],[Base Units]]</f>
        <v>0.28408826945412313</v>
      </c>
      <c r="AJ462" s="11">
        <f>IF(AND(ISNUMBER(Table1[[#This Row],[Lift  ]]),ISNUMBER(Table1[[#This Row],[Plan lift, %]]),Table1[[#This Row],[Plan lift, %]]&lt;&gt;0),Table1[[#This Row],[Lift  ]]-Table1[[#This Row],[Plan lift, %]],"")</f>
        <v>-6.5911730545876845E-2</v>
      </c>
      <c r="AK462" s="11"/>
      <c r="AL462" s="71" t="s">
        <v>1400</v>
      </c>
      <c r="AM462" s="4" t="s">
        <v>1372</v>
      </c>
    </row>
    <row r="463" spans="1:39" x14ac:dyDescent="0.35">
      <c r="A463" t="s">
        <v>1081</v>
      </c>
      <c r="B463" s="12">
        <v>1310</v>
      </c>
      <c r="C463" s="21" t="s">
        <v>100</v>
      </c>
      <c r="D463" s="13" t="s">
        <v>1232</v>
      </c>
      <c r="F463" s="21" t="s">
        <v>1082</v>
      </c>
      <c r="G463" t="s">
        <v>23</v>
      </c>
      <c r="H463" s="14">
        <v>46204</v>
      </c>
      <c r="I463" s="14">
        <v>46217</v>
      </c>
      <c r="J463" s="13" t="s">
        <v>24</v>
      </c>
      <c r="L463" s="2">
        <v>3429.86</v>
      </c>
      <c r="M463" s="2">
        <v>5716.41</v>
      </c>
      <c r="N463" s="2">
        <v>2858.19</v>
      </c>
      <c r="O463" s="2">
        <v>8574.6</v>
      </c>
      <c r="P463" s="3">
        <v>0.5</v>
      </c>
      <c r="Q463" s="3"/>
      <c r="R463" s="2">
        <v>235.38</v>
      </c>
      <c r="S463" s="3">
        <v>0.11</v>
      </c>
      <c r="T463" s="2">
        <v>2378.71</v>
      </c>
      <c r="U463" s="13" t="s">
        <v>25</v>
      </c>
      <c r="V463" s="13" t="str">
        <f t="shared" si="46"/>
        <v>No</v>
      </c>
      <c r="W463" s="13" t="str">
        <f t="shared" si="46"/>
        <v>Yes</v>
      </c>
      <c r="X463" s="13" t="str">
        <f t="shared" si="46"/>
        <v>No</v>
      </c>
      <c r="Y463" s="13" t="str">
        <f t="shared" si="46"/>
        <v>No</v>
      </c>
      <c r="Z463" s="13" t="str">
        <f t="shared" si="46"/>
        <v>No</v>
      </c>
      <c r="AA463" s="71" t="e">
        <f>+(Table1[[#This Row],[Everyday price]]-Table1[[#This Row],[Promo Price]])/Table1[[#This Row],[Everyday price]]</f>
        <v>#DIV/0!</v>
      </c>
      <c r="AC463" s="69"/>
      <c r="AH463" s="6"/>
      <c r="AJ463" s="116" t="str">
        <f>IF(AND(ISNUMBER(Table1[[#This Row],[Lift  ]]),ISNUMBER(Table1[[#This Row],[Plan lift, %]]),Table1[[#This Row],[Plan lift, %]]&lt;&gt;0),Table1[[#This Row],[Lift  ]]-Table1[[#This Row],[Plan lift, %]],"")</f>
        <v/>
      </c>
      <c r="AK463" s="116"/>
    </row>
    <row r="464" spans="1:39" x14ac:dyDescent="0.35">
      <c r="A464" t="s">
        <v>99</v>
      </c>
      <c r="B464" s="12">
        <v>1317</v>
      </c>
      <c r="C464" s="21" t="s">
        <v>100</v>
      </c>
      <c r="D464" s="13" t="s">
        <v>1232</v>
      </c>
      <c r="F464" s="21" t="s">
        <v>101</v>
      </c>
      <c r="G464" t="s">
        <v>23</v>
      </c>
      <c r="H464" s="14">
        <v>46204</v>
      </c>
      <c r="I464" s="14">
        <v>46217</v>
      </c>
      <c r="J464" s="13" t="s">
        <v>29</v>
      </c>
      <c r="L464" s="2">
        <v>913.29</v>
      </c>
      <c r="M464" s="2">
        <v>1691.28</v>
      </c>
      <c r="N464" s="2">
        <v>591.95000000000005</v>
      </c>
      <c r="O464" s="2">
        <v>2283.23</v>
      </c>
      <c r="P464" s="3">
        <v>0.35</v>
      </c>
      <c r="Q464" s="3"/>
      <c r="R464" s="2">
        <v>427.85</v>
      </c>
      <c r="S464" s="3">
        <v>0.48</v>
      </c>
      <c r="T464" s="2">
        <v>1315.95</v>
      </c>
      <c r="U464" s="13" t="s">
        <v>25</v>
      </c>
      <c r="V464" s="13" t="str">
        <f t="shared" si="46"/>
        <v>No</v>
      </c>
      <c r="W464" s="13" t="str">
        <f t="shared" si="46"/>
        <v>Yes</v>
      </c>
      <c r="X464" s="13" t="str">
        <f t="shared" si="46"/>
        <v>No</v>
      </c>
      <c r="Y464" s="13" t="str">
        <f t="shared" si="46"/>
        <v>No</v>
      </c>
      <c r="Z464" s="13" t="str">
        <f t="shared" si="46"/>
        <v>No</v>
      </c>
      <c r="AA464" s="71" t="e">
        <f>+(Table1[[#This Row],[Everyday price]]-Table1[[#This Row],[Promo Price]])/Table1[[#This Row],[Everyday price]]</f>
        <v>#DIV/0!</v>
      </c>
      <c r="AC464" s="69"/>
      <c r="AH464" s="6"/>
      <c r="AJ464" s="116" t="str">
        <f>IF(AND(ISNUMBER(Table1[[#This Row],[Lift  ]]),ISNUMBER(Table1[[#This Row],[Plan lift, %]]),Table1[[#This Row],[Plan lift, %]]&lt;&gt;0),Table1[[#This Row],[Lift  ]]-Table1[[#This Row],[Plan lift, %]],"")</f>
        <v/>
      </c>
      <c r="AK464" s="116"/>
    </row>
    <row r="465" spans="1:37" x14ac:dyDescent="0.35">
      <c r="A465" t="s">
        <v>299</v>
      </c>
      <c r="B465" s="12">
        <v>1318</v>
      </c>
      <c r="C465" s="21" t="s">
        <v>100</v>
      </c>
      <c r="D465" s="13" t="s">
        <v>1232</v>
      </c>
      <c r="F465" s="21" t="s">
        <v>300</v>
      </c>
      <c r="G465" t="s">
        <v>60</v>
      </c>
      <c r="H465" s="14">
        <v>46235</v>
      </c>
      <c r="I465" s="14">
        <v>46248</v>
      </c>
      <c r="J465" s="13" t="s">
        <v>29</v>
      </c>
      <c r="L465" s="2">
        <v>2575.4699999999998</v>
      </c>
      <c r="M465" s="2">
        <v>1839.62</v>
      </c>
      <c r="N465" s="2">
        <v>735.85</v>
      </c>
      <c r="O465" s="2">
        <v>2575.4699999999998</v>
      </c>
      <c r="P465" s="3">
        <v>0.4</v>
      </c>
      <c r="Q465" s="3"/>
      <c r="R465" s="2">
        <v>0</v>
      </c>
      <c r="S465" s="3">
        <v>0</v>
      </c>
      <c r="T465" s="2">
        <v>0</v>
      </c>
      <c r="U465" s="13" t="s">
        <v>25</v>
      </c>
      <c r="V465" s="13" t="str">
        <f t="shared" si="46"/>
        <v>No</v>
      </c>
      <c r="W465" s="13" t="str">
        <f t="shared" si="46"/>
        <v>Yes</v>
      </c>
      <c r="X465" s="13" t="str">
        <f t="shared" si="46"/>
        <v>No</v>
      </c>
      <c r="Y465" s="13" t="str">
        <f t="shared" si="46"/>
        <v>No</v>
      </c>
      <c r="Z465" s="13" t="str">
        <f t="shared" si="46"/>
        <v>No</v>
      </c>
      <c r="AA465" s="71" t="e">
        <f>+(Table1[[#This Row],[Everyday price]]-Table1[[#This Row],[Promo Price]])/Table1[[#This Row],[Everyday price]]</f>
        <v>#DIV/0!</v>
      </c>
      <c r="AC465" s="69"/>
      <c r="AH465" s="6"/>
      <c r="AJ465" s="116" t="str">
        <f>IF(AND(ISNUMBER(Table1[[#This Row],[Lift  ]]),ISNUMBER(Table1[[#This Row],[Plan lift, %]]),Table1[[#This Row],[Plan lift, %]]&lt;&gt;0),Table1[[#This Row],[Lift  ]]-Table1[[#This Row],[Plan lift, %]],"")</f>
        <v/>
      </c>
      <c r="AK465" s="116"/>
    </row>
    <row r="466" spans="1:37" x14ac:dyDescent="0.35">
      <c r="A466" t="s">
        <v>924</v>
      </c>
      <c r="B466" s="12">
        <v>1311</v>
      </c>
      <c r="C466" s="21" t="s">
        <v>100</v>
      </c>
      <c r="D466" s="13" t="s">
        <v>1232</v>
      </c>
      <c r="F466" s="21" t="s">
        <v>925</v>
      </c>
      <c r="G466" t="s">
        <v>44</v>
      </c>
      <c r="H466" s="14">
        <v>46266</v>
      </c>
      <c r="I466" s="14">
        <v>46279</v>
      </c>
      <c r="J466" s="13" t="s">
        <v>24</v>
      </c>
      <c r="L466" s="2">
        <v>649.87</v>
      </c>
      <c r="M466" s="2">
        <v>4813.8</v>
      </c>
      <c r="N466" s="2">
        <v>1684.84</v>
      </c>
      <c r="O466" s="2">
        <v>6498.64</v>
      </c>
      <c r="P466" s="3">
        <v>0.35</v>
      </c>
      <c r="Q466" s="3"/>
      <c r="R466" s="2">
        <v>0</v>
      </c>
      <c r="S466" s="3">
        <v>0</v>
      </c>
      <c r="T466" s="2">
        <v>0</v>
      </c>
      <c r="U466" s="13" t="s">
        <v>25</v>
      </c>
      <c r="V466" s="13" t="str">
        <f t="shared" si="46"/>
        <v>No</v>
      </c>
      <c r="W466" s="13" t="str">
        <f t="shared" si="46"/>
        <v>Yes</v>
      </c>
      <c r="X466" s="13" t="str">
        <f t="shared" si="46"/>
        <v>No</v>
      </c>
      <c r="Y466" s="13" t="str">
        <f t="shared" si="46"/>
        <v>No</v>
      </c>
      <c r="Z466" s="13" t="str">
        <f t="shared" si="46"/>
        <v>No</v>
      </c>
      <c r="AA466" s="71" t="e">
        <f>+(Table1[[#This Row],[Everyday price]]-Table1[[#This Row],[Promo Price]])/Table1[[#This Row],[Everyday price]]</f>
        <v>#DIV/0!</v>
      </c>
      <c r="AC466" s="69"/>
      <c r="AH466" s="6"/>
      <c r="AJ466" s="116" t="str">
        <f>IF(AND(ISNUMBER(Table1[[#This Row],[Lift  ]]),ISNUMBER(Table1[[#This Row],[Plan lift, %]]),Table1[[#This Row],[Plan lift, %]]&lt;&gt;0),Table1[[#This Row],[Lift  ]]-Table1[[#This Row],[Plan lift, %]],"")</f>
        <v/>
      </c>
      <c r="AK466" s="116"/>
    </row>
    <row r="467" spans="1:37" x14ac:dyDescent="0.35">
      <c r="A467" t="s">
        <v>680</v>
      </c>
      <c r="B467" s="12">
        <v>1316</v>
      </c>
      <c r="C467" s="21" t="s">
        <v>100</v>
      </c>
      <c r="D467" s="13" t="s">
        <v>1232</v>
      </c>
      <c r="F467" s="21" t="s">
        <v>681</v>
      </c>
      <c r="G467" t="s">
        <v>44</v>
      </c>
      <c r="H467" s="14">
        <v>46296</v>
      </c>
      <c r="I467" s="14">
        <v>46309</v>
      </c>
      <c r="J467" s="13" t="s">
        <v>29</v>
      </c>
      <c r="L467" s="2">
        <v>929.33</v>
      </c>
      <c r="M467" s="2">
        <v>1720.95</v>
      </c>
      <c r="N467" s="2">
        <v>602.33000000000004</v>
      </c>
      <c r="O467" s="2">
        <v>2323.2800000000002</v>
      </c>
      <c r="P467" s="3">
        <v>0.35</v>
      </c>
      <c r="Q467" s="3"/>
      <c r="R467" s="2">
        <v>0</v>
      </c>
      <c r="S467" s="3">
        <v>0</v>
      </c>
      <c r="T467" s="2">
        <v>0</v>
      </c>
      <c r="U467" s="13" t="s">
        <v>25</v>
      </c>
      <c r="V467" s="13" t="str">
        <f t="shared" si="46"/>
        <v>No</v>
      </c>
      <c r="W467" s="13" t="str">
        <f t="shared" si="46"/>
        <v>Yes</v>
      </c>
      <c r="X467" s="13" t="str">
        <f t="shared" si="46"/>
        <v>No</v>
      </c>
      <c r="Y467" s="13" t="str">
        <f t="shared" si="46"/>
        <v>No</v>
      </c>
      <c r="Z467" s="13" t="str">
        <f t="shared" si="46"/>
        <v>No</v>
      </c>
      <c r="AA467" s="71" t="e">
        <f>+(Table1[[#This Row],[Everyday price]]-Table1[[#This Row],[Promo Price]])/Table1[[#This Row],[Everyday price]]</f>
        <v>#DIV/0!</v>
      </c>
      <c r="AC467" s="69"/>
      <c r="AH467" s="6"/>
      <c r="AJ467" s="116" t="str">
        <f>IF(AND(ISNUMBER(Table1[[#This Row],[Lift  ]]),ISNUMBER(Table1[[#This Row],[Plan lift, %]]),Table1[[#This Row],[Plan lift, %]]&lt;&gt;0),Table1[[#This Row],[Lift  ]]-Table1[[#This Row],[Plan lift, %]],"")</f>
        <v/>
      </c>
      <c r="AK467" s="116"/>
    </row>
    <row r="468" spans="1:37" x14ac:dyDescent="0.35">
      <c r="A468" t="s">
        <v>673</v>
      </c>
      <c r="B468" s="12">
        <v>1312</v>
      </c>
      <c r="C468" s="21" t="s">
        <v>100</v>
      </c>
      <c r="D468" s="13" t="s">
        <v>1232</v>
      </c>
      <c r="F468" s="21" t="s">
        <v>674</v>
      </c>
      <c r="G468" t="s">
        <v>44</v>
      </c>
      <c r="H468" s="14">
        <v>46327</v>
      </c>
      <c r="I468" s="14">
        <v>46340</v>
      </c>
      <c r="J468" s="13" t="s">
        <v>24</v>
      </c>
      <c r="L468" s="2">
        <v>814.26</v>
      </c>
      <c r="M468" s="2">
        <v>6031.59</v>
      </c>
      <c r="N468" s="2">
        <v>2111.06</v>
      </c>
      <c r="O468" s="2">
        <v>8142.65</v>
      </c>
      <c r="P468" s="3">
        <v>0.35</v>
      </c>
      <c r="Q468" s="3"/>
      <c r="R468" s="2">
        <v>0</v>
      </c>
      <c r="S468" s="3">
        <v>0</v>
      </c>
      <c r="T468" s="2">
        <v>0</v>
      </c>
      <c r="U468" s="13" t="s">
        <v>25</v>
      </c>
      <c r="V468" s="13" t="str">
        <f t="shared" si="46"/>
        <v>No</v>
      </c>
      <c r="W468" s="13" t="str">
        <f t="shared" si="46"/>
        <v>Yes</v>
      </c>
      <c r="X468" s="13" t="str">
        <f t="shared" si="46"/>
        <v>No</v>
      </c>
      <c r="Y468" s="13" t="str">
        <f t="shared" si="46"/>
        <v>No</v>
      </c>
      <c r="Z468" s="13" t="str">
        <f t="shared" si="46"/>
        <v>No</v>
      </c>
      <c r="AA468" s="71" t="e">
        <f>+(Table1[[#This Row],[Everyday price]]-Table1[[#This Row],[Promo Price]])/Table1[[#This Row],[Everyday price]]</f>
        <v>#DIV/0!</v>
      </c>
      <c r="AC468" s="69"/>
      <c r="AH468" s="6"/>
      <c r="AJ468" s="116" t="str">
        <f>IF(AND(ISNUMBER(Table1[[#This Row],[Lift  ]]),ISNUMBER(Table1[[#This Row],[Plan lift, %]]),Table1[[#This Row],[Plan lift, %]]&lt;&gt;0),Table1[[#This Row],[Lift  ]]-Table1[[#This Row],[Plan lift, %]],"")</f>
        <v/>
      </c>
      <c r="AK468" s="116"/>
    </row>
    <row r="469" spans="1:37" x14ac:dyDescent="0.35">
      <c r="A469" t="s">
        <v>1141</v>
      </c>
      <c r="B469" s="12">
        <v>1319</v>
      </c>
      <c r="C469" s="21" t="s">
        <v>100</v>
      </c>
      <c r="D469" s="13" t="s">
        <v>1232</v>
      </c>
      <c r="F469" s="21" t="s">
        <v>1142</v>
      </c>
      <c r="G469" t="s">
        <v>44</v>
      </c>
      <c r="H469" s="14">
        <v>46327</v>
      </c>
      <c r="I469" s="14">
        <v>46340</v>
      </c>
      <c r="J469" s="13" t="s">
        <v>29</v>
      </c>
      <c r="L469" s="2">
        <v>963.68</v>
      </c>
      <c r="M469" s="2">
        <v>1784.59</v>
      </c>
      <c r="N469" s="2">
        <v>624.6</v>
      </c>
      <c r="O469" s="2">
        <v>2409.19</v>
      </c>
      <c r="P469" s="3">
        <v>0.35</v>
      </c>
      <c r="Q469" s="3"/>
      <c r="R469" s="2">
        <v>0</v>
      </c>
      <c r="S469" s="3">
        <v>0</v>
      </c>
      <c r="T469" s="2">
        <v>0</v>
      </c>
      <c r="U469" s="13" t="s">
        <v>25</v>
      </c>
      <c r="V469" s="13" t="str">
        <f t="shared" si="46"/>
        <v>No</v>
      </c>
      <c r="W469" s="13" t="str">
        <f t="shared" si="46"/>
        <v>Yes</v>
      </c>
      <c r="X469" s="13" t="str">
        <f t="shared" si="46"/>
        <v>No</v>
      </c>
      <c r="Y469" s="13" t="str">
        <f t="shared" si="46"/>
        <v>No</v>
      </c>
      <c r="Z469" s="13" t="str">
        <f t="shared" si="46"/>
        <v>No</v>
      </c>
      <c r="AA469" s="71" t="e">
        <f>+(Table1[[#This Row],[Everyday price]]-Table1[[#This Row],[Promo Price]])/Table1[[#This Row],[Everyday price]]</f>
        <v>#DIV/0!</v>
      </c>
      <c r="AC469" s="69"/>
      <c r="AH469" s="6"/>
      <c r="AJ469" s="116" t="str">
        <f>IF(AND(ISNUMBER(Table1[[#This Row],[Lift  ]]),ISNUMBER(Table1[[#This Row],[Plan lift, %]]),Table1[[#This Row],[Plan lift, %]]&lt;&gt;0),Table1[[#This Row],[Lift  ]]-Table1[[#This Row],[Plan lift, %]],"")</f>
        <v/>
      </c>
      <c r="AK469" s="116"/>
    </row>
    <row r="470" spans="1:37" x14ac:dyDescent="0.35">
      <c r="A470" t="s">
        <v>1016</v>
      </c>
      <c r="B470" s="12">
        <v>1200</v>
      </c>
      <c r="C470" s="21" t="s">
        <v>753</v>
      </c>
      <c r="D470" s="13" t="s">
        <v>1230</v>
      </c>
      <c r="E470" t="s">
        <v>754</v>
      </c>
      <c r="F470" t="s">
        <v>1017</v>
      </c>
      <c r="G470" t="s">
        <v>23</v>
      </c>
      <c r="H470" s="1">
        <v>46023</v>
      </c>
      <c r="I470" s="1">
        <v>46053</v>
      </c>
      <c r="J470" s="13" t="s">
        <v>24</v>
      </c>
      <c r="L470" s="2">
        <v>37362.379999999997</v>
      </c>
      <c r="M470" s="2">
        <v>191111.91</v>
      </c>
      <c r="N470" s="2">
        <v>28666.79</v>
      </c>
      <c r="O470" s="2">
        <v>219778.7</v>
      </c>
      <c r="P470" s="3">
        <v>0.15</v>
      </c>
      <c r="Q470" s="3"/>
      <c r="R470" s="2">
        <v>1578539.11</v>
      </c>
      <c r="S470" s="3">
        <v>8.58</v>
      </c>
      <c r="T470" s="2">
        <v>1762560</v>
      </c>
      <c r="U470" t="s">
        <v>25</v>
      </c>
      <c r="V470" s="13" t="str">
        <f t="shared" si="46"/>
        <v>No</v>
      </c>
      <c r="W470" s="13" t="str">
        <f t="shared" si="46"/>
        <v>Yes</v>
      </c>
      <c r="X470" s="13" t="str">
        <f t="shared" si="46"/>
        <v>No</v>
      </c>
      <c r="Y470" s="13" t="str">
        <f t="shared" si="46"/>
        <v>No</v>
      </c>
      <c r="Z470" s="13" t="str">
        <f t="shared" si="46"/>
        <v>No</v>
      </c>
      <c r="AA470" s="71" t="e">
        <f>+(Table1[[#This Row],[Everyday price]]-Table1[[#This Row],[Promo Price]])/Table1[[#This Row],[Everyday price]]</f>
        <v>#DIV/0!</v>
      </c>
      <c r="AC470" s="69"/>
      <c r="AD470" s="13"/>
      <c r="AH470" s="6"/>
      <c r="AJ470" s="116" t="str">
        <f>IF(AND(ISNUMBER(Table1[[#This Row],[Lift  ]]),ISNUMBER(Table1[[#This Row],[Plan lift, %]]),Table1[[#This Row],[Plan lift, %]]&lt;&gt;0),Table1[[#This Row],[Lift  ]]-Table1[[#This Row],[Plan lift, %]],"")</f>
        <v/>
      </c>
      <c r="AK470" s="116"/>
    </row>
    <row r="471" spans="1:37" x14ac:dyDescent="0.35">
      <c r="A471" t="s">
        <v>752</v>
      </c>
      <c r="B471" s="12">
        <v>1201</v>
      </c>
      <c r="C471" s="21" t="s">
        <v>753</v>
      </c>
      <c r="D471" s="13" t="s">
        <v>1230</v>
      </c>
      <c r="E471" t="s">
        <v>754</v>
      </c>
      <c r="F471" t="s">
        <v>755</v>
      </c>
      <c r="G471" t="s">
        <v>23</v>
      </c>
      <c r="H471" s="1">
        <v>46204</v>
      </c>
      <c r="I471" s="1">
        <v>46234</v>
      </c>
      <c r="J471" s="13" t="s">
        <v>24</v>
      </c>
      <c r="L471" s="2">
        <v>20449.36</v>
      </c>
      <c r="M471" s="2">
        <v>104600.25</v>
      </c>
      <c r="N471" s="2">
        <v>15690.04</v>
      </c>
      <c r="O471" s="2">
        <v>120290.29</v>
      </c>
      <c r="P471" s="3">
        <v>0.15</v>
      </c>
      <c r="Q471" s="3"/>
      <c r="R471" s="2">
        <v>488679.76</v>
      </c>
      <c r="S471" s="3">
        <v>2.06</v>
      </c>
      <c r="T471" s="2">
        <v>725760</v>
      </c>
      <c r="U471" t="s">
        <v>25</v>
      </c>
      <c r="V471" s="13" t="str">
        <f t="shared" si="46"/>
        <v>No</v>
      </c>
      <c r="W471" s="13" t="str">
        <f t="shared" si="46"/>
        <v>Yes</v>
      </c>
      <c r="X471" s="13" t="str">
        <f t="shared" si="46"/>
        <v>No</v>
      </c>
      <c r="Y471" s="13" t="str">
        <f t="shared" si="46"/>
        <v>No</v>
      </c>
      <c r="Z471" s="13" t="str">
        <f t="shared" si="46"/>
        <v>No</v>
      </c>
      <c r="AA471" s="71" t="e">
        <f>+(Table1[[#This Row],[Everyday price]]-Table1[[#This Row],[Promo Price]])/Table1[[#This Row],[Everyday price]]</f>
        <v>#DIV/0!</v>
      </c>
      <c r="AC471" s="69"/>
      <c r="AD471" s="13"/>
      <c r="AH471" s="6"/>
      <c r="AJ471" s="116" t="str">
        <f>IF(AND(ISNUMBER(Table1[[#This Row],[Lift  ]]),ISNUMBER(Table1[[#This Row],[Plan lift, %]]),Table1[[#This Row],[Plan lift, %]]&lt;&gt;0),Table1[[#This Row],[Lift  ]]-Table1[[#This Row],[Plan lift, %]],"")</f>
        <v/>
      </c>
      <c r="AK471" s="116"/>
    </row>
    <row r="472" spans="1:37" x14ac:dyDescent="0.35">
      <c r="A472" t="s">
        <v>821</v>
      </c>
      <c r="B472" s="12">
        <v>1202</v>
      </c>
      <c r="C472" s="21" t="s">
        <v>753</v>
      </c>
      <c r="D472" s="13" t="s">
        <v>1230</v>
      </c>
      <c r="E472" t="s">
        <v>754</v>
      </c>
      <c r="F472" t="s">
        <v>822</v>
      </c>
      <c r="G472" t="s">
        <v>44</v>
      </c>
      <c r="H472" s="1">
        <v>46357</v>
      </c>
      <c r="I472" s="1">
        <v>46387</v>
      </c>
      <c r="J472" s="13" t="s">
        <v>24</v>
      </c>
      <c r="L472" s="2">
        <v>16977.830000000002</v>
      </c>
      <c r="M472" s="2">
        <v>86843.1</v>
      </c>
      <c r="N472" s="2">
        <v>13026.48</v>
      </c>
      <c r="O472" s="2">
        <v>99869.58</v>
      </c>
      <c r="P472" s="3">
        <v>0.15</v>
      </c>
      <c r="Q472" s="3"/>
      <c r="R472" s="2">
        <v>0</v>
      </c>
      <c r="S472" s="3">
        <v>0</v>
      </c>
      <c r="T472" s="2">
        <v>0</v>
      </c>
      <c r="U472" t="s">
        <v>25</v>
      </c>
      <c r="V472" s="13" t="str">
        <f t="shared" ref="V472:Z481" si="47">IF(ISNUMBER(SEARCH(V$1,$U472)),"Yes","No")</f>
        <v>No</v>
      </c>
      <c r="W472" s="13" t="str">
        <f t="shared" si="47"/>
        <v>Yes</v>
      </c>
      <c r="X472" s="13" t="str">
        <f t="shared" si="47"/>
        <v>No</v>
      </c>
      <c r="Y472" s="13" t="str">
        <f t="shared" si="47"/>
        <v>No</v>
      </c>
      <c r="Z472" s="13" t="str">
        <f t="shared" si="47"/>
        <v>No</v>
      </c>
      <c r="AA472" s="71" t="e">
        <f>+(Table1[[#This Row],[Everyday price]]-Table1[[#This Row],[Promo Price]])/Table1[[#This Row],[Everyday price]]</f>
        <v>#DIV/0!</v>
      </c>
      <c r="AC472" s="69"/>
      <c r="AD472" s="13"/>
      <c r="AH472" s="6"/>
      <c r="AJ472" s="116" t="str">
        <f>IF(AND(ISNUMBER(Table1[[#This Row],[Lift  ]]),ISNUMBER(Table1[[#This Row],[Plan lift, %]]),Table1[[#This Row],[Plan lift, %]]&lt;&gt;0),Table1[[#This Row],[Lift  ]]-Table1[[#This Row],[Plan lift, %]],"")</f>
        <v/>
      </c>
      <c r="AK472" s="116"/>
    </row>
    <row r="473" spans="1:37" x14ac:dyDescent="0.35">
      <c r="A473" t="s">
        <v>838</v>
      </c>
      <c r="B473" s="12">
        <v>993</v>
      </c>
      <c r="C473" s="21" t="s">
        <v>171</v>
      </c>
      <c r="D473" s="13" t="s">
        <v>1232</v>
      </c>
      <c r="E473" t="s">
        <v>172</v>
      </c>
      <c r="F473" s="21" t="s">
        <v>839</v>
      </c>
      <c r="G473" t="s">
        <v>23</v>
      </c>
      <c r="H473" s="14">
        <v>46024</v>
      </c>
      <c r="I473" s="14">
        <v>46049</v>
      </c>
      <c r="J473" s="13" t="s">
        <v>24</v>
      </c>
      <c r="L473" s="2">
        <v>85365.32</v>
      </c>
      <c r="M473" s="2">
        <v>13196.28</v>
      </c>
      <c r="N473" s="2">
        <v>5938.32</v>
      </c>
      <c r="O473" s="2">
        <v>19134.599999999999</v>
      </c>
      <c r="P473" s="3">
        <v>0.45</v>
      </c>
      <c r="Q473" s="3"/>
      <c r="R473" s="2">
        <v>0</v>
      </c>
      <c r="S473" s="3">
        <v>0</v>
      </c>
      <c r="T473" s="2">
        <v>0</v>
      </c>
      <c r="U473" s="13" t="s">
        <v>33</v>
      </c>
      <c r="V473" s="13" t="str">
        <f t="shared" si="47"/>
        <v>No</v>
      </c>
      <c r="W473" s="13" t="str">
        <f t="shared" si="47"/>
        <v>Yes</v>
      </c>
      <c r="X473" s="13" t="str">
        <f t="shared" si="47"/>
        <v>Yes</v>
      </c>
      <c r="Y473" s="13" t="str">
        <f t="shared" si="47"/>
        <v>No</v>
      </c>
      <c r="Z473" s="13" t="str">
        <f t="shared" si="47"/>
        <v>No</v>
      </c>
      <c r="AA473" s="71" t="e">
        <f>+(Table1[[#This Row],[Everyday price]]-Table1[[#This Row],[Promo Price]])/Table1[[#This Row],[Everyday price]]</f>
        <v>#DIV/0!</v>
      </c>
      <c r="AC473" s="69"/>
      <c r="AH473" s="6"/>
      <c r="AJ473" s="116" t="str">
        <f>IF(AND(ISNUMBER(Table1[[#This Row],[Lift  ]]),ISNUMBER(Table1[[#This Row],[Plan lift, %]]),Table1[[#This Row],[Plan lift, %]]&lt;&gt;0),Table1[[#This Row],[Lift  ]]-Table1[[#This Row],[Plan lift, %]],"")</f>
        <v/>
      </c>
      <c r="AK473" s="116"/>
    </row>
    <row r="474" spans="1:37" x14ac:dyDescent="0.35">
      <c r="A474" t="s">
        <v>170</v>
      </c>
      <c r="B474" s="12">
        <v>994</v>
      </c>
      <c r="C474" s="21" t="s">
        <v>171</v>
      </c>
      <c r="D474" s="13" t="s">
        <v>1232</v>
      </c>
      <c r="E474" t="s">
        <v>172</v>
      </c>
      <c r="F474" s="21" t="s">
        <v>173</v>
      </c>
      <c r="G474" t="s">
        <v>23</v>
      </c>
      <c r="H474" s="14">
        <v>46092</v>
      </c>
      <c r="I474" s="14">
        <v>46105</v>
      </c>
      <c r="J474" s="13" t="s">
        <v>24</v>
      </c>
      <c r="L474" s="2">
        <v>17867.32</v>
      </c>
      <c r="M474" s="2">
        <v>5691.6</v>
      </c>
      <c r="N474" s="2">
        <v>1422.9</v>
      </c>
      <c r="O474" s="2">
        <v>7114.5</v>
      </c>
      <c r="P474" s="3">
        <v>0.25</v>
      </c>
      <c r="Q474" s="3"/>
      <c r="R474" s="2">
        <v>0</v>
      </c>
      <c r="S474" s="3">
        <v>0</v>
      </c>
      <c r="T474" s="2">
        <v>0</v>
      </c>
      <c r="U474" s="13" t="s">
        <v>33</v>
      </c>
      <c r="V474" s="13" t="str">
        <f t="shared" si="47"/>
        <v>No</v>
      </c>
      <c r="W474" s="13" t="str">
        <f t="shared" si="47"/>
        <v>Yes</v>
      </c>
      <c r="X474" s="13" t="str">
        <f t="shared" si="47"/>
        <v>Yes</v>
      </c>
      <c r="Y474" s="13" t="str">
        <f t="shared" si="47"/>
        <v>No</v>
      </c>
      <c r="Z474" s="13" t="str">
        <f t="shared" si="47"/>
        <v>No</v>
      </c>
      <c r="AA474" s="71" t="e">
        <f>+(Table1[[#This Row],[Everyday price]]-Table1[[#This Row],[Promo Price]])/Table1[[#This Row],[Everyday price]]</f>
        <v>#DIV/0!</v>
      </c>
      <c r="AC474" s="69"/>
      <c r="AH474" s="6"/>
      <c r="AJ474" s="116" t="str">
        <f>IF(AND(ISNUMBER(Table1[[#This Row],[Lift  ]]),ISNUMBER(Table1[[#This Row],[Plan lift, %]]),Table1[[#This Row],[Plan lift, %]]&lt;&gt;0),Table1[[#This Row],[Lift  ]]-Table1[[#This Row],[Plan lift, %]],"")</f>
        <v/>
      </c>
      <c r="AK474" s="116"/>
    </row>
    <row r="475" spans="1:37" x14ac:dyDescent="0.35">
      <c r="A475" t="s">
        <v>1192</v>
      </c>
      <c r="B475" s="12">
        <v>995</v>
      </c>
      <c r="C475" s="21" t="s">
        <v>171</v>
      </c>
      <c r="D475" s="13" t="s">
        <v>1232</v>
      </c>
      <c r="E475" t="s">
        <v>172</v>
      </c>
      <c r="F475" s="21" t="s">
        <v>1193</v>
      </c>
      <c r="G475" t="s">
        <v>23</v>
      </c>
      <c r="H475" s="14">
        <v>46155</v>
      </c>
      <c r="I475" s="14">
        <v>46168</v>
      </c>
      <c r="J475" s="13" t="s">
        <v>24</v>
      </c>
      <c r="L475" s="2">
        <v>21709.22</v>
      </c>
      <c r="M475" s="2">
        <v>7114.52</v>
      </c>
      <c r="N475" s="2">
        <v>1778.64</v>
      </c>
      <c r="O475" s="2">
        <v>8893.16</v>
      </c>
      <c r="P475" s="3">
        <v>0.25</v>
      </c>
      <c r="Q475" s="3"/>
      <c r="R475" s="2">
        <v>0</v>
      </c>
      <c r="S475" s="3">
        <v>0</v>
      </c>
      <c r="T475" s="2">
        <v>0</v>
      </c>
      <c r="U475" s="13" t="s">
        <v>33</v>
      </c>
      <c r="V475" s="13" t="str">
        <f t="shared" si="47"/>
        <v>No</v>
      </c>
      <c r="W475" s="13" t="str">
        <f t="shared" si="47"/>
        <v>Yes</v>
      </c>
      <c r="X475" s="13" t="str">
        <f t="shared" si="47"/>
        <v>Yes</v>
      </c>
      <c r="Y475" s="13" t="str">
        <f t="shared" si="47"/>
        <v>No</v>
      </c>
      <c r="Z475" s="13" t="str">
        <f t="shared" si="47"/>
        <v>No</v>
      </c>
      <c r="AA475" s="71" t="e">
        <f>+(Table1[[#This Row],[Everyday price]]-Table1[[#This Row],[Promo Price]])/Table1[[#This Row],[Everyday price]]</f>
        <v>#DIV/0!</v>
      </c>
      <c r="AC475" s="69"/>
      <c r="AH475" s="6"/>
      <c r="AJ475" s="116" t="str">
        <f>IF(AND(ISNUMBER(Table1[[#This Row],[Lift  ]]),ISNUMBER(Table1[[#This Row],[Plan lift, %]]),Table1[[#This Row],[Plan lift, %]]&lt;&gt;0),Table1[[#This Row],[Lift  ]]-Table1[[#This Row],[Plan lift, %]],"")</f>
        <v/>
      </c>
      <c r="AK475" s="116"/>
    </row>
    <row r="476" spans="1:37" x14ac:dyDescent="0.35">
      <c r="A476" t="s">
        <v>485</v>
      </c>
      <c r="B476" s="12">
        <v>996</v>
      </c>
      <c r="C476" s="21" t="s">
        <v>171</v>
      </c>
      <c r="D476" s="13" t="s">
        <v>1232</v>
      </c>
      <c r="E476" t="s">
        <v>172</v>
      </c>
      <c r="F476" s="21" t="s">
        <v>486</v>
      </c>
      <c r="G476" t="s">
        <v>23</v>
      </c>
      <c r="H476" s="14">
        <v>46211</v>
      </c>
      <c r="I476" s="14">
        <v>46224</v>
      </c>
      <c r="J476" s="13" t="s">
        <v>24</v>
      </c>
      <c r="L476" s="2">
        <v>21709.22</v>
      </c>
      <c r="M476" s="2">
        <v>7114.52</v>
      </c>
      <c r="N476" s="2">
        <v>1778.64</v>
      </c>
      <c r="O476" s="2">
        <v>8893.16</v>
      </c>
      <c r="P476" s="3">
        <v>0.25</v>
      </c>
      <c r="Q476" s="3"/>
      <c r="R476" s="2">
        <v>0</v>
      </c>
      <c r="S476" s="3">
        <v>0</v>
      </c>
      <c r="T476" s="2">
        <v>0</v>
      </c>
      <c r="U476" s="13" t="s">
        <v>33</v>
      </c>
      <c r="V476" s="13" t="str">
        <f t="shared" si="47"/>
        <v>No</v>
      </c>
      <c r="W476" s="13" t="str">
        <f t="shared" si="47"/>
        <v>Yes</v>
      </c>
      <c r="X476" s="13" t="str">
        <f t="shared" si="47"/>
        <v>Yes</v>
      </c>
      <c r="Y476" s="13" t="str">
        <f t="shared" si="47"/>
        <v>No</v>
      </c>
      <c r="Z476" s="13" t="str">
        <f t="shared" si="47"/>
        <v>No</v>
      </c>
      <c r="AA476" s="71" t="e">
        <f>+(Table1[[#This Row],[Everyday price]]-Table1[[#This Row],[Promo Price]])/Table1[[#This Row],[Everyday price]]</f>
        <v>#DIV/0!</v>
      </c>
      <c r="AC476" s="69"/>
      <c r="AH476" s="6"/>
      <c r="AJ476" s="116" t="str">
        <f>IF(AND(ISNUMBER(Table1[[#This Row],[Lift  ]]),ISNUMBER(Table1[[#This Row],[Plan lift, %]]),Table1[[#This Row],[Plan lift, %]]&lt;&gt;0),Table1[[#This Row],[Lift  ]]-Table1[[#This Row],[Plan lift, %]],"")</f>
        <v/>
      </c>
      <c r="AK476" s="116"/>
    </row>
    <row r="477" spans="1:37" x14ac:dyDescent="0.35">
      <c r="A477" t="s">
        <v>541</v>
      </c>
      <c r="B477" s="12">
        <v>997</v>
      </c>
      <c r="C477" s="21" t="s">
        <v>171</v>
      </c>
      <c r="D477" s="13" t="s">
        <v>1232</v>
      </c>
      <c r="E477" t="s">
        <v>172</v>
      </c>
      <c r="F477" s="21" t="s">
        <v>542</v>
      </c>
      <c r="G477" t="s">
        <v>44</v>
      </c>
      <c r="H477" s="14">
        <v>46274</v>
      </c>
      <c r="I477" s="14">
        <v>46287</v>
      </c>
      <c r="J477" s="13" t="s">
        <v>24</v>
      </c>
      <c r="L477" s="2">
        <v>17371.599999999999</v>
      </c>
      <c r="M477" s="2">
        <v>5508</v>
      </c>
      <c r="N477" s="2">
        <v>1377</v>
      </c>
      <c r="O477" s="2">
        <v>6885</v>
      </c>
      <c r="P477" s="3">
        <v>0.25</v>
      </c>
      <c r="Q477" s="3"/>
      <c r="R477" s="2">
        <v>0</v>
      </c>
      <c r="S477" s="3">
        <v>0</v>
      </c>
      <c r="T477" s="2">
        <v>0</v>
      </c>
      <c r="U477" s="13" t="s">
        <v>33</v>
      </c>
      <c r="V477" s="13" t="str">
        <f t="shared" si="47"/>
        <v>No</v>
      </c>
      <c r="W477" s="13" t="str">
        <f t="shared" si="47"/>
        <v>Yes</v>
      </c>
      <c r="X477" s="13" t="str">
        <f t="shared" si="47"/>
        <v>Yes</v>
      </c>
      <c r="Y477" s="13" t="str">
        <f t="shared" si="47"/>
        <v>No</v>
      </c>
      <c r="Z477" s="13" t="str">
        <f t="shared" si="47"/>
        <v>No</v>
      </c>
      <c r="AA477" s="71" t="e">
        <f>+(Table1[[#This Row],[Everyday price]]-Table1[[#This Row],[Promo Price]])/Table1[[#This Row],[Everyday price]]</f>
        <v>#DIV/0!</v>
      </c>
      <c r="AC477" s="69"/>
      <c r="AH477" s="6"/>
      <c r="AJ477" s="116" t="str">
        <f>IF(AND(ISNUMBER(Table1[[#This Row],[Lift  ]]),ISNUMBER(Table1[[#This Row],[Plan lift, %]]),Table1[[#This Row],[Plan lift, %]]&lt;&gt;0),Table1[[#This Row],[Lift  ]]-Table1[[#This Row],[Plan lift, %]],"")</f>
        <v/>
      </c>
      <c r="AK477" s="116"/>
    </row>
    <row r="478" spans="1:37" x14ac:dyDescent="0.35">
      <c r="A478" t="s">
        <v>255</v>
      </c>
      <c r="B478" s="12">
        <v>998</v>
      </c>
      <c r="C478" s="21" t="s">
        <v>171</v>
      </c>
      <c r="D478" s="13" t="s">
        <v>1232</v>
      </c>
      <c r="E478" t="s">
        <v>172</v>
      </c>
      <c r="F478" s="21" t="s">
        <v>256</v>
      </c>
      <c r="G478" t="s">
        <v>44</v>
      </c>
      <c r="H478" s="14">
        <v>46302</v>
      </c>
      <c r="I478" s="14">
        <v>46315</v>
      </c>
      <c r="J478" s="13" t="s">
        <v>24</v>
      </c>
      <c r="L478" s="2">
        <v>21709.22</v>
      </c>
      <c r="M478" s="2">
        <v>7114.52</v>
      </c>
      <c r="N478" s="2">
        <v>1778.64</v>
      </c>
      <c r="O478" s="2">
        <v>8893.16</v>
      </c>
      <c r="P478" s="3">
        <v>0.25</v>
      </c>
      <c r="Q478" s="3"/>
      <c r="R478" s="2">
        <v>0</v>
      </c>
      <c r="S478" s="3">
        <v>0</v>
      </c>
      <c r="T478" s="2">
        <v>0</v>
      </c>
      <c r="U478" s="13" t="s">
        <v>33</v>
      </c>
      <c r="V478" s="13" t="str">
        <f t="shared" si="47"/>
        <v>No</v>
      </c>
      <c r="W478" s="13" t="str">
        <f t="shared" si="47"/>
        <v>Yes</v>
      </c>
      <c r="X478" s="13" t="str">
        <f t="shared" si="47"/>
        <v>Yes</v>
      </c>
      <c r="Y478" s="13" t="str">
        <f t="shared" si="47"/>
        <v>No</v>
      </c>
      <c r="Z478" s="13" t="str">
        <f t="shared" si="47"/>
        <v>No</v>
      </c>
      <c r="AA478" s="71" t="e">
        <f>+(Table1[[#This Row],[Everyday price]]-Table1[[#This Row],[Promo Price]])/Table1[[#This Row],[Everyday price]]</f>
        <v>#DIV/0!</v>
      </c>
      <c r="AC478" s="69"/>
      <c r="AH478" s="6"/>
      <c r="AJ478" s="116" t="str">
        <f>IF(AND(ISNUMBER(Table1[[#This Row],[Lift  ]]),ISNUMBER(Table1[[#This Row],[Plan lift, %]]),Table1[[#This Row],[Plan lift, %]]&lt;&gt;0),Table1[[#This Row],[Lift  ]]-Table1[[#This Row],[Plan lift, %]],"")</f>
        <v/>
      </c>
      <c r="AK478" s="116"/>
    </row>
    <row r="479" spans="1:37" x14ac:dyDescent="0.35">
      <c r="A479" t="s">
        <v>936</v>
      </c>
      <c r="B479" s="12">
        <v>999</v>
      </c>
      <c r="C479" s="21" t="s">
        <v>171</v>
      </c>
      <c r="D479" s="13" t="s">
        <v>1232</v>
      </c>
      <c r="E479" t="s">
        <v>172</v>
      </c>
      <c r="F479" s="21" t="s">
        <v>937</v>
      </c>
      <c r="G479" t="s">
        <v>44</v>
      </c>
      <c r="H479" s="14">
        <v>46372</v>
      </c>
      <c r="I479" s="14">
        <v>46385</v>
      </c>
      <c r="J479" s="13" t="s">
        <v>24</v>
      </c>
      <c r="L479" s="2">
        <v>33576.14</v>
      </c>
      <c r="M479" s="2">
        <v>5691.6</v>
      </c>
      <c r="N479" s="2">
        <v>1707.48</v>
      </c>
      <c r="O479" s="2">
        <v>7399.08</v>
      </c>
      <c r="P479" s="3">
        <v>0.3</v>
      </c>
      <c r="Q479" s="3"/>
      <c r="R479" s="2">
        <v>0</v>
      </c>
      <c r="S479" s="3">
        <v>0</v>
      </c>
      <c r="T479" s="2">
        <v>0</v>
      </c>
      <c r="U479" s="13" t="s">
        <v>33</v>
      </c>
      <c r="V479" s="13" t="str">
        <f t="shared" si="47"/>
        <v>No</v>
      </c>
      <c r="W479" s="13" t="str">
        <f t="shared" si="47"/>
        <v>Yes</v>
      </c>
      <c r="X479" s="13" t="str">
        <f t="shared" si="47"/>
        <v>Yes</v>
      </c>
      <c r="Y479" s="13" t="str">
        <f t="shared" si="47"/>
        <v>No</v>
      </c>
      <c r="Z479" s="13" t="str">
        <f t="shared" si="47"/>
        <v>No</v>
      </c>
      <c r="AA479" s="71" t="e">
        <f>+(Table1[[#This Row],[Everyday price]]-Table1[[#This Row],[Promo Price]])/Table1[[#This Row],[Everyday price]]</f>
        <v>#DIV/0!</v>
      </c>
      <c r="AC479" s="69"/>
      <c r="AH479" s="6"/>
      <c r="AJ479" s="116" t="str">
        <f>IF(AND(ISNUMBER(Table1[[#This Row],[Lift  ]]),ISNUMBER(Table1[[#This Row],[Plan lift, %]]),Table1[[#This Row],[Plan lift, %]]&lt;&gt;0),Table1[[#This Row],[Lift  ]]-Table1[[#This Row],[Plan lift, %]],"")</f>
        <v/>
      </c>
      <c r="AK479" s="116"/>
    </row>
    <row r="480" spans="1:37" x14ac:dyDescent="0.35">
      <c r="A480" t="s">
        <v>1050</v>
      </c>
      <c r="B480" s="12">
        <v>1102</v>
      </c>
      <c r="C480" s="21" t="s">
        <v>285</v>
      </c>
      <c r="D480" s="13" t="s">
        <v>1232</v>
      </c>
      <c r="F480" s="21" t="s">
        <v>1051</v>
      </c>
      <c r="G480" t="s">
        <v>23</v>
      </c>
      <c r="H480" s="14">
        <v>46054</v>
      </c>
      <c r="I480" s="14">
        <v>46081</v>
      </c>
      <c r="J480" s="13" t="s">
        <v>29</v>
      </c>
      <c r="L480" s="2">
        <v>2958.52</v>
      </c>
      <c r="M480" s="2">
        <v>2958.52</v>
      </c>
      <c r="N480" s="2">
        <v>739.63</v>
      </c>
      <c r="O480" s="2">
        <v>3698.15</v>
      </c>
      <c r="P480" s="3">
        <v>0.25</v>
      </c>
      <c r="Q480" s="3"/>
      <c r="R480" s="2">
        <v>0</v>
      </c>
      <c r="S480" s="3">
        <v>0</v>
      </c>
      <c r="T480" s="2">
        <v>0</v>
      </c>
      <c r="U480" s="13" t="s">
        <v>25</v>
      </c>
      <c r="V480" s="13" t="str">
        <f t="shared" si="47"/>
        <v>No</v>
      </c>
      <c r="W480" s="13" t="str">
        <f t="shared" si="47"/>
        <v>Yes</v>
      </c>
      <c r="X480" s="13" t="str">
        <f t="shared" si="47"/>
        <v>No</v>
      </c>
      <c r="Y480" s="13" t="str">
        <f t="shared" si="47"/>
        <v>No</v>
      </c>
      <c r="Z480" s="13" t="str">
        <f t="shared" si="47"/>
        <v>No</v>
      </c>
      <c r="AA480" s="71" t="e">
        <f>+(Table1[[#This Row],[Everyday price]]-Table1[[#This Row],[Promo Price]])/Table1[[#This Row],[Everyday price]]</f>
        <v>#DIV/0!</v>
      </c>
      <c r="AC480" s="69"/>
      <c r="AH480" s="6"/>
      <c r="AJ480" s="116" t="str">
        <f>IF(AND(ISNUMBER(Table1[[#This Row],[Lift  ]]),ISNUMBER(Table1[[#This Row],[Plan lift, %]]),Table1[[#This Row],[Plan lift, %]]&lt;&gt;0),Table1[[#This Row],[Lift  ]]-Table1[[#This Row],[Plan lift, %]],"")</f>
        <v/>
      </c>
      <c r="AK480" s="116"/>
    </row>
    <row r="481" spans="1:39" x14ac:dyDescent="0.35">
      <c r="A481" t="s">
        <v>703</v>
      </c>
      <c r="B481" s="12">
        <v>1103</v>
      </c>
      <c r="C481" s="21" t="s">
        <v>285</v>
      </c>
      <c r="D481" s="13" t="s">
        <v>1232</v>
      </c>
      <c r="F481" s="21" t="s">
        <v>704</v>
      </c>
      <c r="G481" t="s">
        <v>23</v>
      </c>
      <c r="H481" s="14">
        <v>46054</v>
      </c>
      <c r="I481" s="14">
        <v>46081</v>
      </c>
      <c r="J481" s="13" t="s">
        <v>24</v>
      </c>
      <c r="L481" s="2">
        <v>7742.7</v>
      </c>
      <c r="M481" s="2">
        <v>19853.080000000002</v>
      </c>
      <c r="N481" s="2">
        <v>5955.92</v>
      </c>
      <c r="O481" s="2">
        <v>25809</v>
      </c>
      <c r="P481" s="3">
        <v>0.3</v>
      </c>
      <c r="Q481" s="3"/>
      <c r="R481" s="2">
        <v>9.5</v>
      </c>
      <c r="S481" s="3">
        <v>0.1</v>
      </c>
      <c r="T481" s="2">
        <v>102.94</v>
      </c>
      <c r="U481" s="13" t="s">
        <v>25</v>
      </c>
      <c r="V481" s="13" t="str">
        <f t="shared" si="47"/>
        <v>No</v>
      </c>
      <c r="W481" s="13" t="str">
        <f t="shared" si="47"/>
        <v>Yes</v>
      </c>
      <c r="X481" s="13" t="str">
        <f t="shared" si="47"/>
        <v>No</v>
      </c>
      <c r="Y481" s="13" t="str">
        <f t="shared" si="47"/>
        <v>No</v>
      </c>
      <c r="Z481" s="13" t="str">
        <f t="shared" si="47"/>
        <v>No</v>
      </c>
      <c r="AA481" s="71" t="e">
        <f>+(Table1[[#This Row],[Everyday price]]-Table1[[#This Row],[Promo Price]])/Table1[[#This Row],[Everyday price]]</f>
        <v>#DIV/0!</v>
      </c>
      <c r="AC481" s="69"/>
      <c r="AH481" s="6"/>
      <c r="AJ481" s="116" t="str">
        <f>IF(AND(ISNUMBER(Table1[[#This Row],[Lift  ]]),ISNUMBER(Table1[[#This Row],[Plan lift, %]]),Table1[[#This Row],[Plan lift, %]]&lt;&gt;0),Table1[[#This Row],[Lift  ]]-Table1[[#This Row],[Plan lift, %]],"")</f>
        <v/>
      </c>
      <c r="AK481" s="116"/>
    </row>
    <row r="482" spans="1:39" x14ac:dyDescent="0.35">
      <c r="A482" t="s">
        <v>284</v>
      </c>
      <c r="B482" s="12">
        <v>1105</v>
      </c>
      <c r="C482" s="21" t="s">
        <v>285</v>
      </c>
      <c r="D482" s="13" t="s">
        <v>1232</v>
      </c>
      <c r="F482" s="21" t="s">
        <v>286</v>
      </c>
      <c r="G482" t="s">
        <v>23</v>
      </c>
      <c r="H482" s="14">
        <v>46082</v>
      </c>
      <c r="I482" s="14">
        <v>46111</v>
      </c>
      <c r="J482" s="13" t="s">
        <v>29</v>
      </c>
      <c r="L482" s="2">
        <v>2696.57</v>
      </c>
      <c r="M482" s="2">
        <v>2808.92</v>
      </c>
      <c r="N482" s="2">
        <v>561.79</v>
      </c>
      <c r="O482" s="2">
        <v>3370.71</v>
      </c>
      <c r="P482" s="3">
        <v>0.2</v>
      </c>
      <c r="Q482" s="3"/>
      <c r="R482" s="2">
        <v>0</v>
      </c>
      <c r="S482" s="3">
        <v>0</v>
      </c>
      <c r="T482" s="2">
        <v>0</v>
      </c>
      <c r="U482" s="13" t="s">
        <v>25</v>
      </c>
      <c r="V482" s="13" t="str">
        <f t="shared" ref="V482:Z491" si="48">IF(ISNUMBER(SEARCH(V$1,$U482)),"Yes","No")</f>
        <v>No</v>
      </c>
      <c r="W482" s="13" t="str">
        <f t="shared" si="48"/>
        <v>Yes</v>
      </c>
      <c r="X482" s="13" t="str">
        <f t="shared" si="48"/>
        <v>No</v>
      </c>
      <c r="Y482" s="13" t="str">
        <f t="shared" si="48"/>
        <v>No</v>
      </c>
      <c r="Z482" s="13" t="str">
        <f t="shared" si="48"/>
        <v>No</v>
      </c>
      <c r="AA482" s="71" t="e">
        <f>+(Table1[[#This Row],[Everyday price]]-Table1[[#This Row],[Promo Price]])/Table1[[#This Row],[Everyday price]]</f>
        <v>#DIV/0!</v>
      </c>
      <c r="AC482" s="69"/>
      <c r="AH482" s="6"/>
      <c r="AJ482" s="116" t="str">
        <f>IF(AND(ISNUMBER(Table1[[#This Row],[Lift  ]]),ISNUMBER(Table1[[#This Row],[Plan lift, %]]),Table1[[#This Row],[Plan lift, %]]&lt;&gt;0),Table1[[#This Row],[Lift  ]]-Table1[[#This Row],[Plan lift, %]],"")</f>
        <v/>
      </c>
      <c r="AK482" s="116"/>
    </row>
    <row r="483" spans="1:39" x14ac:dyDescent="0.35">
      <c r="A483" t="s">
        <v>1204</v>
      </c>
      <c r="B483" s="12">
        <v>1106</v>
      </c>
      <c r="C483" s="21" t="s">
        <v>285</v>
      </c>
      <c r="D483" s="13" t="s">
        <v>1232</v>
      </c>
      <c r="F483" s="21" t="s">
        <v>1205</v>
      </c>
      <c r="G483" t="s">
        <v>23</v>
      </c>
      <c r="H483" s="14">
        <v>46082</v>
      </c>
      <c r="I483" s="14">
        <v>46111</v>
      </c>
      <c r="J483" s="13" t="s">
        <v>24</v>
      </c>
      <c r="L483" s="2">
        <v>6785.68</v>
      </c>
      <c r="M483" s="2">
        <v>18849.11</v>
      </c>
      <c r="N483" s="2">
        <v>3769.82</v>
      </c>
      <c r="O483" s="2">
        <v>22618.93</v>
      </c>
      <c r="P483" s="3">
        <v>0.2</v>
      </c>
      <c r="Q483" s="3"/>
      <c r="R483" s="2">
        <v>9.4</v>
      </c>
      <c r="S483" s="3">
        <v>0.31</v>
      </c>
      <c r="T483" s="2">
        <v>39.71</v>
      </c>
      <c r="U483" s="13" t="s">
        <v>25</v>
      </c>
      <c r="V483" s="13" t="str">
        <f t="shared" si="48"/>
        <v>No</v>
      </c>
      <c r="W483" s="13" t="str">
        <f t="shared" si="48"/>
        <v>Yes</v>
      </c>
      <c r="X483" s="13" t="str">
        <f t="shared" si="48"/>
        <v>No</v>
      </c>
      <c r="Y483" s="13" t="str">
        <f t="shared" si="48"/>
        <v>No</v>
      </c>
      <c r="Z483" s="13" t="str">
        <f t="shared" si="48"/>
        <v>No</v>
      </c>
      <c r="AA483" s="71" t="e">
        <f>+(Table1[[#This Row],[Everyday price]]-Table1[[#This Row],[Promo Price]])/Table1[[#This Row],[Everyday price]]</f>
        <v>#DIV/0!</v>
      </c>
      <c r="AC483" s="69"/>
      <c r="AH483" s="6"/>
      <c r="AJ483" s="116" t="str">
        <f>IF(AND(ISNUMBER(Table1[[#This Row],[Lift  ]]),ISNUMBER(Table1[[#This Row],[Plan lift, %]]),Table1[[#This Row],[Plan lift, %]]&lt;&gt;0),Table1[[#This Row],[Lift  ]]-Table1[[#This Row],[Plan lift, %]],"")</f>
        <v/>
      </c>
      <c r="AK483" s="116"/>
    </row>
    <row r="484" spans="1:39" x14ac:dyDescent="0.35">
      <c r="A484" t="s">
        <v>828</v>
      </c>
      <c r="B484" s="12">
        <v>1099</v>
      </c>
      <c r="C484" s="21" t="s">
        <v>285</v>
      </c>
      <c r="D484" s="13" t="s">
        <v>1232</v>
      </c>
      <c r="F484" s="21" t="s">
        <v>829</v>
      </c>
      <c r="G484" t="s">
        <v>23</v>
      </c>
      <c r="H484" s="14">
        <v>46113</v>
      </c>
      <c r="I484" s="14">
        <v>46127</v>
      </c>
      <c r="J484" s="13" t="s">
        <v>24</v>
      </c>
      <c r="L484" s="2">
        <v>7209.59</v>
      </c>
      <c r="M484" s="2">
        <v>9243.06</v>
      </c>
      <c r="N484" s="2">
        <v>2772.92</v>
      </c>
      <c r="O484" s="2">
        <v>12015.98</v>
      </c>
      <c r="P484" s="3">
        <v>0.3</v>
      </c>
      <c r="Q484" s="3"/>
      <c r="R484" s="2">
        <v>-0.01</v>
      </c>
      <c r="S484" s="3">
        <v>0</v>
      </c>
      <c r="T484" s="2">
        <v>7.42</v>
      </c>
      <c r="U484" s="13" t="s">
        <v>25</v>
      </c>
      <c r="V484" s="13" t="str">
        <f t="shared" si="48"/>
        <v>No</v>
      </c>
      <c r="W484" s="13" t="str">
        <f t="shared" si="48"/>
        <v>Yes</v>
      </c>
      <c r="X484" s="13" t="str">
        <f t="shared" si="48"/>
        <v>No</v>
      </c>
      <c r="Y484" s="13" t="str">
        <f t="shared" si="48"/>
        <v>No</v>
      </c>
      <c r="Z484" s="13" t="str">
        <f t="shared" si="48"/>
        <v>No</v>
      </c>
      <c r="AA484" s="71" t="e">
        <f>+(Table1[[#This Row],[Everyday price]]-Table1[[#This Row],[Promo Price]])/Table1[[#This Row],[Everyday price]]</f>
        <v>#DIV/0!</v>
      </c>
      <c r="AC484" s="69"/>
      <c r="AH484" s="6"/>
      <c r="AJ484" s="116" t="str">
        <f>IF(AND(ISNUMBER(Table1[[#This Row],[Lift  ]]),ISNUMBER(Table1[[#This Row],[Plan lift, %]]),Table1[[#This Row],[Plan lift, %]]&lt;&gt;0),Table1[[#This Row],[Lift  ]]-Table1[[#This Row],[Plan lift, %]],"")</f>
        <v/>
      </c>
      <c r="AK484" s="116"/>
    </row>
    <row r="485" spans="1:39" x14ac:dyDescent="0.35">
      <c r="A485" t="s">
        <v>756</v>
      </c>
      <c r="B485" s="12">
        <v>1104</v>
      </c>
      <c r="C485" s="21" t="s">
        <v>285</v>
      </c>
      <c r="D485" s="13" t="s">
        <v>1232</v>
      </c>
      <c r="F485" s="21" t="s">
        <v>757</v>
      </c>
      <c r="G485" t="s">
        <v>23</v>
      </c>
      <c r="H485" s="14">
        <v>46204</v>
      </c>
      <c r="I485" s="14">
        <v>46234</v>
      </c>
      <c r="J485" s="13" t="s">
        <v>24</v>
      </c>
      <c r="L485" s="2">
        <v>7146.92</v>
      </c>
      <c r="M485" s="2">
        <v>18325.439999999999</v>
      </c>
      <c r="N485" s="2">
        <v>5497.64</v>
      </c>
      <c r="O485" s="2">
        <v>23823.08</v>
      </c>
      <c r="P485" s="3">
        <v>0.3</v>
      </c>
      <c r="Q485" s="3"/>
      <c r="R485" s="2">
        <v>-0.01</v>
      </c>
      <c r="S485" s="3">
        <v>-0.01</v>
      </c>
      <c r="T485" s="2">
        <v>1.71</v>
      </c>
      <c r="U485" s="13" t="s">
        <v>25</v>
      </c>
      <c r="V485" s="13" t="str">
        <f t="shared" si="48"/>
        <v>No</v>
      </c>
      <c r="W485" s="13" t="str">
        <f t="shared" si="48"/>
        <v>Yes</v>
      </c>
      <c r="X485" s="13" t="str">
        <f t="shared" si="48"/>
        <v>No</v>
      </c>
      <c r="Y485" s="13" t="str">
        <f t="shared" si="48"/>
        <v>No</v>
      </c>
      <c r="Z485" s="13" t="str">
        <f t="shared" si="48"/>
        <v>No</v>
      </c>
      <c r="AA485" s="71" t="e">
        <f>+(Table1[[#This Row],[Everyday price]]-Table1[[#This Row],[Promo Price]])/Table1[[#This Row],[Everyday price]]</f>
        <v>#DIV/0!</v>
      </c>
      <c r="AC485" s="69"/>
      <c r="AH485" s="6"/>
      <c r="AJ485" s="116" t="str">
        <f>IF(AND(ISNUMBER(Table1[[#This Row],[Lift  ]]),ISNUMBER(Table1[[#This Row],[Plan lift, %]]),Table1[[#This Row],[Plan lift, %]]&lt;&gt;0),Table1[[#This Row],[Lift  ]]-Table1[[#This Row],[Plan lift, %]],"")</f>
        <v/>
      </c>
      <c r="AK485" s="116"/>
    </row>
    <row r="486" spans="1:39" x14ac:dyDescent="0.35">
      <c r="A486" t="s">
        <v>797</v>
      </c>
      <c r="B486" s="12">
        <v>1100</v>
      </c>
      <c r="C486" s="21" t="s">
        <v>285</v>
      </c>
      <c r="D486" s="13" t="s">
        <v>1232</v>
      </c>
      <c r="F486" s="21" t="s">
        <v>798</v>
      </c>
      <c r="G486" t="s">
        <v>60</v>
      </c>
      <c r="H486" s="14">
        <v>46235</v>
      </c>
      <c r="I486" s="14">
        <v>46265</v>
      </c>
      <c r="J486" s="13" t="s">
        <v>29</v>
      </c>
      <c r="L486" s="2">
        <v>4503.8599999999997</v>
      </c>
      <c r="M486" s="2">
        <v>4503.8599999999997</v>
      </c>
      <c r="N486" s="2">
        <v>1125.96</v>
      </c>
      <c r="O486" s="2">
        <v>5629.82</v>
      </c>
      <c r="P486" s="3">
        <v>0.25</v>
      </c>
      <c r="Q486" s="3"/>
      <c r="R486" s="2">
        <v>0</v>
      </c>
      <c r="S486" s="3">
        <v>0</v>
      </c>
      <c r="T486" s="2">
        <v>0</v>
      </c>
      <c r="U486" s="13" t="s">
        <v>25</v>
      </c>
      <c r="V486" s="13" t="str">
        <f t="shared" si="48"/>
        <v>No</v>
      </c>
      <c r="W486" s="13" t="str">
        <f t="shared" si="48"/>
        <v>Yes</v>
      </c>
      <c r="X486" s="13" t="str">
        <f t="shared" si="48"/>
        <v>No</v>
      </c>
      <c r="Y486" s="13" t="str">
        <f t="shared" si="48"/>
        <v>No</v>
      </c>
      <c r="Z486" s="13" t="str">
        <f t="shared" si="48"/>
        <v>No</v>
      </c>
      <c r="AA486" s="71" t="e">
        <f>+(Table1[[#This Row],[Everyday price]]-Table1[[#This Row],[Promo Price]])/Table1[[#This Row],[Everyday price]]</f>
        <v>#DIV/0!</v>
      </c>
      <c r="AC486" s="69"/>
      <c r="AH486" s="6"/>
      <c r="AJ486" s="116" t="str">
        <f>IF(AND(ISNUMBER(Table1[[#This Row],[Lift  ]]),ISNUMBER(Table1[[#This Row],[Plan lift, %]]),Table1[[#This Row],[Plan lift, %]]&lt;&gt;0),Table1[[#This Row],[Lift  ]]-Table1[[#This Row],[Plan lift, %]],"")</f>
        <v/>
      </c>
      <c r="AK486" s="116"/>
    </row>
    <row r="487" spans="1:39" x14ac:dyDescent="0.35">
      <c r="A487" t="s">
        <v>1188</v>
      </c>
      <c r="B487" s="12">
        <v>1101</v>
      </c>
      <c r="C487" s="21" t="s">
        <v>285</v>
      </c>
      <c r="D487" s="13" t="s">
        <v>1232</v>
      </c>
      <c r="F487" s="21" t="s">
        <v>1189</v>
      </c>
      <c r="G487" t="s">
        <v>60</v>
      </c>
      <c r="H487" s="14">
        <v>46235</v>
      </c>
      <c r="I487" s="14">
        <v>46265</v>
      </c>
      <c r="J487" s="13" t="s">
        <v>24</v>
      </c>
      <c r="L487" s="2">
        <v>6269.72</v>
      </c>
      <c r="M487" s="2">
        <v>17415.88</v>
      </c>
      <c r="N487" s="2">
        <v>3483.18</v>
      </c>
      <c r="O487" s="2">
        <v>20899.060000000001</v>
      </c>
      <c r="P487" s="3">
        <v>0.2</v>
      </c>
      <c r="Q487" s="3"/>
      <c r="R487" s="2">
        <v>0</v>
      </c>
      <c r="S487" s="3">
        <v>0</v>
      </c>
      <c r="T487" s="2">
        <v>0</v>
      </c>
      <c r="U487" s="13" t="s">
        <v>25</v>
      </c>
      <c r="V487" s="13" t="str">
        <f t="shared" si="48"/>
        <v>No</v>
      </c>
      <c r="W487" s="13" t="str">
        <f t="shared" si="48"/>
        <v>Yes</v>
      </c>
      <c r="X487" s="13" t="str">
        <f t="shared" si="48"/>
        <v>No</v>
      </c>
      <c r="Y487" s="13" t="str">
        <f t="shared" si="48"/>
        <v>No</v>
      </c>
      <c r="Z487" s="13" t="str">
        <f t="shared" si="48"/>
        <v>No</v>
      </c>
      <c r="AA487" s="71" t="e">
        <f>+(Table1[[#This Row],[Everyday price]]-Table1[[#This Row],[Promo Price]])/Table1[[#This Row],[Everyday price]]</f>
        <v>#DIV/0!</v>
      </c>
      <c r="AC487" s="69"/>
      <c r="AH487" s="6"/>
      <c r="AJ487" s="116" t="str">
        <f>IF(AND(ISNUMBER(Table1[[#This Row],[Lift  ]]),ISNUMBER(Table1[[#This Row],[Plan lift, %]]),Table1[[#This Row],[Plan lift, %]]&lt;&gt;0),Table1[[#This Row],[Lift  ]]-Table1[[#This Row],[Plan lift, %]],"")</f>
        <v/>
      </c>
      <c r="AK487" s="116"/>
    </row>
    <row r="488" spans="1:39" x14ac:dyDescent="0.35">
      <c r="A488" t="s">
        <v>982</v>
      </c>
      <c r="B488" s="12">
        <v>1107</v>
      </c>
      <c r="C488" s="21" t="s">
        <v>285</v>
      </c>
      <c r="D488" s="13" t="s">
        <v>1232</v>
      </c>
      <c r="F488" s="21" t="s">
        <v>983</v>
      </c>
      <c r="G488" t="s">
        <v>44</v>
      </c>
      <c r="H488" s="14">
        <v>46266</v>
      </c>
      <c r="I488" s="14">
        <v>46295</v>
      </c>
      <c r="J488" s="13" t="s">
        <v>29</v>
      </c>
      <c r="L488" s="2">
        <v>4184.24</v>
      </c>
      <c r="M488" s="2">
        <v>4358.58</v>
      </c>
      <c r="N488" s="2">
        <v>871.72</v>
      </c>
      <c r="O488" s="2">
        <v>5230.3</v>
      </c>
      <c r="P488" s="3">
        <v>0.2</v>
      </c>
      <c r="Q488" s="3"/>
      <c r="R488" s="2">
        <v>0</v>
      </c>
      <c r="S488" s="3">
        <v>0</v>
      </c>
      <c r="T488" s="2">
        <v>0</v>
      </c>
      <c r="U488" s="13" t="s">
        <v>25</v>
      </c>
      <c r="V488" s="13" t="str">
        <f t="shared" si="48"/>
        <v>No</v>
      </c>
      <c r="W488" s="13" t="str">
        <f t="shared" si="48"/>
        <v>Yes</v>
      </c>
      <c r="X488" s="13" t="str">
        <f t="shared" si="48"/>
        <v>No</v>
      </c>
      <c r="Y488" s="13" t="str">
        <f t="shared" si="48"/>
        <v>No</v>
      </c>
      <c r="Z488" s="13" t="str">
        <f t="shared" si="48"/>
        <v>No</v>
      </c>
      <c r="AA488" s="71" t="e">
        <f>+(Table1[[#This Row],[Everyday price]]-Table1[[#This Row],[Promo Price]])/Table1[[#This Row],[Everyday price]]</f>
        <v>#DIV/0!</v>
      </c>
      <c r="AC488" s="69"/>
      <c r="AH488" s="6"/>
      <c r="AJ488" s="116" t="str">
        <f>IF(AND(ISNUMBER(Table1[[#This Row],[Lift  ]]),ISNUMBER(Table1[[#This Row],[Plan lift, %]]),Table1[[#This Row],[Plan lift, %]]&lt;&gt;0),Table1[[#This Row],[Lift  ]]-Table1[[#This Row],[Plan lift, %]],"")</f>
        <v/>
      </c>
      <c r="AK488" s="116"/>
    </row>
    <row r="489" spans="1:39" x14ac:dyDescent="0.35">
      <c r="A489" t="s">
        <v>385</v>
      </c>
      <c r="B489" s="82">
        <v>1203</v>
      </c>
      <c r="C489" s="21" t="s">
        <v>386</v>
      </c>
      <c r="D489" s="13" t="s">
        <v>1232</v>
      </c>
      <c r="E489" t="s">
        <v>387</v>
      </c>
      <c r="F489" s="21" t="s">
        <v>388</v>
      </c>
      <c r="G489" t="s">
        <v>23</v>
      </c>
      <c r="H489" s="14">
        <v>46082</v>
      </c>
      <c r="I489" s="14">
        <v>46089</v>
      </c>
      <c r="J489" s="13" t="s">
        <v>24</v>
      </c>
      <c r="L489" s="2">
        <v>3555.2</v>
      </c>
      <c r="M489" s="2">
        <v>5184</v>
      </c>
      <c r="N489" s="2">
        <v>1036.8</v>
      </c>
      <c r="O489" s="2">
        <v>6220.8</v>
      </c>
      <c r="P489" s="3">
        <v>0.2</v>
      </c>
      <c r="Q489" s="3"/>
      <c r="R489" s="2">
        <v>4237.1899999999996</v>
      </c>
      <c r="S489" s="3">
        <v>4.4800000000000004</v>
      </c>
      <c r="T489" s="2">
        <v>5184</v>
      </c>
      <c r="U489" s="13" t="s">
        <v>33</v>
      </c>
      <c r="V489" s="13" t="str">
        <f t="shared" si="48"/>
        <v>No</v>
      </c>
      <c r="W489" s="13" t="str">
        <f t="shared" si="48"/>
        <v>Yes</v>
      </c>
      <c r="X489" s="13" t="str">
        <f t="shared" si="48"/>
        <v>Yes</v>
      </c>
      <c r="Y489" s="13" t="str">
        <f t="shared" si="48"/>
        <v>No</v>
      </c>
      <c r="Z489" s="13" t="str">
        <f t="shared" si="48"/>
        <v>No</v>
      </c>
      <c r="AA489" s="71">
        <f>+(Table1[[#This Row],[Everyday price]]-Table1[[#This Row],[Promo Price]])/Table1[[#This Row],[Everyday price]]</f>
        <v>0.15415019762845839</v>
      </c>
      <c r="AB489" s="69">
        <v>2.14</v>
      </c>
      <c r="AC489" s="69">
        <v>2.5299999999999998</v>
      </c>
      <c r="AD489" s="40" t="s">
        <v>1251</v>
      </c>
      <c r="AE489" s="5">
        <v>46083</v>
      </c>
      <c r="AF489" s="5">
        <v>46096</v>
      </c>
      <c r="AG489" s="20">
        <v>3369</v>
      </c>
      <c r="AH489" s="6">
        <v>290</v>
      </c>
      <c r="AI489" s="11">
        <f>Table1[[#This Row],[Incremental Units]]/Table1[[#This Row],[Base Units]]</f>
        <v>8.6078955179578504E-2</v>
      </c>
      <c r="AJ489" s="11">
        <f>IF(AND(ISNUMBER(Table1[[#This Row],[Lift  ]]),ISNUMBER(Table1[[#This Row],[Plan lift, %]]),Table1[[#This Row],[Plan lift, %]]&lt;&gt;0),Table1[[#This Row],[Lift  ]]-Table1[[#This Row],[Plan lift, %]],"")</f>
        <v>-0.11392104482042151</v>
      </c>
      <c r="AK489" s="11"/>
      <c r="AL489" s="71" t="s">
        <v>1400</v>
      </c>
    </row>
    <row r="490" spans="1:39" x14ac:dyDescent="0.35">
      <c r="A490" t="s">
        <v>946</v>
      </c>
      <c r="B490" s="82">
        <v>1204</v>
      </c>
      <c r="C490" s="21" t="s">
        <v>386</v>
      </c>
      <c r="D490" s="13" t="s">
        <v>1232</v>
      </c>
      <c r="E490" t="s">
        <v>387</v>
      </c>
      <c r="F490" s="21" t="s">
        <v>947</v>
      </c>
      <c r="G490" t="s">
        <v>23</v>
      </c>
      <c r="H490" s="14">
        <v>46113</v>
      </c>
      <c r="I490" s="14">
        <v>46130</v>
      </c>
      <c r="J490" s="13" t="s">
        <v>24</v>
      </c>
      <c r="L490" s="2">
        <v>3965.16</v>
      </c>
      <c r="M490" s="2">
        <v>13217.16</v>
      </c>
      <c r="N490" s="2">
        <v>2643.44</v>
      </c>
      <c r="O490" s="2">
        <v>15860.6</v>
      </c>
      <c r="P490" s="3">
        <v>0.2</v>
      </c>
      <c r="Q490" s="3"/>
      <c r="R490" s="2">
        <v>31708.7</v>
      </c>
      <c r="S490" s="3">
        <v>13.51</v>
      </c>
      <c r="T490" s="2">
        <v>34056</v>
      </c>
      <c r="U490" s="13" t="s">
        <v>25</v>
      </c>
      <c r="V490" s="13" t="str">
        <f t="shared" si="48"/>
        <v>No</v>
      </c>
      <c r="W490" s="13" t="str">
        <f t="shared" si="48"/>
        <v>Yes</v>
      </c>
      <c r="X490" s="13" t="str">
        <f t="shared" si="48"/>
        <v>No</v>
      </c>
      <c r="Y490" s="13" t="str">
        <f t="shared" si="48"/>
        <v>No</v>
      </c>
      <c r="Z490" s="13" t="str">
        <f t="shared" si="48"/>
        <v>No</v>
      </c>
      <c r="AA490" s="71">
        <f>+(Table1[[#This Row],[Everyday price]]-Table1[[#This Row],[Promo Price]])/Table1[[#This Row],[Everyday price]]</f>
        <v>6.7999999999999977E-2</v>
      </c>
      <c r="AB490" s="69">
        <v>2.33</v>
      </c>
      <c r="AC490" s="69">
        <v>2.5</v>
      </c>
      <c r="AD490" s="40" t="s">
        <v>1229</v>
      </c>
      <c r="AE490" s="5">
        <v>46111</v>
      </c>
      <c r="AF490" s="5">
        <v>46138</v>
      </c>
      <c r="AG490" s="20">
        <v>5973</v>
      </c>
      <c r="AH490" s="6">
        <v>1651</v>
      </c>
      <c r="AI490" s="11">
        <f>Table1[[#This Row],[Incremental Units]]/Table1[[#This Row],[Base Units]]</f>
        <v>0.27641051397957478</v>
      </c>
      <c r="AJ490" s="11">
        <f>IF(AND(ISNUMBER(Table1[[#This Row],[Lift  ]]),ISNUMBER(Table1[[#This Row],[Plan lift, %]]),Table1[[#This Row],[Plan lift, %]]&lt;&gt;0),Table1[[#This Row],[Lift  ]]-Table1[[#This Row],[Plan lift, %]],"")</f>
        <v>7.6410513979574768E-2</v>
      </c>
      <c r="AK490" s="11"/>
      <c r="AL490" s="71" t="s">
        <v>1400</v>
      </c>
      <c r="AM490" s="113" t="s">
        <v>1382</v>
      </c>
    </row>
    <row r="491" spans="1:39" x14ac:dyDescent="0.35">
      <c r="A491" t="s">
        <v>1067</v>
      </c>
      <c r="B491" s="105">
        <v>1205</v>
      </c>
      <c r="C491" s="21" t="s">
        <v>386</v>
      </c>
      <c r="D491" s="13" t="s">
        <v>1232</v>
      </c>
      <c r="E491" t="s">
        <v>387</v>
      </c>
      <c r="F491" s="21" t="s">
        <v>1068</v>
      </c>
      <c r="G491" t="s">
        <v>23</v>
      </c>
      <c r="H491" s="14">
        <v>46143</v>
      </c>
      <c r="I491" s="14">
        <v>46172</v>
      </c>
      <c r="J491" s="13" t="s">
        <v>24</v>
      </c>
      <c r="L491" s="2">
        <v>9151.16</v>
      </c>
      <c r="M491" s="2">
        <v>23837.16</v>
      </c>
      <c r="N491" s="2">
        <v>4767.4399999999996</v>
      </c>
      <c r="O491" s="2">
        <v>28604.6</v>
      </c>
      <c r="P491" s="3">
        <v>0.2</v>
      </c>
      <c r="Q491" s="3"/>
      <c r="R491" s="2">
        <v>4555.49</v>
      </c>
      <c r="S491" s="3">
        <v>1.2</v>
      </c>
      <c r="T491" s="2">
        <v>8352</v>
      </c>
      <c r="U491" s="13" t="s">
        <v>33</v>
      </c>
      <c r="V491" s="13" t="str">
        <f t="shared" si="48"/>
        <v>No</v>
      </c>
      <c r="W491" s="13" t="str">
        <f t="shared" si="48"/>
        <v>Yes</v>
      </c>
      <c r="X491" s="13" t="str">
        <f t="shared" si="48"/>
        <v>Yes</v>
      </c>
      <c r="Y491" s="13" t="str">
        <f t="shared" si="48"/>
        <v>No</v>
      </c>
      <c r="Z491" s="13" t="str">
        <f t="shared" si="48"/>
        <v>No</v>
      </c>
      <c r="AA491" s="71" t="e">
        <f>+(Table1[[#This Row],[Everyday price]]-Table1[[#This Row],[Promo Price]])/Table1[[#This Row],[Everyday price]]</f>
        <v>#DIV/0!</v>
      </c>
      <c r="AC491" s="69"/>
      <c r="AD491" s="40"/>
      <c r="AE491" s="5"/>
      <c r="AF491" s="5"/>
      <c r="AH491" s="6"/>
      <c r="AI491" s="11"/>
      <c r="AJ491" s="11" t="str">
        <f>IF(AND(ISNUMBER(Table1[[#This Row],[Lift  ]]),ISNUMBER(Table1[[#This Row],[Plan lift, %]]),Table1[[#This Row],[Plan lift, %]]&lt;&gt;0),Table1[[#This Row],[Lift  ]]-Table1[[#This Row],[Plan lift, %]],"")</f>
        <v/>
      </c>
      <c r="AK491" s="11"/>
      <c r="AL491" s="71"/>
      <c r="AM491" s="4"/>
    </row>
    <row r="492" spans="1:39" x14ac:dyDescent="0.35">
      <c r="A492" t="s">
        <v>639</v>
      </c>
      <c r="B492" s="82">
        <v>1206</v>
      </c>
      <c r="C492" s="21" t="s">
        <v>386</v>
      </c>
      <c r="D492" s="13" t="s">
        <v>1232</v>
      </c>
      <c r="E492" t="s">
        <v>387</v>
      </c>
      <c r="F492" s="21" t="s">
        <v>640</v>
      </c>
      <c r="G492" t="s">
        <v>23</v>
      </c>
      <c r="H492" s="14">
        <v>46174</v>
      </c>
      <c r="I492" s="14">
        <v>46186</v>
      </c>
      <c r="J492" s="13" t="s">
        <v>24</v>
      </c>
      <c r="L492" s="2">
        <v>2406.84</v>
      </c>
      <c r="M492" s="2">
        <v>8022.84</v>
      </c>
      <c r="N492" s="2">
        <v>1604.56</v>
      </c>
      <c r="O492" s="2">
        <v>9627.4</v>
      </c>
      <c r="P492" s="3">
        <v>0.2</v>
      </c>
      <c r="Q492" s="3"/>
      <c r="R492" s="2">
        <v>1836.8</v>
      </c>
      <c r="S492" s="3">
        <v>1.25</v>
      </c>
      <c r="T492" s="2">
        <v>3312</v>
      </c>
      <c r="U492" s="13" t="s">
        <v>25</v>
      </c>
      <c r="V492" s="13" t="str">
        <f t="shared" ref="V492:Z501" si="49">IF(ISNUMBER(SEARCH(V$1,$U492)),"Yes","No")</f>
        <v>No</v>
      </c>
      <c r="W492" s="13" t="str">
        <f t="shared" si="49"/>
        <v>Yes</v>
      </c>
      <c r="X492" s="13" t="str">
        <f t="shared" si="49"/>
        <v>No</v>
      </c>
      <c r="Y492" s="13" t="str">
        <f t="shared" si="49"/>
        <v>No</v>
      </c>
      <c r="Z492" s="13" t="str">
        <f t="shared" si="49"/>
        <v>No</v>
      </c>
      <c r="AA492" s="71">
        <f>+(Table1[[#This Row],[Everyday price]]-Table1[[#This Row],[Promo Price]])/Table1[[#This Row],[Everyday price]]</f>
        <v>7.936507936507943E-2</v>
      </c>
      <c r="AB492" s="69">
        <v>2.3199999999999998</v>
      </c>
      <c r="AC492" s="69">
        <v>2.52</v>
      </c>
      <c r="AD492" s="40" t="s">
        <v>1251</v>
      </c>
      <c r="AE492" s="5">
        <v>46167</v>
      </c>
      <c r="AF492" s="5">
        <v>46194</v>
      </c>
      <c r="AG492" s="20">
        <v>5192</v>
      </c>
      <c r="AH492" s="6">
        <v>1609</v>
      </c>
      <c r="AI492" s="11">
        <f>Table1[[#This Row],[Incremental Units]]/Table1[[#This Row],[Base Units]]</f>
        <v>0.30989984591679509</v>
      </c>
      <c r="AJ492" s="11">
        <f>IF(AND(ISNUMBER(Table1[[#This Row],[Lift  ]]),ISNUMBER(Table1[[#This Row],[Plan lift, %]]),Table1[[#This Row],[Plan lift, %]]&lt;&gt;0),Table1[[#This Row],[Lift  ]]-Table1[[#This Row],[Plan lift, %]],"")</f>
        <v>0.10989984591679508</v>
      </c>
      <c r="AK492" s="11"/>
      <c r="AL492" s="71" t="s">
        <v>1400</v>
      </c>
      <c r="AM492" s="4" t="s">
        <v>1383</v>
      </c>
    </row>
    <row r="493" spans="1:39" x14ac:dyDescent="0.35">
      <c r="A493" t="s">
        <v>572</v>
      </c>
      <c r="B493" s="12">
        <v>1207</v>
      </c>
      <c r="C493" s="21" t="s">
        <v>386</v>
      </c>
      <c r="D493" s="13" t="s">
        <v>1232</v>
      </c>
      <c r="E493" t="s">
        <v>387</v>
      </c>
      <c r="F493" s="21" t="s">
        <v>573</v>
      </c>
      <c r="G493" t="s">
        <v>23</v>
      </c>
      <c r="H493" s="14">
        <v>46204</v>
      </c>
      <c r="I493" s="14">
        <v>46219</v>
      </c>
      <c r="J493" s="13" t="s">
        <v>24</v>
      </c>
      <c r="L493" s="2">
        <v>5556.28</v>
      </c>
      <c r="M493" s="2">
        <v>11854.28</v>
      </c>
      <c r="N493" s="2">
        <v>2370.84</v>
      </c>
      <c r="O493" s="2">
        <v>14225.12</v>
      </c>
      <c r="P493" s="3">
        <v>0.2</v>
      </c>
      <c r="Q493" s="3"/>
      <c r="R493" s="2">
        <v>0</v>
      </c>
      <c r="S493" s="3">
        <v>0</v>
      </c>
      <c r="T493" s="2">
        <v>0</v>
      </c>
      <c r="U493" s="13" t="s">
        <v>33</v>
      </c>
      <c r="V493" s="13" t="str">
        <f t="shared" si="49"/>
        <v>No</v>
      </c>
      <c r="W493" s="13" t="str">
        <f t="shared" si="49"/>
        <v>Yes</v>
      </c>
      <c r="X493" s="13" t="str">
        <f t="shared" si="49"/>
        <v>Yes</v>
      </c>
      <c r="Y493" s="13" t="str">
        <f t="shared" si="49"/>
        <v>No</v>
      </c>
      <c r="Z493" s="13" t="str">
        <f t="shared" si="49"/>
        <v>No</v>
      </c>
      <c r="AA493" s="71" t="e">
        <f>+(Table1[[#This Row],[Everyday price]]-Table1[[#This Row],[Promo Price]])/Table1[[#This Row],[Everyday price]]</f>
        <v>#DIV/0!</v>
      </c>
      <c r="AC493" s="69"/>
      <c r="AH493" s="6"/>
      <c r="AJ493" s="116" t="str">
        <f>IF(AND(ISNUMBER(Table1[[#This Row],[Lift  ]]),ISNUMBER(Table1[[#This Row],[Plan lift, %]]),Table1[[#This Row],[Plan lift, %]]&lt;&gt;0),Table1[[#This Row],[Lift  ]]-Table1[[#This Row],[Plan lift, %]],"")</f>
        <v/>
      </c>
      <c r="AK493" s="116"/>
    </row>
    <row r="494" spans="1:39" x14ac:dyDescent="0.35">
      <c r="A494" t="s">
        <v>658</v>
      </c>
      <c r="B494" s="12">
        <v>1208</v>
      </c>
      <c r="C494" s="21" t="s">
        <v>386</v>
      </c>
      <c r="D494" s="13" t="s">
        <v>1232</v>
      </c>
      <c r="E494" t="s">
        <v>387</v>
      </c>
      <c r="F494" s="21" t="s">
        <v>659</v>
      </c>
      <c r="G494" t="s">
        <v>60</v>
      </c>
      <c r="H494" s="14">
        <v>46235</v>
      </c>
      <c r="I494" s="14">
        <v>46242</v>
      </c>
      <c r="J494" s="13" t="s">
        <v>24</v>
      </c>
      <c r="L494" s="2">
        <v>1913.16</v>
      </c>
      <c r="M494" s="2">
        <v>6377.16</v>
      </c>
      <c r="N494" s="2">
        <v>1275.44</v>
      </c>
      <c r="O494" s="2">
        <v>7652.6</v>
      </c>
      <c r="P494" s="3">
        <v>0.2</v>
      </c>
      <c r="Q494" s="3"/>
      <c r="R494" s="2">
        <v>0</v>
      </c>
      <c r="S494" s="3">
        <v>0</v>
      </c>
      <c r="T494" s="2">
        <v>0</v>
      </c>
      <c r="U494" s="13" t="s">
        <v>25</v>
      </c>
      <c r="V494" s="13" t="str">
        <f t="shared" si="49"/>
        <v>No</v>
      </c>
      <c r="W494" s="13" t="str">
        <f t="shared" si="49"/>
        <v>Yes</v>
      </c>
      <c r="X494" s="13" t="str">
        <f t="shared" si="49"/>
        <v>No</v>
      </c>
      <c r="Y494" s="13" t="str">
        <f t="shared" si="49"/>
        <v>No</v>
      </c>
      <c r="Z494" s="13" t="str">
        <f t="shared" si="49"/>
        <v>No</v>
      </c>
      <c r="AA494" s="71" t="e">
        <f>+(Table1[[#This Row],[Everyday price]]-Table1[[#This Row],[Promo Price]])/Table1[[#This Row],[Everyday price]]</f>
        <v>#DIV/0!</v>
      </c>
      <c r="AC494" s="69"/>
      <c r="AH494" s="6"/>
      <c r="AJ494" s="116" t="str">
        <f>IF(AND(ISNUMBER(Table1[[#This Row],[Lift  ]]),ISNUMBER(Table1[[#This Row],[Plan lift, %]]),Table1[[#This Row],[Plan lift, %]]&lt;&gt;0),Table1[[#This Row],[Lift  ]]-Table1[[#This Row],[Plan lift, %]],"")</f>
        <v/>
      </c>
      <c r="AK494" s="116"/>
    </row>
    <row r="495" spans="1:39" x14ac:dyDescent="0.35">
      <c r="A495" t="s">
        <v>629</v>
      </c>
      <c r="B495" s="12">
        <v>1209</v>
      </c>
      <c r="C495" s="21" t="s">
        <v>386</v>
      </c>
      <c r="D495" s="13" t="s">
        <v>1232</v>
      </c>
      <c r="E495" t="s">
        <v>387</v>
      </c>
      <c r="F495" s="21" t="s">
        <v>630</v>
      </c>
      <c r="G495" t="s">
        <v>44</v>
      </c>
      <c r="H495" s="14">
        <v>46327</v>
      </c>
      <c r="I495" s="14">
        <v>46354</v>
      </c>
      <c r="J495" s="13" t="s">
        <v>24</v>
      </c>
      <c r="L495" s="2">
        <v>8487.7199999999993</v>
      </c>
      <c r="M495" s="2">
        <v>21625.72</v>
      </c>
      <c r="N495" s="2">
        <v>4325.16</v>
      </c>
      <c r="O495" s="2">
        <v>25950.880000000001</v>
      </c>
      <c r="P495" s="3">
        <v>0.2</v>
      </c>
      <c r="Q495" s="3"/>
      <c r="R495" s="2">
        <v>0</v>
      </c>
      <c r="S495" s="3">
        <v>0</v>
      </c>
      <c r="T495" s="2">
        <v>0</v>
      </c>
      <c r="U495" s="13" t="s">
        <v>33</v>
      </c>
      <c r="V495" s="13" t="str">
        <f t="shared" si="49"/>
        <v>No</v>
      </c>
      <c r="W495" s="13" t="str">
        <f t="shared" si="49"/>
        <v>Yes</v>
      </c>
      <c r="X495" s="13" t="str">
        <f t="shared" si="49"/>
        <v>Yes</v>
      </c>
      <c r="Y495" s="13" t="str">
        <f t="shared" si="49"/>
        <v>No</v>
      </c>
      <c r="Z495" s="13" t="str">
        <f t="shared" si="49"/>
        <v>No</v>
      </c>
      <c r="AA495" s="71" t="e">
        <f>+(Table1[[#This Row],[Everyday price]]-Table1[[#This Row],[Promo Price]])/Table1[[#This Row],[Everyday price]]</f>
        <v>#DIV/0!</v>
      </c>
      <c r="AC495" s="69"/>
      <c r="AH495" s="6"/>
      <c r="AJ495" s="116" t="str">
        <f>IF(AND(ISNUMBER(Table1[[#This Row],[Lift  ]]),ISNUMBER(Table1[[#This Row],[Plan lift, %]]),Table1[[#This Row],[Plan lift, %]]&lt;&gt;0),Table1[[#This Row],[Lift  ]]-Table1[[#This Row],[Plan lift, %]],"")</f>
        <v/>
      </c>
      <c r="AK495" s="116"/>
    </row>
    <row r="496" spans="1:39" x14ac:dyDescent="0.35">
      <c r="A496" t="s">
        <v>1180</v>
      </c>
      <c r="B496" s="82">
        <v>1000</v>
      </c>
      <c r="C496" s="21" t="s">
        <v>434</v>
      </c>
      <c r="D496" s="15" t="s">
        <v>1512</v>
      </c>
      <c r="F496" s="21" t="s">
        <v>1181</v>
      </c>
      <c r="G496" t="s">
        <v>23</v>
      </c>
      <c r="H496" s="14">
        <v>46054</v>
      </c>
      <c r="I496" s="14">
        <v>46081</v>
      </c>
      <c r="J496" s="13" t="s">
        <v>24</v>
      </c>
      <c r="L496" s="2">
        <v>61328.91</v>
      </c>
      <c r="M496" s="2">
        <v>62216.85</v>
      </c>
      <c r="N496" s="2">
        <v>31108.42</v>
      </c>
      <c r="O496" s="2">
        <v>93325.27</v>
      </c>
      <c r="P496" s="3">
        <v>0.5</v>
      </c>
      <c r="Q496" s="3"/>
      <c r="R496" s="2">
        <v>0</v>
      </c>
      <c r="S496" s="3">
        <v>0</v>
      </c>
      <c r="T496" s="2">
        <v>0</v>
      </c>
      <c r="U496" s="13" t="s">
        <v>33</v>
      </c>
      <c r="V496" s="13" t="str">
        <f t="shared" si="49"/>
        <v>No</v>
      </c>
      <c r="W496" s="13" t="str">
        <f t="shared" si="49"/>
        <v>Yes</v>
      </c>
      <c r="X496" s="13" t="str">
        <f t="shared" si="49"/>
        <v>Yes</v>
      </c>
      <c r="Y496" s="13" t="str">
        <f t="shared" si="49"/>
        <v>No</v>
      </c>
      <c r="Z496" s="13" t="str">
        <f t="shared" si="49"/>
        <v>No</v>
      </c>
      <c r="AA496" s="71">
        <f>+(Table1[[#This Row],[Everyday price]]-Table1[[#This Row],[Promo Price]])/Table1[[#This Row],[Everyday price]]</f>
        <v>0.20066889632107024</v>
      </c>
      <c r="AB496" s="69">
        <v>2.39</v>
      </c>
      <c r="AC496" s="69">
        <v>2.99</v>
      </c>
      <c r="AD496" s="40" t="s">
        <v>1257</v>
      </c>
      <c r="AE496" s="5">
        <v>46048</v>
      </c>
      <c r="AF496" s="5">
        <v>46075</v>
      </c>
      <c r="AG496" s="20">
        <v>49440</v>
      </c>
      <c r="AH496" s="6">
        <v>27579</v>
      </c>
      <c r="AI496" s="11">
        <f>Table1[[#This Row],[Incremental Units]]/Table1[[#This Row],[Base Units]]</f>
        <v>0.55782766990291266</v>
      </c>
      <c r="AJ496" s="11">
        <f>IF(AND(ISNUMBER(Table1[[#This Row],[Lift  ]]),ISNUMBER(Table1[[#This Row],[Plan lift, %]]),Table1[[#This Row],[Plan lift, %]]&lt;&gt;0),Table1[[#This Row],[Lift  ]]-Table1[[#This Row],[Plan lift, %]],"")</f>
        <v>5.782766990291266E-2</v>
      </c>
      <c r="AK496" s="11"/>
      <c r="AL496" s="71" t="s">
        <v>1400</v>
      </c>
      <c r="AM496" s="4" t="s">
        <v>1377</v>
      </c>
    </row>
    <row r="497" spans="1:39" x14ac:dyDescent="0.35">
      <c r="A497" t="s">
        <v>1007</v>
      </c>
      <c r="B497" s="82">
        <v>1001</v>
      </c>
      <c r="C497" s="21" t="s">
        <v>434</v>
      </c>
      <c r="D497" s="15" t="s">
        <v>1512</v>
      </c>
      <c r="F497" s="21" t="s">
        <v>1008</v>
      </c>
      <c r="G497" t="s">
        <v>23</v>
      </c>
      <c r="H497" s="14">
        <v>46143</v>
      </c>
      <c r="I497" s="14">
        <v>46173</v>
      </c>
      <c r="J497" s="13" t="s">
        <v>24</v>
      </c>
      <c r="L497" s="2">
        <v>87584.65</v>
      </c>
      <c r="M497" s="2">
        <v>112288.02</v>
      </c>
      <c r="N497" s="2">
        <v>33686.410000000003</v>
      </c>
      <c r="O497" s="2">
        <v>145974.43</v>
      </c>
      <c r="P497" s="3">
        <v>0.3</v>
      </c>
      <c r="Q497" s="3"/>
      <c r="R497" s="2">
        <v>0</v>
      </c>
      <c r="S497" s="3">
        <v>0</v>
      </c>
      <c r="T497" s="2">
        <v>0</v>
      </c>
      <c r="U497" s="13" t="s">
        <v>25</v>
      </c>
      <c r="V497" s="13" t="str">
        <f t="shared" si="49"/>
        <v>No</v>
      </c>
      <c r="W497" s="13" t="str">
        <f t="shared" si="49"/>
        <v>Yes</v>
      </c>
      <c r="X497" s="13" t="str">
        <f t="shared" si="49"/>
        <v>No</v>
      </c>
      <c r="Y497" s="13" t="str">
        <f t="shared" si="49"/>
        <v>No</v>
      </c>
      <c r="Z497" s="13" t="str">
        <f t="shared" si="49"/>
        <v>No</v>
      </c>
      <c r="AA497" s="71">
        <f>+(Table1[[#This Row],[Everyday price]]-Table1[[#This Row],[Promo Price]])/Table1[[#This Row],[Everyday price]]</f>
        <v>0.16387959866220742</v>
      </c>
      <c r="AB497" s="69">
        <v>2.5</v>
      </c>
      <c r="AC497" s="69">
        <v>2.99</v>
      </c>
      <c r="AD497" s="40" t="s">
        <v>1257</v>
      </c>
      <c r="AE497" s="5">
        <v>46139</v>
      </c>
      <c r="AF497" s="5">
        <v>46166</v>
      </c>
      <c r="AG497" s="20">
        <v>44648</v>
      </c>
      <c r="AH497" s="6">
        <v>14348</v>
      </c>
      <c r="AI497" s="11">
        <f>Table1[[#This Row],[Incremental Units]]/Table1[[#This Row],[Base Units]]</f>
        <v>0.32135817953771728</v>
      </c>
      <c r="AJ497" s="11">
        <f>IF(AND(ISNUMBER(Table1[[#This Row],[Lift  ]]),ISNUMBER(Table1[[#This Row],[Plan lift, %]]),Table1[[#This Row],[Plan lift, %]]&lt;&gt;0),Table1[[#This Row],[Lift  ]]-Table1[[#This Row],[Plan lift, %]],"")</f>
        <v>2.1358179537717292E-2</v>
      </c>
      <c r="AK497" s="11"/>
      <c r="AL497" s="71" t="s">
        <v>1400</v>
      </c>
      <c r="AM497" s="4" t="s">
        <v>1378</v>
      </c>
    </row>
    <row r="498" spans="1:39" x14ac:dyDescent="0.35">
      <c r="A498" t="s">
        <v>433</v>
      </c>
      <c r="B498" s="12">
        <v>1002</v>
      </c>
      <c r="C498" s="21" t="s">
        <v>434</v>
      </c>
      <c r="D498" s="15" t="s">
        <v>1512</v>
      </c>
      <c r="F498" s="21" t="s">
        <v>435</v>
      </c>
      <c r="G498" t="s">
        <v>60</v>
      </c>
      <c r="H498" s="14">
        <v>46235</v>
      </c>
      <c r="I498" s="14">
        <v>46265</v>
      </c>
      <c r="J498" s="13" t="s">
        <v>24</v>
      </c>
      <c r="L498" s="2">
        <v>58826.97</v>
      </c>
      <c r="M498" s="2">
        <v>75419.199999999997</v>
      </c>
      <c r="N498" s="2">
        <v>22625.77</v>
      </c>
      <c r="O498" s="2">
        <v>98044.97</v>
      </c>
      <c r="P498" s="3">
        <v>0.3</v>
      </c>
      <c r="Q498" s="3"/>
      <c r="R498" s="2">
        <v>0</v>
      </c>
      <c r="S498" s="3">
        <v>0</v>
      </c>
      <c r="T498" s="2">
        <v>0</v>
      </c>
      <c r="U498" s="13" t="s">
        <v>25</v>
      </c>
      <c r="V498" s="13" t="str">
        <f t="shared" si="49"/>
        <v>No</v>
      </c>
      <c r="W498" s="13" t="str">
        <f t="shared" si="49"/>
        <v>Yes</v>
      </c>
      <c r="X498" s="13" t="str">
        <f t="shared" si="49"/>
        <v>No</v>
      </c>
      <c r="Y498" s="13" t="str">
        <f t="shared" si="49"/>
        <v>No</v>
      </c>
      <c r="Z498" s="13" t="str">
        <f t="shared" si="49"/>
        <v>No</v>
      </c>
      <c r="AA498" s="71" t="e">
        <f>+(Table1[[#This Row],[Everyday price]]-Table1[[#This Row],[Promo Price]])/Table1[[#This Row],[Everyday price]]</f>
        <v>#DIV/0!</v>
      </c>
      <c r="AC498" s="69"/>
      <c r="AH498" s="6"/>
      <c r="AI498" s="11"/>
      <c r="AJ498" s="11" t="str">
        <f>IF(AND(ISNUMBER(Table1[[#This Row],[Lift  ]]),ISNUMBER(Table1[[#This Row],[Plan lift, %]]),Table1[[#This Row],[Plan lift, %]]&lt;&gt;0),Table1[[#This Row],[Lift  ]]-Table1[[#This Row],[Plan lift, %]],"")</f>
        <v/>
      </c>
      <c r="AK498" s="11"/>
      <c r="AL498" s="71"/>
    </row>
    <row r="499" spans="1:39" x14ac:dyDescent="0.35">
      <c r="A499" t="s">
        <v>580</v>
      </c>
      <c r="B499" s="12">
        <v>1003</v>
      </c>
      <c r="C499" s="21" t="s">
        <v>434</v>
      </c>
      <c r="D499" s="15" t="s">
        <v>1512</v>
      </c>
      <c r="F499" s="21" t="s">
        <v>581</v>
      </c>
      <c r="G499" t="s">
        <v>44</v>
      </c>
      <c r="H499" s="14">
        <v>46296</v>
      </c>
      <c r="I499" s="14">
        <v>46296</v>
      </c>
      <c r="J499" s="13" t="s">
        <v>24</v>
      </c>
      <c r="L499" s="2">
        <v>1479.93</v>
      </c>
      <c r="M499" s="2">
        <v>1897.34</v>
      </c>
      <c r="N499" s="2">
        <v>569.21</v>
      </c>
      <c r="O499" s="2">
        <v>2466.5500000000002</v>
      </c>
      <c r="P499" s="3">
        <v>0.3</v>
      </c>
      <c r="Q499" s="3"/>
      <c r="R499" s="2">
        <v>0</v>
      </c>
      <c r="S499" s="3">
        <v>0</v>
      </c>
      <c r="T499" s="2">
        <v>0</v>
      </c>
      <c r="U499" s="13" t="s">
        <v>25</v>
      </c>
      <c r="V499" s="13" t="str">
        <f t="shared" si="49"/>
        <v>No</v>
      </c>
      <c r="W499" s="13" t="str">
        <f t="shared" si="49"/>
        <v>Yes</v>
      </c>
      <c r="X499" s="13" t="str">
        <f t="shared" si="49"/>
        <v>No</v>
      </c>
      <c r="Y499" s="13" t="str">
        <f t="shared" si="49"/>
        <v>No</v>
      </c>
      <c r="Z499" s="13" t="str">
        <f t="shared" si="49"/>
        <v>No</v>
      </c>
      <c r="AA499" s="71" t="e">
        <f>+(Table1[[#This Row],[Everyday price]]-Table1[[#This Row],[Promo Price]])/Table1[[#This Row],[Everyday price]]</f>
        <v>#DIV/0!</v>
      </c>
      <c r="AC499" s="69"/>
      <c r="AH499" s="6"/>
      <c r="AI499" s="11"/>
      <c r="AJ499" s="11" t="str">
        <f>IF(AND(ISNUMBER(Table1[[#This Row],[Lift  ]]),ISNUMBER(Table1[[#This Row],[Plan lift, %]]),Table1[[#This Row],[Plan lift, %]]&lt;&gt;0),Table1[[#This Row],[Lift  ]]-Table1[[#This Row],[Plan lift, %]],"")</f>
        <v/>
      </c>
      <c r="AK499" s="11"/>
      <c r="AL499" s="71"/>
    </row>
    <row r="500" spans="1:39" x14ac:dyDescent="0.35">
      <c r="A500" t="s">
        <v>889</v>
      </c>
      <c r="B500" s="82">
        <v>1110</v>
      </c>
      <c r="C500" s="21" t="s">
        <v>412</v>
      </c>
      <c r="D500" s="13" t="s">
        <v>1232</v>
      </c>
      <c r="F500" s="21" t="s">
        <v>890</v>
      </c>
      <c r="G500" t="s">
        <v>23</v>
      </c>
      <c r="H500" s="14">
        <v>46024</v>
      </c>
      <c r="I500" s="14">
        <v>46051</v>
      </c>
      <c r="J500" s="13" t="s">
        <v>24</v>
      </c>
      <c r="L500" s="2">
        <v>14571.6</v>
      </c>
      <c r="M500" s="2">
        <v>42286.36</v>
      </c>
      <c r="N500" s="2">
        <v>0</v>
      </c>
      <c r="O500" s="2">
        <v>42286.36</v>
      </c>
      <c r="P500" s="3">
        <v>0</v>
      </c>
      <c r="Q500" s="3"/>
      <c r="R500" s="2">
        <v>0</v>
      </c>
      <c r="S500" s="3">
        <v>0</v>
      </c>
      <c r="T500" s="2">
        <v>0</v>
      </c>
      <c r="U500" s="13" t="s">
        <v>33</v>
      </c>
      <c r="V500" s="13" t="str">
        <f t="shared" si="49"/>
        <v>No</v>
      </c>
      <c r="W500" s="13" t="str">
        <f t="shared" si="49"/>
        <v>Yes</v>
      </c>
      <c r="X500" s="13" t="str">
        <f t="shared" si="49"/>
        <v>Yes</v>
      </c>
      <c r="Y500" s="13" t="str">
        <f t="shared" si="49"/>
        <v>No</v>
      </c>
      <c r="Z500" s="13" t="str">
        <f t="shared" si="49"/>
        <v>No</v>
      </c>
      <c r="AA500" s="71">
        <f>+(Table1[[#This Row],[Everyday price]]-Table1[[#This Row],[Promo Price]])/Table1[[#This Row],[Everyday price]]</f>
        <v>0.12666666666666662</v>
      </c>
      <c r="AB500" s="69">
        <v>2.62</v>
      </c>
      <c r="AC500" s="69">
        <v>3</v>
      </c>
      <c r="AD500" s="40" t="s">
        <v>1257</v>
      </c>
      <c r="AE500" s="5">
        <v>46027</v>
      </c>
      <c r="AF500" s="5">
        <v>46054</v>
      </c>
      <c r="AG500" s="20">
        <v>15438</v>
      </c>
      <c r="AH500" s="6">
        <v>4435</v>
      </c>
      <c r="AI500" s="11">
        <f>Table1[[#This Row],[Incremental Units]]/Table1[[#This Row],[Base Units]]</f>
        <v>0.28727814483741415</v>
      </c>
      <c r="AJ500" s="11" t="str">
        <f>IF(AND(ISNUMBER(Table1[[#This Row],[Lift  ]]),ISNUMBER(Table1[[#This Row],[Plan lift, %]]),Table1[[#This Row],[Plan lift, %]]&lt;&gt;0),Table1[[#This Row],[Lift  ]]-Table1[[#This Row],[Plan lift, %]],"")</f>
        <v/>
      </c>
      <c r="AK500" s="11"/>
      <c r="AL500" s="71" t="s">
        <v>1400</v>
      </c>
    </row>
    <row r="501" spans="1:39" x14ac:dyDescent="0.35">
      <c r="A501" t="s">
        <v>530</v>
      </c>
      <c r="B501" s="82">
        <v>1109</v>
      </c>
      <c r="C501" s="21" t="s">
        <v>412</v>
      </c>
      <c r="D501" s="13" t="s">
        <v>1232</v>
      </c>
      <c r="F501" s="21" t="s">
        <v>531</v>
      </c>
      <c r="G501" t="s">
        <v>23</v>
      </c>
      <c r="H501" s="14">
        <v>46052</v>
      </c>
      <c r="I501" s="14">
        <v>46079</v>
      </c>
      <c r="J501" s="13" t="s">
        <v>29</v>
      </c>
      <c r="L501" s="2">
        <v>6739.2</v>
      </c>
      <c r="M501" s="2">
        <v>5760</v>
      </c>
      <c r="N501" s="2">
        <v>1728</v>
      </c>
      <c r="O501" s="2">
        <v>7488</v>
      </c>
      <c r="P501" s="3">
        <v>0.3</v>
      </c>
      <c r="Q501" s="3"/>
      <c r="R501" s="2">
        <v>0</v>
      </c>
      <c r="S501" s="3">
        <v>0</v>
      </c>
      <c r="T501" s="2">
        <v>0</v>
      </c>
      <c r="U501" s="13" t="s">
        <v>25</v>
      </c>
      <c r="V501" s="13" t="str">
        <f t="shared" si="49"/>
        <v>No</v>
      </c>
      <c r="W501" s="13" t="str">
        <f t="shared" si="49"/>
        <v>Yes</v>
      </c>
      <c r="X501" s="13" t="str">
        <f t="shared" si="49"/>
        <v>No</v>
      </c>
      <c r="Y501" s="13" t="str">
        <f t="shared" si="49"/>
        <v>No</v>
      </c>
      <c r="Z501" s="13" t="str">
        <f t="shared" si="49"/>
        <v>No</v>
      </c>
      <c r="AA501" s="71">
        <f>+(Table1[[#This Row],[Everyday price]]-Table1[[#This Row],[Promo Price]])/Table1[[#This Row],[Everyday price]]</f>
        <v>8.7272727272727349E-2</v>
      </c>
      <c r="AB501" s="69">
        <v>10.039999999999999</v>
      </c>
      <c r="AC501" s="69">
        <v>11</v>
      </c>
      <c r="AD501" s="40" t="s">
        <v>1257</v>
      </c>
      <c r="AE501" s="5">
        <v>46055</v>
      </c>
      <c r="AF501" s="5">
        <v>46082</v>
      </c>
      <c r="AG501" s="20">
        <v>5802</v>
      </c>
      <c r="AH501" s="6">
        <v>2148</v>
      </c>
      <c r="AI501" s="11">
        <f>Table1[[#This Row],[Incremental Units]]/Table1[[#This Row],[Base Units]]</f>
        <v>0.3702171664943123</v>
      </c>
      <c r="AJ501" s="11">
        <f>IF(AND(ISNUMBER(Table1[[#This Row],[Lift  ]]),ISNUMBER(Table1[[#This Row],[Plan lift, %]]),Table1[[#This Row],[Plan lift, %]]&lt;&gt;0),Table1[[#This Row],[Lift  ]]-Table1[[#This Row],[Plan lift, %]],"")</f>
        <v>7.0217166494312311E-2</v>
      </c>
      <c r="AK501" s="11"/>
      <c r="AL501" s="71" t="s">
        <v>1400</v>
      </c>
    </row>
    <row r="502" spans="1:39" x14ac:dyDescent="0.35">
      <c r="A502" t="s">
        <v>617</v>
      </c>
      <c r="B502" s="82">
        <v>1113</v>
      </c>
      <c r="C502" s="21" t="s">
        <v>412</v>
      </c>
      <c r="D502" s="13" t="s">
        <v>1232</v>
      </c>
      <c r="F502" s="21" t="s">
        <v>618</v>
      </c>
      <c r="G502" t="s">
        <v>23</v>
      </c>
      <c r="H502" s="14">
        <v>46113</v>
      </c>
      <c r="I502" s="14">
        <v>46149</v>
      </c>
      <c r="J502" s="13" t="s">
        <v>24</v>
      </c>
      <c r="L502" s="2">
        <v>38527.589999999997</v>
      </c>
      <c r="M502" s="2">
        <v>46413.79</v>
      </c>
      <c r="N502" s="2">
        <v>0</v>
      </c>
      <c r="O502" s="2">
        <v>46413.79</v>
      </c>
      <c r="P502" s="3">
        <v>0</v>
      </c>
      <c r="Q502" s="3"/>
      <c r="R502" s="2">
        <v>0</v>
      </c>
      <c r="S502" s="3">
        <v>0</v>
      </c>
      <c r="T502" s="2">
        <v>0</v>
      </c>
      <c r="U502" s="13" t="s">
        <v>33</v>
      </c>
      <c r="V502" s="13" t="str">
        <f t="shared" ref="V502:Z511" si="50">IF(ISNUMBER(SEARCH(V$1,$U502)),"Yes","No")</f>
        <v>No</v>
      </c>
      <c r="W502" s="13" t="str">
        <f t="shared" si="50"/>
        <v>Yes</v>
      </c>
      <c r="X502" s="13" t="str">
        <f t="shared" si="50"/>
        <v>Yes</v>
      </c>
      <c r="Y502" s="13" t="str">
        <f t="shared" si="50"/>
        <v>No</v>
      </c>
      <c r="Z502" s="13" t="str">
        <f t="shared" si="50"/>
        <v>No</v>
      </c>
      <c r="AA502" s="71">
        <f>+(Table1[[#This Row],[Everyday price]]-Table1[[#This Row],[Promo Price]])/Table1[[#This Row],[Everyday price]]</f>
        <v>0.18394648829431445</v>
      </c>
      <c r="AB502" s="69">
        <v>2.44</v>
      </c>
      <c r="AC502" s="69">
        <v>2.99</v>
      </c>
      <c r="AD502" s="40" t="s">
        <v>1257</v>
      </c>
      <c r="AE502" s="5">
        <v>46125</v>
      </c>
      <c r="AF502" s="5">
        <v>46152</v>
      </c>
      <c r="AG502" s="20">
        <v>20005</v>
      </c>
      <c r="AH502" s="6">
        <v>10372</v>
      </c>
      <c r="AI502" s="11">
        <f>Table1[[#This Row],[Incremental Units]]/Table1[[#This Row],[Base Units]]</f>
        <v>0.51847038240439891</v>
      </c>
      <c r="AJ502" s="11" t="str">
        <f>IF(AND(ISNUMBER(Table1[[#This Row],[Lift  ]]),ISNUMBER(Table1[[#This Row],[Plan lift, %]]),Table1[[#This Row],[Plan lift, %]]&lt;&gt;0),Table1[[#This Row],[Lift  ]]-Table1[[#This Row],[Plan lift, %]],"")</f>
        <v/>
      </c>
      <c r="AK502" s="11"/>
      <c r="AL502" s="71" t="s">
        <v>1400</v>
      </c>
    </row>
    <row r="503" spans="1:39" x14ac:dyDescent="0.35">
      <c r="A503" t="s">
        <v>836</v>
      </c>
      <c r="B503" s="82">
        <v>1112</v>
      </c>
      <c r="C503" s="21" t="s">
        <v>412</v>
      </c>
      <c r="D503" s="13" t="s">
        <v>1232</v>
      </c>
      <c r="F503" s="21" t="s">
        <v>837</v>
      </c>
      <c r="G503" t="s">
        <v>23</v>
      </c>
      <c r="H503" s="14">
        <v>46136</v>
      </c>
      <c r="I503" s="14">
        <v>46163</v>
      </c>
      <c r="J503" s="13" t="s">
        <v>29</v>
      </c>
      <c r="L503" s="2">
        <v>6739.2</v>
      </c>
      <c r="M503" s="2">
        <v>5760</v>
      </c>
      <c r="N503" s="2">
        <v>1728</v>
      </c>
      <c r="O503" s="2">
        <v>7488</v>
      </c>
      <c r="P503" s="3">
        <v>0.3</v>
      </c>
      <c r="Q503" s="3"/>
      <c r="R503" s="2">
        <v>0</v>
      </c>
      <c r="S503" s="3">
        <v>0</v>
      </c>
      <c r="T503" s="2">
        <v>0</v>
      </c>
      <c r="U503" s="13" t="s">
        <v>25</v>
      </c>
      <c r="V503" s="13" t="str">
        <f t="shared" si="50"/>
        <v>No</v>
      </c>
      <c r="W503" s="13" t="str">
        <f t="shared" si="50"/>
        <v>Yes</v>
      </c>
      <c r="X503" s="13" t="str">
        <f t="shared" si="50"/>
        <v>No</v>
      </c>
      <c r="Y503" s="13" t="str">
        <f t="shared" si="50"/>
        <v>No</v>
      </c>
      <c r="Z503" s="13" t="str">
        <f t="shared" si="50"/>
        <v>No</v>
      </c>
      <c r="AA503" s="71">
        <f>+(Table1[[#This Row],[Everyday price]]-Table1[[#This Row],[Promo Price]])/Table1[[#This Row],[Everyday price]]</f>
        <v>8.7272727272727349E-2</v>
      </c>
      <c r="AB503" s="69">
        <v>10.039999999999999</v>
      </c>
      <c r="AC503" s="69">
        <v>11</v>
      </c>
      <c r="AD503" s="40" t="s">
        <v>1257</v>
      </c>
      <c r="AE503" s="5">
        <v>46139</v>
      </c>
      <c r="AF503" s="5">
        <v>46166</v>
      </c>
      <c r="AG503" s="20">
        <v>6359</v>
      </c>
      <c r="AH503" s="6">
        <v>2464</v>
      </c>
      <c r="AI503" s="11">
        <f>Table1[[#This Row],[Incremental Units]]/Table1[[#This Row],[Base Units]]</f>
        <v>0.38748230853907845</v>
      </c>
      <c r="AJ503" s="11">
        <f>IF(AND(ISNUMBER(Table1[[#This Row],[Lift  ]]),ISNUMBER(Table1[[#This Row],[Plan lift, %]]),Table1[[#This Row],[Plan lift, %]]&lt;&gt;0),Table1[[#This Row],[Lift  ]]-Table1[[#This Row],[Plan lift, %]],"")</f>
        <v>8.7482308539078457E-2</v>
      </c>
      <c r="AK503" s="11"/>
      <c r="AL503" s="71" t="s">
        <v>1400</v>
      </c>
    </row>
    <row r="504" spans="1:39" x14ac:dyDescent="0.35">
      <c r="A504" t="s">
        <v>411</v>
      </c>
      <c r="B504" s="12">
        <v>1111</v>
      </c>
      <c r="C504" s="21" t="s">
        <v>412</v>
      </c>
      <c r="D504" s="13" t="s">
        <v>1232</v>
      </c>
      <c r="F504" s="21" t="s">
        <v>413</v>
      </c>
      <c r="G504" t="s">
        <v>23</v>
      </c>
      <c r="H504" s="14">
        <v>46204</v>
      </c>
      <c r="I504" s="14">
        <v>46234</v>
      </c>
      <c r="J504" s="13" t="s">
        <v>24</v>
      </c>
      <c r="L504" s="2">
        <v>31402.54</v>
      </c>
      <c r="M504" s="2">
        <v>38768.57</v>
      </c>
      <c r="N504" s="2">
        <v>13569</v>
      </c>
      <c r="O504" s="2">
        <v>52337.57</v>
      </c>
      <c r="P504" s="3">
        <v>0.35</v>
      </c>
      <c r="Q504" s="3"/>
      <c r="R504" s="2">
        <v>0</v>
      </c>
      <c r="S504" s="3">
        <v>0</v>
      </c>
      <c r="T504" s="2">
        <v>0</v>
      </c>
      <c r="U504" s="13" t="s">
        <v>25</v>
      </c>
      <c r="V504" s="13" t="str">
        <f t="shared" si="50"/>
        <v>No</v>
      </c>
      <c r="W504" s="13" t="str">
        <f t="shared" si="50"/>
        <v>Yes</v>
      </c>
      <c r="X504" s="13" t="str">
        <f t="shared" si="50"/>
        <v>No</v>
      </c>
      <c r="Y504" s="13" t="str">
        <f t="shared" si="50"/>
        <v>No</v>
      </c>
      <c r="Z504" s="13" t="str">
        <f t="shared" si="50"/>
        <v>No</v>
      </c>
      <c r="AA504" s="71" t="e">
        <f>+(Table1[[#This Row],[Everyday price]]-Table1[[#This Row],[Promo Price]])/Table1[[#This Row],[Everyday price]]</f>
        <v>#DIV/0!</v>
      </c>
      <c r="AC504" s="69"/>
      <c r="AH504" s="6"/>
      <c r="AI504" s="11"/>
      <c r="AJ504" s="116" t="str">
        <f>IF(AND(ISNUMBER(Table1[[#This Row],[Lift  ]]),ISNUMBER(Table1[[#This Row],[Plan lift, %]]),Table1[[#This Row],[Plan lift, %]]&lt;&gt;0),Table1[[#This Row],[Lift  ]]-Table1[[#This Row],[Plan lift, %]],"")</f>
        <v/>
      </c>
      <c r="AK504" s="116"/>
    </row>
    <row r="505" spans="1:39" x14ac:dyDescent="0.35">
      <c r="A505" t="s">
        <v>510</v>
      </c>
      <c r="B505" s="12">
        <v>1108</v>
      </c>
      <c r="C505" s="21" t="s">
        <v>412</v>
      </c>
      <c r="D505" s="13" t="s">
        <v>1232</v>
      </c>
      <c r="F505" s="21" t="s">
        <v>511</v>
      </c>
      <c r="G505" t="s">
        <v>60</v>
      </c>
      <c r="H505" s="14">
        <v>46235</v>
      </c>
      <c r="I505" s="14">
        <v>46265</v>
      </c>
      <c r="J505" s="13" t="s">
        <v>29</v>
      </c>
      <c r="L505" s="2">
        <v>4974.18</v>
      </c>
      <c r="M505" s="2">
        <v>6377.15</v>
      </c>
      <c r="N505" s="2">
        <v>1913.15</v>
      </c>
      <c r="O505" s="2">
        <v>8290.2999999999993</v>
      </c>
      <c r="P505" s="3">
        <v>0.3</v>
      </c>
      <c r="Q505" s="3"/>
      <c r="R505" s="2">
        <v>0</v>
      </c>
      <c r="S505" s="3">
        <v>0</v>
      </c>
      <c r="T505" s="2">
        <v>0</v>
      </c>
      <c r="U505" s="13" t="s">
        <v>25</v>
      </c>
      <c r="V505" s="13" t="str">
        <f t="shared" si="50"/>
        <v>No</v>
      </c>
      <c r="W505" s="13" t="str">
        <f t="shared" si="50"/>
        <v>Yes</v>
      </c>
      <c r="X505" s="13" t="str">
        <f t="shared" si="50"/>
        <v>No</v>
      </c>
      <c r="Y505" s="13" t="str">
        <f t="shared" si="50"/>
        <v>No</v>
      </c>
      <c r="Z505" s="13" t="str">
        <f t="shared" si="50"/>
        <v>No</v>
      </c>
      <c r="AA505" s="71" t="e">
        <f>+(Table1[[#This Row],[Everyday price]]-Table1[[#This Row],[Promo Price]])/Table1[[#This Row],[Everyday price]]</f>
        <v>#DIV/0!</v>
      </c>
      <c r="AC505" s="69"/>
      <c r="AH505" s="6"/>
      <c r="AI505" s="11"/>
      <c r="AJ505" s="116" t="str">
        <f>IF(AND(ISNUMBER(Table1[[#This Row],[Lift  ]]),ISNUMBER(Table1[[#This Row],[Plan lift, %]]),Table1[[#This Row],[Plan lift, %]]&lt;&gt;0),Table1[[#This Row],[Lift  ]]-Table1[[#This Row],[Plan lift, %]],"")</f>
        <v/>
      </c>
      <c r="AK505" s="116"/>
    </row>
    <row r="506" spans="1:39" x14ac:dyDescent="0.35">
      <c r="A506" t="s">
        <v>1156</v>
      </c>
      <c r="B506" s="12">
        <v>1115</v>
      </c>
      <c r="C506" s="21" t="s">
        <v>412</v>
      </c>
      <c r="D506" s="13" t="s">
        <v>1232</v>
      </c>
      <c r="F506" s="21" t="s">
        <v>1157</v>
      </c>
      <c r="G506" t="s">
        <v>44</v>
      </c>
      <c r="H506" s="14">
        <v>46296</v>
      </c>
      <c r="I506" s="14">
        <v>46326</v>
      </c>
      <c r="J506" s="13" t="s">
        <v>24</v>
      </c>
      <c r="L506" s="2">
        <v>24258.48</v>
      </c>
      <c r="M506" s="2">
        <v>38813.57</v>
      </c>
      <c r="N506" s="2">
        <v>9703.3799999999992</v>
      </c>
      <c r="O506" s="2">
        <v>48516.95</v>
      </c>
      <c r="P506" s="3">
        <v>0.25</v>
      </c>
      <c r="Q506" s="3"/>
      <c r="R506" s="2">
        <v>0</v>
      </c>
      <c r="S506" s="3">
        <v>0</v>
      </c>
      <c r="T506" s="2">
        <v>0</v>
      </c>
      <c r="U506" s="13" t="s">
        <v>25</v>
      </c>
      <c r="V506" s="13" t="str">
        <f t="shared" si="50"/>
        <v>No</v>
      </c>
      <c r="W506" s="13" t="str">
        <f t="shared" si="50"/>
        <v>Yes</v>
      </c>
      <c r="X506" s="13" t="str">
        <f t="shared" si="50"/>
        <v>No</v>
      </c>
      <c r="Y506" s="13" t="str">
        <f t="shared" si="50"/>
        <v>No</v>
      </c>
      <c r="Z506" s="13" t="str">
        <f t="shared" si="50"/>
        <v>No</v>
      </c>
      <c r="AA506" s="71" t="e">
        <f>+(Table1[[#This Row],[Everyday price]]-Table1[[#This Row],[Promo Price]])/Table1[[#This Row],[Everyday price]]</f>
        <v>#DIV/0!</v>
      </c>
      <c r="AC506" s="69"/>
      <c r="AH506" s="6"/>
      <c r="AI506" s="11"/>
      <c r="AJ506" s="116" t="str">
        <f>IF(AND(ISNUMBER(Table1[[#This Row],[Lift  ]]),ISNUMBER(Table1[[#This Row],[Plan lift, %]]),Table1[[#This Row],[Plan lift, %]]&lt;&gt;0),Table1[[#This Row],[Lift  ]]-Table1[[#This Row],[Plan lift, %]],"")</f>
        <v/>
      </c>
      <c r="AK506" s="116"/>
    </row>
    <row r="507" spans="1:39" x14ac:dyDescent="0.35">
      <c r="A507" t="s">
        <v>713</v>
      </c>
      <c r="B507" s="12">
        <v>1114</v>
      </c>
      <c r="C507" s="21" t="s">
        <v>412</v>
      </c>
      <c r="D507" s="13" t="s">
        <v>1232</v>
      </c>
      <c r="F507" s="21" t="s">
        <v>714</v>
      </c>
      <c r="G507" t="s">
        <v>44</v>
      </c>
      <c r="H507" s="14">
        <v>46327</v>
      </c>
      <c r="I507" s="14">
        <v>46356</v>
      </c>
      <c r="J507" s="13" t="s">
        <v>29</v>
      </c>
      <c r="L507" s="2">
        <v>4813.71</v>
      </c>
      <c r="M507" s="2">
        <v>6171.43</v>
      </c>
      <c r="N507" s="2">
        <v>1851.43</v>
      </c>
      <c r="O507" s="2">
        <v>8022.86</v>
      </c>
      <c r="P507" s="3">
        <v>0.3</v>
      </c>
      <c r="Q507" s="3"/>
      <c r="R507" s="2">
        <v>0</v>
      </c>
      <c r="S507" s="3">
        <v>0</v>
      </c>
      <c r="T507" s="2">
        <v>0</v>
      </c>
      <c r="U507" s="13" t="s">
        <v>25</v>
      </c>
      <c r="V507" s="13" t="str">
        <f t="shared" si="50"/>
        <v>No</v>
      </c>
      <c r="W507" s="13" t="str">
        <f t="shared" si="50"/>
        <v>Yes</v>
      </c>
      <c r="X507" s="13" t="str">
        <f t="shared" si="50"/>
        <v>No</v>
      </c>
      <c r="Y507" s="13" t="str">
        <f t="shared" si="50"/>
        <v>No</v>
      </c>
      <c r="Z507" s="13" t="str">
        <f t="shared" si="50"/>
        <v>No</v>
      </c>
      <c r="AA507" s="71" t="e">
        <f>+(Table1[[#This Row],[Everyday price]]-Table1[[#This Row],[Promo Price]])/Table1[[#This Row],[Everyday price]]</f>
        <v>#DIV/0!</v>
      </c>
      <c r="AC507" s="69"/>
      <c r="AH507" s="6"/>
      <c r="AI507" s="11"/>
      <c r="AJ507" s="116" t="str">
        <f>IF(AND(ISNUMBER(Table1[[#This Row],[Lift  ]]),ISNUMBER(Table1[[#This Row],[Plan lift, %]]),Table1[[#This Row],[Plan lift, %]]&lt;&gt;0),Table1[[#This Row],[Lift  ]]-Table1[[#This Row],[Plan lift, %]],"")</f>
        <v/>
      </c>
      <c r="AK507" s="116"/>
    </row>
    <row r="508" spans="1:39" x14ac:dyDescent="0.35">
      <c r="A508" t="s">
        <v>1101</v>
      </c>
      <c r="B508" s="12">
        <v>1004</v>
      </c>
      <c r="C508" s="21" t="s">
        <v>537</v>
      </c>
      <c r="D508" s="13" t="s">
        <v>1232</v>
      </c>
      <c r="F508" s="21" t="s">
        <v>1102</v>
      </c>
      <c r="G508" t="s">
        <v>23</v>
      </c>
      <c r="H508" s="14">
        <v>46054</v>
      </c>
      <c r="I508" s="14">
        <v>46081</v>
      </c>
      <c r="J508" s="13" t="s">
        <v>24</v>
      </c>
      <c r="L508" s="2">
        <v>5112</v>
      </c>
      <c r="M508" s="2">
        <v>6400</v>
      </c>
      <c r="N508" s="2">
        <v>3200</v>
      </c>
      <c r="O508" s="2">
        <v>9600</v>
      </c>
      <c r="P508" s="3">
        <v>0.5</v>
      </c>
      <c r="Q508" s="3"/>
      <c r="R508" s="2">
        <v>0</v>
      </c>
      <c r="S508" s="3">
        <v>0</v>
      </c>
      <c r="T508" s="2">
        <v>0</v>
      </c>
      <c r="U508" s="13" t="s">
        <v>33</v>
      </c>
      <c r="V508" s="13" t="str">
        <f t="shared" si="50"/>
        <v>No</v>
      </c>
      <c r="W508" s="13" t="str">
        <f t="shared" si="50"/>
        <v>Yes</v>
      </c>
      <c r="X508" s="13" t="str">
        <f t="shared" si="50"/>
        <v>Yes</v>
      </c>
      <c r="Y508" s="13" t="str">
        <f t="shared" si="50"/>
        <v>No</v>
      </c>
      <c r="Z508" s="13" t="str">
        <f t="shared" si="50"/>
        <v>No</v>
      </c>
      <c r="AA508" s="71" t="e">
        <f>+(Table1[[#This Row],[Everyday price]]-Table1[[#This Row],[Promo Price]])/Table1[[#This Row],[Everyday price]]</f>
        <v>#DIV/0!</v>
      </c>
      <c r="AC508" s="69"/>
      <c r="AH508" s="6"/>
      <c r="AI508" s="11"/>
      <c r="AJ508" s="116" t="str">
        <f>IF(AND(ISNUMBER(Table1[[#This Row],[Lift  ]]),ISNUMBER(Table1[[#This Row],[Plan lift, %]]),Table1[[#This Row],[Plan lift, %]]&lt;&gt;0),Table1[[#This Row],[Lift  ]]-Table1[[#This Row],[Plan lift, %]],"")</f>
        <v/>
      </c>
      <c r="AK508" s="116"/>
    </row>
    <row r="509" spans="1:39" x14ac:dyDescent="0.35">
      <c r="A509" t="s">
        <v>1176</v>
      </c>
      <c r="B509" s="12">
        <v>1005</v>
      </c>
      <c r="C509" s="21" t="s">
        <v>537</v>
      </c>
      <c r="D509" s="13" t="s">
        <v>1232</v>
      </c>
      <c r="F509" s="21" t="s">
        <v>1177</v>
      </c>
      <c r="G509" t="s">
        <v>23</v>
      </c>
      <c r="H509" s="14">
        <v>46143</v>
      </c>
      <c r="I509" s="14">
        <v>46173</v>
      </c>
      <c r="J509" s="13" t="s">
        <v>24</v>
      </c>
      <c r="L509" s="2">
        <v>5145.42</v>
      </c>
      <c r="M509" s="2">
        <v>7085.71</v>
      </c>
      <c r="N509" s="2">
        <v>3542.85</v>
      </c>
      <c r="O509" s="2">
        <v>10628.56</v>
      </c>
      <c r="P509" s="3">
        <v>0.5</v>
      </c>
      <c r="Q509" s="3"/>
      <c r="R509" s="2">
        <v>0</v>
      </c>
      <c r="S509" s="3">
        <v>0</v>
      </c>
      <c r="T509" s="2">
        <v>0</v>
      </c>
      <c r="U509" s="13" t="s">
        <v>33</v>
      </c>
      <c r="V509" s="13" t="str">
        <f t="shared" si="50"/>
        <v>No</v>
      </c>
      <c r="W509" s="13" t="str">
        <f t="shared" si="50"/>
        <v>Yes</v>
      </c>
      <c r="X509" s="13" t="str">
        <f t="shared" si="50"/>
        <v>Yes</v>
      </c>
      <c r="Y509" s="13" t="str">
        <f t="shared" si="50"/>
        <v>No</v>
      </c>
      <c r="Z509" s="13" t="str">
        <f t="shared" si="50"/>
        <v>No</v>
      </c>
      <c r="AA509" s="71" t="e">
        <f>+(Table1[[#This Row],[Everyday price]]-Table1[[#This Row],[Promo Price]])/Table1[[#This Row],[Everyday price]]</f>
        <v>#DIV/0!</v>
      </c>
      <c r="AC509" s="69"/>
      <c r="AH509" s="6"/>
      <c r="AI509" s="11"/>
      <c r="AJ509" s="116" t="str">
        <f>IF(AND(ISNUMBER(Table1[[#This Row],[Lift  ]]),ISNUMBER(Table1[[#This Row],[Plan lift, %]]),Table1[[#This Row],[Plan lift, %]]&lt;&gt;0),Table1[[#This Row],[Lift  ]]-Table1[[#This Row],[Plan lift, %]],"")</f>
        <v/>
      </c>
      <c r="AK509" s="116"/>
    </row>
    <row r="510" spans="1:39" x14ac:dyDescent="0.35">
      <c r="A510" t="s">
        <v>536</v>
      </c>
      <c r="B510" s="12">
        <v>1006</v>
      </c>
      <c r="C510" s="21" t="s">
        <v>537</v>
      </c>
      <c r="D510" s="13" t="s">
        <v>1232</v>
      </c>
      <c r="F510" s="21" t="s">
        <v>538</v>
      </c>
      <c r="G510" t="s">
        <v>60</v>
      </c>
      <c r="H510" s="14">
        <v>46235</v>
      </c>
      <c r="I510" s="14">
        <v>46265</v>
      </c>
      <c r="J510" s="13" t="s">
        <v>24</v>
      </c>
      <c r="L510" s="2">
        <v>5595.42</v>
      </c>
      <c r="M510" s="2">
        <v>7085.71</v>
      </c>
      <c r="N510" s="2">
        <v>3542.85</v>
      </c>
      <c r="O510" s="2">
        <v>10628.56</v>
      </c>
      <c r="P510" s="3">
        <v>0.5</v>
      </c>
      <c r="Q510" s="3"/>
      <c r="R510" s="2">
        <v>0</v>
      </c>
      <c r="S510" s="3">
        <v>0</v>
      </c>
      <c r="T510" s="2">
        <v>0</v>
      </c>
      <c r="U510" s="13" t="s">
        <v>33</v>
      </c>
      <c r="V510" s="13" t="str">
        <f t="shared" si="50"/>
        <v>No</v>
      </c>
      <c r="W510" s="13" t="str">
        <f t="shared" si="50"/>
        <v>Yes</v>
      </c>
      <c r="X510" s="13" t="str">
        <f t="shared" si="50"/>
        <v>Yes</v>
      </c>
      <c r="Y510" s="13" t="str">
        <f t="shared" si="50"/>
        <v>No</v>
      </c>
      <c r="Z510" s="13" t="str">
        <f t="shared" si="50"/>
        <v>No</v>
      </c>
      <c r="AA510" s="71" t="e">
        <f>+(Table1[[#This Row],[Everyday price]]-Table1[[#This Row],[Promo Price]])/Table1[[#This Row],[Everyday price]]</f>
        <v>#DIV/0!</v>
      </c>
      <c r="AC510" s="69"/>
      <c r="AH510" s="6"/>
      <c r="AI510" s="11"/>
      <c r="AJ510" s="116" t="str">
        <f>IF(AND(ISNUMBER(Table1[[#This Row],[Lift  ]]),ISNUMBER(Table1[[#This Row],[Plan lift, %]]),Table1[[#This Row],[Plan lift, %]]&lt;&gt;0),Table1[[#This Row],[Lift  ]]-Table1[[#This Row],[Plan lift, %]],"")</f>
        <v/>
      </c>
      <c r="AK510" s="116"/>
    </row>
    <row r="511" spans="1:39" x14ac:dyDescent="0.35">
      <c r="A511" t="s">
        <v>974</v>
      </c>
      <c r="B511" s="12">
        <v>1007</v>
      </c>
      <c r="C511" s="21" t="s">
        <v>537</v>
      </c>
      <c r="D511" s="13" t="s">
        <v>1232</v>
      </c>
      <c r="F511" s="21" t="s">
        <v>975</v>
      </c>
      <c r="G511" t="s">
        <v>44</v>
      </c>
      <c r="H511" s="14">
        <v>46296</v>
      </c>
      <c r="I511" s="14">
        <v>46296</v>
      </c>
      <c r="J511" s="13" t="s">
        <v>24</v>
      </c>
      <c r="L511" s="2">
        <v>311.14999999999998</v>
      </c>
      <c r="M511" s="2">
        <v>228.57</v>
      </c>
      <c r="N511" s="2">
        <v>114.29</v>
      </c>
      <c r="O511" s="2">
        <v>342.86</v>
      </c>
      <c r="P511" s="3">
        <v>0.5</v>
      </c>
      <c r="Q511" s="3"/>
      <c r="R511" s="2">
        <v>0</v>
      </c>
      <c r="S511" s="3">
        <v>0</v>
      </c>
      <c r="T511" s="2">
        <v>0</v>
      </c>
      <c r="U511" s="13" t="s">
        <v>33</v>
      </c>
      <c r="V511" s="13" t="str">
        <f t="shared" si="50"/>
        <v>No</v>
      </c>
      <c r="W511" s="13" t="str">
        <f t="shared" si="50"/>
        <v>Yes</v>
      </c>
      <c r="X511" s="13" t="str">
        <f t="shared" si="50"/>
        <v>Yes</v>
      </c>
      <c r="Y511" s="13" t="str">
        <f t="shared" si="50"/>
        <v>No</v>
      </c>
      <c r="Z511" s="13" t="str">
        <f t="shared" si="50"/>
        <v>No</v>
      </c>
      <c r="AA511" s="71" t="e">
        <f>+(Table1[[#This Row],[Everyday price]]-Table1[[#This Row],[Promo Price]])/Table1[[#This Row],[Everyday price]]</f>
        <v>#DIV/0!</v>
      </c>
      <c r="AC511" s="69"/>
      <c r="AH511" s="6"/>
      <c r="AI511" s="11"/>
      <c r="AJ511" s="116" t="str">
        <f>IF(AND(ISNUMBER(Table1[[#This Row],[Lift  ]]),ISNUMBER(Table1[[#This Row],[Plan lift, %]]),Table1[[#This Row],[Plan lift, %]]&lt;&gt;0),Table1[[#This Row],[Lift  ]]-Table1[[#This Row],[Plan lift, %]],"")</f>
        <v/>
      </c>
      <c r="AK511" s="116"/>
    </row>
    <row r="512" spans="1:39" x14ac:dyDescent="0.35">
      <c r="A512" t="s">
        <v>558</v>
      </c>
      <c r="B512" s="82">
        <v>1408</v>
      </c>
      <c r="C512" s="21" t="s">
        <v>490</v>
      </c>
      <c r="D512" s="13" t="s">
        <v>1232</v>
      </c>
      <c r="E512" t="s">
        <v>491</v>
      </c>
      <c r="F512" s="21" t="s">
        <v>559</v>
      </c>
      <c r="G512" t="s">
        <v>23</v>
      </c>
      <c r="H512" s="14">
        <v>46019</v>
      </c>
      <c r="I512" s="14">
        <v>46025</v>
      </c>
      <c r="J512" s="13" t="s">
        <v>29</v>
      </c>
      <c r="L512" s="2">
        <v>58002.64</v>
      </c>
      <c r="M512" s="2">
        <v>41477.879999999997</v>
      </c>
      <c r="N512" s="2">
        <v>21568.48</v>
      </c>
      <c r="O512" s="2">
        <v>63046.36</v>
      </c>
      <c r="P512" s="3">
        <v>0.52</v>
      </c>
      <c r="Q512" s="3"/>
      <c r="R512" s="2">
        <v>993428.22</v>
      </c>
      <c r="S512" s="3">
        <v>13.1</v>
      </c>
      <c r="T512" s="2">
        <v>1069272</v>
      </c>
      <c r="U512" s="13" t="s">
        <v>199</v>
      </c>
      <c r="V512" s="13" t="str">
        <f t="shared" ref="V512:Z521" si="51">IF(ISNUMBER(SEARCH(V$1,$U512)),"Yes","No")</f>
        <v>No</v>
      </c>
      <c r="W512" s="13" t="str">
        <f t="shared" si="51"/>
        <v>No</v>
      </c>
      <c r="X512" s="13" t="str">
        <f t="shared" si="51"/>
        <v>No</v>
      </c>
      <c r="Y512" s="13" t="str">
        <f t="shared" si="51"/>
        <v>No</v>
      </c>
      <c r="Z512" s="13" t="str">
        <f t="shared" si="51"/>
        <v>No</v>
      </c>
      <c r="AA512" s="71">
        <f>+(Table1[[#This Row],[Everyday price]]-Table1[[#This Row],[Promo Price]])/Table1[[#This Row],[Everyday price]]</f>
        <v>9.8998887652947787E-2</v>
      </c>
      <c r="AB512" s="69">
        <v>8.1</v>
      </c>
      <c r="AC512" s="69">
        <v>8.99</v>
      </c>
      <c r="AD512" s="40" t="s">
        <v>1251</v>
      </c>
      <c r="AE512" s="5">
        <v>46020</v>
      </c>
      <c r="AF512" s="76">
        <v>46026</v>
      </c>
      <c r="AG512" s="20">
        <v>76538</v>
      </c>
      <c r="AH512" s="6">
        <v>100147</v>
      </c>
      <c r="AI512" s="11">
        <f>Table1[[#This Row],[Incremental Units]]/Table1[[#This Row],[Base Units]]</f>
        <v>1.3084611565496878</v>
      </c>
      <c r="AJ512" s="116">
        <f>IF(AND(ISNUMBER(Table1[[#This Row],[Lift  ]]),ISNUMBER(Table1[[#This Row],[Plan lift, %]]),Table1[[#This Row],[Plan lift, %]]&lt;&gt;0),Table1[[#This Row],[Lift  ]]-Table1[[#This Row],[Plan lift, %]],"")</f>
        <v>0.78846115654968774</v>
      </c>
      <c r="AK512" s="116"/>
      <c r="AL512" s="15" t="s">
        <v>1434</v>
      </c>
      <c r="AM512" s="4" t="s">
        <v>1474</v>
      </c>
    </row>
    <row r="513" spans="1:39" x14ac:dyDescent="0.35">
      <c r="A513" t="s">
        <v>906</v>
      </c>
      <c r="B513" s="82">
        <v>1419</v>
      </c>
      <c r="C513" s="21" t="s">
        <v>490</v>
      </c>
      <c r="D513" s="13" t="s">
        <v>1232</v>
      </c>
      <c r="E513" t="s">
        <v>491</v>
      </c>
      <c r="F513" s="21" t="s">
        <v>907</v>
      </c>
      <c r="G513" t="s">
        <v>23</v>
      </c>
      <c r="H513" s="14">
        <v>46026</v>
      </c>
      <c r="I513" s="14">
        <v>46032</v>
      </c>
      <c r="J513" s="13" t="s">
        <v>29</v>
      </c>
      <c r="L513" s="2">
        <v>268047.59999999998</v>
      </c>
      <c r="M513" s="2">
        <v>58398.17</v>
      </c>
      <c r="N513" s="2">
        <v>116796.34</v>
      </c>
      <c r="O513" s="2">
        <v>175194.51</v>
      </c>
      <c r="P513" s="3">
        <v>2</v>
      </c>
      <c r="Q513" s="3"/>
      <c r="R513" s="2">
        <v>-30087.5</v>
      </c>
      <c r="S513" s="3">
        <v>-0.38</v>
      </c>
      <c r="T513" s="2">
        <v>48276</v>
      </c>
      <c r="U513" s="13" t="s">
        <v>199</v>
      </c>
      <c r="V513" s="13" t="str">
        <f t="shared" si="51"/>
        <v>No</v>
      </c>
      <c r="W513" s="13" t="str">
        <f t="shared" si="51"/>
        <v>No</v>
      </c>
      <c r="X513" s="13" t="str">
        <f t="shared" si="51"/>
        <v>No</v>
      </c>
      <c r="Y513" s="13" t="str">
        <f t="shared" si="51"/>
        <v>No</v>
      </c>
      <c r="Z513" s="13" t="str">
        <f t="shared" si="51"/>
        <v>No</v>
      </c>
      <c r="AA513" s="71">
        <f>+(Table1[[#This Row],[Everyday price]]-Table1[[#This Row],[Promo Price]])/Table1[[#This Row],[Everyday price]]</f>
        <v>0.16129032258064518</v>
      </c>
      <c r="AB513" s="69">
        <v>7.54</v>
      </c>
      <c r="AC513" s="69">
        <v>8.99</v>
      </c>
      <c r="AD513" s="40" t="s">
        <v>1251</v>
      </c>
      <c r="AE513" s="5">
        <v>46027</v>
      </c>
      <c r="AF513" s="5">
        <v>46033</v>
      </c>
      <c r="AG513" s="20">
        <v>78668</v>
      </c>
      <c r="AH513" s="6">
        <v>172439</v>
      </c>
      <c r="AI513" s="11">
        <f>Table1[[#This Row],[Incremental Units]]/Table1[[#This Row],[Base Units]]</f>
        <v>2.1919840341689123</v>
      </c>
      <c r="AJ513" s="116">
        <f>IF(AND(ISNUMBER(Table1[[#This Row],[Lift  ]]),ISNUMBER(Table1[[#This Row],[Plan lift, %]]),Table1[[#This Row],[Plan lift, %]]&lt;&gt;0),Table1[[#This Row],[Lift  ]]-Table1[[#This Row],[Plan lift, %]],"")</f>
        <v>0.1919840341689123</v>
      </c>
      <c r="AK513" s="116"/>
      <c r="AL513" s="15" t="s">
        <v>1434</v>
      </c>
      <c r="AM513" s="4" t="s">
        <v>1475</v>
      </c>
    </row>
    <row r="514" spans="1:39" x14ac:dyDescent="0.35">
      <c r="A514" t="s">
        <v>489</v>
      </c>
      <c r="B514" s="82">
        <v>1420</v>
      </c>
      <c r="C514" s="21" t="s">
        <v>490</v>
      </c>
      <c r="D514" s="13" t="s">
        <v>1232</v>
      </c>
      <c r="E514" t="s">
        <v>491</v>
      </c>
      <c r="F514" s="21" t="s">
        <v>492</v>
      </c>
      <c r="G514" t="s">
        <v>23</v>
      </c>
      <c r="H514" s="14">
        <v>46033</v>
      </c>
      <c r="I514" s="14">
        <v>46067</v>
      </c>
      <c r="J514" s="13" t="s">
        <v>29</v>
      </c>
      <c r="L514" s="2">
        <v>297454.53000000003</v>
      </c>
      <c r="M514" s="2">
        <v>423279.88</v>
      </c>
      <c r="N514" s="2">
        <v>423279.88</v>
      </c>
      <c r="O514" s="2">
        <v>846559.76</v>
      </c>
      <c r="P514" s="3">
        <v>1</v>
      </c>
      <c r="Q514" s="3"/>
      <c r="R514" s="2">
        <v>4851773.75</v>
      </c>
      <c r="S514" s="3">
        <v>11.01</v>
      </c>
      <c r="T514" s="2">
        <v>5292432</v>
      </c>
      <c r="U514" s="13" t="s">
        <v>493</v>
      </c>
      <c r="V514" s="13" t="str">
        <f t="shared" si="51"/>
        <v>No</v>
      </c>
      <c r="W514" s="13" t="str">
        <f t="shared" si="51"/>
        <v>No</v>
      </c>
      <c r="X514" s="13" t="str">
        <f t="shared" si="51"/>
        <v>No</v>
      </c>
      <c r="Y514" s="13" t="str">
        <f t="shared" si="51"/>
        <v>No</v>
      </c>
      <c r="Z514" s="13" t="str">
        <f t="shared" si="51"/>
        <v>No</v>
      </c>
      <c r="AA514" s="71">
        <f>+(Table1[[#This Row],[Everyday price]]-Table1[[#This Row],[Promo Price]])/Table1[[#This Row],[Everyday price]]</f>
        <v>6.7853170189098935E-2</v>
      </c>
      <c r="AB514" s="69">
        <v>8.3800000000000008</v>
      </c>
      <c r="AC514" s="69">
        <v>8.99</v>
      </c>
      <c r="AD514" s="40" t="s">
        <v>1251</v>
      </c>
      <c r="AE514" s="5">
        <v>46034</v>
      </c>
      <c r="AF514" s="5">
        <v>46068</v>
      </c>
      <c r="AG514" s="20">
        <v>442933</v>
      </c>
      <c r="AH514" s="6">
        <v>468937</v>
      </c>
      <c r="AI514" s="11">
        <f>Table1[[#This Row],[Incremental Units]]/Table1[[#This Row],[Base Units]]</f>
        <v>1.0587086534532311</v>
      </c>
      <c r="AJ514" s="116">
        <f>IF(AND(ISNUMBER(Table1[[#This Row],[Lift  ]]),ISNUMBER(Table1[[#This Row],[Plan lift, %]]),Table1[[#This Row],[Plan lift, %]]&lt;&gt;0),Table1[[#This Row],[Lift  ]]-Table1[[#This Row],[Plan lift, %]],"")</f>
        <v>5.8708653453231063E-2</v>
      </c>
      <c r="AK514" s="116"/>
      <c r="AL514" s="15" t="s">
        <v>1434</v>
      </c>
      <c r="AM514" s="4" t="s">
        <v>1476</v>
      </c>
    </row>
    <row r="515" spans="1:39" x14ac:dyDescent="0.35">
      <c r="A515" t="s">
        <v>855</v>
      </c>
      <c r="B515" s="82">
        <v>1421</v>
      </c>
      <c r="C515" s="21" t="s">
        <v>490</v>
      </c>
      <c r="D515" s="13" t="s">
        <v>1232</v>
      </c>
      <c r="E515" t="s">
        <v>491</v>
      </c>
      <c r="F515" s="21" t="s">
        <v>856</v>
      </c>
      <c r="G515" t="s">
        <v>23</v>
      </c>
      <c r="H515" s="14">
        <v>46152</v>
      </c>
      <c r="I515" s="14">
        <v>46186</v>
      </c>
      <c r="J515" s="13" t="s">
        <v>29</v>
      </c>
      <c r="L515" s="2">
        <v>621325.79</v>
      </c>
      <c r="M515" s="2">
        <v>372201.74</v>
      </c>
      <c r="N515" s="2">
        <v>431754.02</v>
      </c>
      <c r="O515" s="2">
        <v>803955.76</v>
      </c>
      <c r="P515" s="3">
        <v>1.1599999999999999</v>
      </c>
      <c r="Q515" s="3"/>
      <c r="R515" s="2">
        <v>-12619.98</v>
      </c>
      <c r="S515" s="3">
        <v>-0.1</v>
      </c>
      <c r="T515" s="2">
        <v>119448</v>
      </c>
      <c r="U515" s="13" t="s">
        <v>199</v>
      </c>
      <c r="V515" s="13" t="str">
        <f t="shared" si="51"/>
        <v>No</v>
      </c>
      <c r="W515" s="13" t="str">
        <f t="shared" si="51"/>
        <v>No</v>
      </c>
      <c r="X515" s="13" t="str">
        <f t="shared" si="51"/>
        <v>No</v>
      </c>
      <c r="Y515" s="13" t="str">
        <f t="shared" si="51"/>
        <v>No</v>
      </c>
      <c r="Z515" s="13" t="str">
        <f t="shared" si="51"/>
        <v>No</v>
      </c>
      <c r="AA515" s="71">
        <f>+(Table1[[#This Row],[Everyday price]]-Table1[[#This Row],[Promo Price]])/Table1[[#This Row],[Everyday price]]</f>
        <v>0.10011123470522806</v>
      </c>
      <c r="AB515" s="69">
        <v>8.09</v>
      </c>
      <c r="AC515" s="69">
        <v>8.99</v>
      </c>
      <c r="AD515" s="40" t="s">
        <v>1251</v>
      </c>
      <c r="AE515" s="5">
        <v>46146</v>
      </c>
      <c r="AF515" s="5">
        <v>46187</v>
      </c>
      <c r="AG515" s="20">
        <v>485228</v>
      </c>
      <c r="AH515" s="6">
        <v>154132</v>
      </c>
      <c r="AI515" s="11">
        <f>Table1[[#This Row],[Incremental Units]]/Table1[[#This Row],[Base Units]]</f>
        <v>0.31764861055009191</v>
      </c>
      <c r="AJ515" s="116">
        <f>IF(AND(ISNUMBER(Table1[[#This Row],[Lift  ]]),ISNUMBER(Table1[[#This Row],[Plan lift, %]]),Table1[[#This Row],[Plan lift, %]]&lt;&gt;0),Table1[[#This Row],[Lift  ]]-Table1[[#This Row],[Plan lift, %]],"")</f>
        <v>-0.84235138944990795</v>
      </c>
      <c r="AK515" s="116"/>
      <c r="AL515" s="15" t="s">
        <v>1434</v>
      </c>
      <c r="AM515" s="4" t="s">
        <v>1477</v>
      </c>
    </row>
    <row r="516" spans="1:39" x14ac:dyDescent="0.35">
      <c r="A516" t="s">
        <v>795</v>
      </c>
      <c r="B516" s="12">
        <v>1011</v>
      </c>
      <c r="C516" s="21" t="s">
        <v>490</v>
      </c>
      <c r="D516" s="13" t="s">
        <v>1232</v>
      </c>
      <c r="E516" t="s">
        <v>491</v>
      </c>
      <c r="F516" s="21" t="s">
        <v>796</v>
      </c>
      <c r="G516" t="s">
        <v>60</v>
      </c>
      <c r="H516" s="14">
        <v>46235</v>
      </c>
      <c r="I516" s="14">
        <v>46264</v>
      </c>
      <c r="J516" s="13" t="s">
        <v>29</v>
      </c>
      <c r="L516" s="2">
        <v>274755.33</v>
      </c>
      <c r="M516" s="2">
        <v>392507.61</v>
      </c>
      <c r="N516" s="2">
        <v>157003.04999999999</v>
      </c>
      <c r="O516" s="2">
        <v>549510.66</v>
      </c>
      <c r="P516" s="3">
        <v>0.4</v>
      </c>
      <c r="Q516" s="3"/>
      <c r="R516" s="2">
        <v>92240.7</v>
      </c>
      <c r="S516" s="3">
        <v>0.28000000000000003</v>
      </c>
      <c r="T516" s="2">
        <v>420768</v>
      </c>
      <c r="U516" s="13" t="s">
        <v>25</v>
      </c>
      <c r="V516" s="13" t="str">
        <f t="shared" si="51"/>
        <v>No</v>
      </c>
      <c r="W516" s="13" t="str">
        <f t="shared" si="51"/>
        <v>Yes</v>
      </c>
      <c r="X516" s="13" t="str">
        <f t="shared" si="51"/>
        <v>No</v>
      </c>
      <c r="Y516" s="13" t="str">
        <f t="shared" si="51"/>
        <v>No</v>
      </c>
      <c r="Z516" s="13" t="str">
        <f t="shared" si="51"/>
        <v>No</v>
      </c>
      <c r="AA516" s="71" t="e">
        <f>+(Table1[[#This Row],[Everyday price]]-Table1[[#This Row],[Promo Price]])/Table1[[#This Row],[Everyday price]]</f>
        <v>#DIV/0!</v>
      </c>
      <c r="AC516" s="69"/>
      <c r="AH516" s="6"/>
      <c r="AJ516" s="116" t="str">
        <f>IF(AND(ISNUMBER(Table1[[#This Row],[Lift  ]]),ISNUMBER(Table1[[#This Row],[Plan lift, %]]),Table1[[#This Row],[Plan lift, %]]&lt;&gt;0),Table1[[#This Row],[Lift  ]]-Table1[[#This Row],[Plan lift, %]],"")</f>
        <v/>
      </c>
      <c r="AK516" s="116"/>
    </row>
    <row r="517" spans="1:39" x14ac:dyDescent="0.35">
      <c r="A517" t="s">
        <v>834</v>
      </c>
      <c r="B517" s="12">
        <v>1012</v>
      </c>
      <c r="C517" s="21" t="s">
        <v>490</v>
      </c>
      <c r="D517" s="13" t="s">
        <v>1232</v>
      </c>
      <c r="E517" t="s">
        <v>491</v>
      </c>
      <c r="F517" s="21" t="s">
        <v>835</v>
      </c>
      <c r="G517" t="s">
        <v>44</v>
      </c>
      <c r="H517" s="14">
        <v>46296</v>
      </c>
      <c r="I517" s="14">
        <v>46326</v>
      </c>
      <c r="J517" s="13" t="s">
        <v>29</v>
      </c>
      <c r="L517" s="2">
        <v>278815.75</v>
      </c>
      <c r="M517" s="2">
        <v>398308.21</v>
      </c>
      <c r="N517" s="2">
        <v>159323.29</v>
      </c>
      <c r="O517" s="2">
        <v>557631.5</v>
      </c>
      <c r="P517" s="3">
        <v>0.4</v>
      </c>
      <c r="Q517" s="3"/>
      <c r="R517" s="2">
        <v>0</v>
      </c>
      <c r="S517" s="3">
        <v>0</v>
      </c>
      <c r="T517" s="2">
        <v>0</v>
      </c>
      <c r="U517" s="13" t="s">
        <v>25</v>
      </c>
      <c r="V517" s="13" t="str">
        <f t="shared" si="51"/>
        <v>No</v>
      </c>
      <c r="W517" s="13" t="str">
        <f t="shared" si="51"/>
        <v>Yes</v>
      </c>
      <c r="X517" s="13" t="str">
        <f t="shared" si="51"/>
        <v>No</v>
      </c>
      <c r="Y517" s="13" t="str">
        <f t="shared" si="51"/>
        <v>No</v>
      </c>
      <c r="Z517" s="13" t="str">
        <f t="shared" si="51"/>
        <v>No</v>
      </c>
      <c r="AA517" s="71" t="e">
        <f>+(Table1[[#This Row],[Everyday price]]-Table1[[#This Row],[Promo Price]])/Table1[[#This Row],[Everyday price]]</f>
        <v>#DIV/0!</v>
      </c>
      <c r="AC517" s="69"/>
      <c r="AH517" s="6"/>
      <c r="AJ517" s="116" t="str">
        <f>IF(AND(ISNUMBER(Table1[[#This Row],[Lift  ]]),ISNUMBER(Table1[[#This Row],[Plan lift, %]]),Table1[[#This Row],[Plan lift, %]]&lt;&gt;0),Table1[[#This Row],[Lift  ]]-Table1[[#This Row],[Plan lift, %]],"")</f>
        <v/>
      </c>
      <c r="AK517" s="116"/>
    </row>
    <row r="518" spans="1:39" x14ac:dyDescent="0.35">
      <c r="A518" t="s">
        <v>993</v>
      </c>
      <c r="B518" s="12">
        <v>1320</v>
      </c>
      <c r="C518" s="21" t="s">
        <v>275</v>
      </c>
      <c r="D518" s="13" t="s">
        <v>1230</v>
      </c>
      <c r="F518" t="s">
        <v>994</v>
      </c>
      <c r="G518" t="s">
        <v>23</v>
      </c>
      <c r="H518" s="1">
        <v>46023</v>
      </c>
      <c r="I518" s="1">
        <v>46053</v>
      </c>
      <c r="J518" s="13" t="s">
        <v>24</v>
      </c>
      <c r="L518" s="2">
        <v>6100.2</v>
      </c>
      <c r="M518" s="2">
        <v>7367.37</v>
      </c>
      <c r="N518" s="2">
        <v>1473.48</v>
      </c>
      <c r="O518" s="2">
        <v>8840.85</v>
      </c>
      <c r="P518" s="3">
        <v>0.2</v>
      </c>
      <c r="Q518" s="3"/>
      <c r="R518" s="2">
        <v>0</v>
      </c>
      <c r="S518" s="3">
        <v>0</v>
      </c>
      <c r="T518" s="2">
        <v>0</v>
      </c>
      <c r="U518" t="s">
        <v>25</v>
      </c>
      <c r="V518" s="13" t="str">
        <f t="shared" si="51"/>
        <v>No</v>
      </c>
      <c r="W518" s="13" t="str">
        <f t="shared" si="51"/>
        <v>Yes</v>
      </c>
      <c r="X518" s="13" t="str">
        <f t="shared" si="51"/>
        <v>No</v>
      </c>
      <c r="Y518" s="13" t="str">
        <f t="shared" si="51"/>
        <v>No</v>
      </c>
      <c r="Z518" s="13" t="str">
        <f t="shared" si="51"/>
        <v>No</v>
      </c>
      <c r="AA518" s="71" t="e">
        <f>+(Table1[[#This Row],[Everyday price]]-Table1[[#This Row],[Promo Price]])/Table1[[#This Row],[Everyday price]]</f>
        <v>#DIV/0!</v>
      </c>
      <c r="AC518" s="69"/>
      <c r="AD518" s="13"/>
      <c r="AH518" s="6"/>
      <c r="AJ518" s="116" t="str">
        <f>IF(AND(ISNUMBER(Table1[[#This Row],[Lift  ]]),ISNUMBER(Table1[[#This Row],[Plan lift, %]]),Table1[[#This Row],[Plan lift, %]]&lt;&gt;0),Table1[[#This Row],[Lift  ]]-Table1[[#This Row],[Plan lift, %]],"")</f>
        <v/>
      </c>
      <c r="AK518" s="116"/>
    </row>
    <row r="519" spans="1:39" x14ac:dyDescent="0.35">
      <c r="A519" t="s">
        <v>274</v>
      </c>
      <c r="B519" s="12">
        <v>1321</v>
      </c>
      <c r="C519" s="21" t="s">
        <v>275</v>
      </c>
      <c r="D519" s="13" t="s">
        <v>1230</v>
      </c>
      <c r="F519" t="s">
        <v>276</v>
      </c>
      <c r="G519" t="s">
        <v>23</v>
      </c>
      <c r="H519" s="1">
        <v>46174</v>
      </c>
      <c r="I519" s="1">
        <v>46203</v>
      </c>
      <c r="J519" s="13" t="s">
        <v>24</v>
      </c>
      <c r="L519" s="2">
        <v>3518.48</v>
      </c>
      <c r="M519" s="2">
        <v>5760.9</v>
      </c>
      <c r="N519" s="2">
        <v>576.09</v>
      </c>
      <c r="O519" s="2">
        <v>6336.99</v>
      </c>
      <c r="P519" s="3">
        <v>0.1</v>
      </c>
      <c r="Q519" s="3"/>
      <c r="R519" s="2">
        <v>0</v>
      </c>
      <c r="S519" s="3">
        <v>0</v>
      </c>
      <c r="T519" s="2">
        <v>0</v>
      </c>
      <c r="U519" t="s">
        <v>33</v>
      </c>
      <c r="V519" s="13" t="str">
        <f t="shared" si="51"/>
        <v>No</v>
      </c>
      <c r="W519" s="13" t="str">
        <f t="shared" si="51"/>
        <v>Yes</v>
      </c>
      <c r="X519" s="13" t="str">
        <f t="shared" si="51"/>
        <v>Yes</v>
      </c>
      <c r="Y519" s="13" t="str">
        <f t="shared" si="51"/>
        <v>No</v>
      </c>
      <c r="Z519" s="13" t="str">
        <f t="shared" si="51"/>
        <v>No</v>
      </c>
      <c r="AA519" s="71" t="e">
        <f>+(Table1[[#This Row],[Everyday price]]-Table1[[#This Row],[Promo Price]])/Table1[[#This Row],[Everyday price]]</f>
        <v>#DIV/0!</v>
      </c>
      <c r="AC519" s="69"/>
      <c r="AD519" s="13"/>
      <c r="AH519" s="6"/>
      <c r="AJ519" s="116" t="str">
        <f>IF(AND(ISNUMBER(Table1[[#This Row],[Lift  ]]),ISNUMBER(Table1[[#This Row],[Plan lift, %]]),Table1[[#This Row],[Plan lift, %]]&lt;&gt;0),Table1[[#This Row],[Lift  ]]-Table1[[#This Row],[Plan lift, %]],"")</f>
        <v/>
      </c>
      <c r="AK519" s="116"/>
    </row>
    <row r="520" spans="1:39" x14ac:dyDescent="0.35">
      <c r="A520" t="s">
        <v>817</v>
      </c>
      <c r="B520" s="12">
        <v>1322</v>
      </c>
      <c r="C520" s="21" t="s">
        <v>275</v>
      </c>
      <c r="D520" s="13" t="s">
        <v>1230</v>
      </c>
      <c r="F520" t="s">
        <v>818</v>
      </c>
      <c r="G520" t="s">
        <v>44</v>
      </c>
      <c r="H520" s="1">
        <v>46266</v>
      </c>
      <c r="I520" s="1">
        <v>46295</v>
      </c>
      <c r="J520" s="13" t="s">
        <v>24</v>
      </c>
      <c r="L520" s="2">
        <v>4770.03</v>
      </c>
      <c r="M520" s="2">
        <v>5760.9</v>
      </c>
      <c r="N520" s="2">
        <v>1152.18</v>
      </c>
      <c r="O520" s="2">
        <v>6913.08</v>
      </c>
      <c r="P520" s="3">
        <v>0.2</v>
      </c>
      <c r="Q520" s="3"/>
      <c r="R520" s="2">
        <v>0</v>
      </c>
      <c r="S520" s="3">
        <v>0</v>
      </c>
      <c r="T520" s="2">
        <v>0</v>
      </c>
      <c r="U520" t="s">
        <v>25</v>
      </c>
      <c r="V520" s="13" t="str">
        <f t="shared" si="51"/>
        <v>No</v>
      </c>
      <c r="W520" s="13" t="str">
        <f t="shared" si="51"/>
        <v>Yes</v>
      </c>
      <c r="X520" s="13" t="str">
        <f t="shared" si="51"/>
        <v>No</v>
      </c>
      <c r="Y520" s="13" t="str">
        <f t="shared" si="51"/>
        <v>No</v>
      </c>
      <c r="Z520" s="13" t="str">
        <f t="shared" si="51"/>
        <v>No</v>
      </c>
      <c r="AA520" s="71" t="e">
        <f>+(Table1[[#This Row],[Everyday price]]-Table1[[#This Row],[Promo Price]])/Table1[[#This Row],[Everyday price]]</f>
        <v>#DIV/0!</v>
      </c>
      <c r="AC520" s="69"/>
      <c r="AD520" s="13"/>
      <c r="AH520" s="6"/>
      <c r="AJ520" s="116" t="str">
        <f>IF(AND(ISNUMBER(Table1[[#This Row],[Lift  ]]),ISNUMBER(Table1[[#This Row],[Plan lift, %]]),Table1[[#This Row],[Plan lift, %]]&lt;&gt;0),Table1[[#This Row],[Lift  ]]-Table1[[#This Row],[Plan lift, %]],"")</f>
        <v/>
      </c>
      <c r="AK520" s="116"/>
    </row>
    <row r="521" spans="1:39" x14ac:dyDescent="0.35">
      <c r="A521" t="s">
        <v>952</v>
      </c>
      <c r="B521" s="82">
        <v>1344</v>
      </c>
      <c r="C521" s="21" t="s">
        <v>868</v>
      </c>
      <c r="D521" s="15" t="s">
        <v>1512</v>
      </c>
      <c r="F521" s="21" t="s">
        <v>953</v>
      </c>
      <c r="G521" t="s">
        <v>23</v>
      </c>
      <c r="H521" s="14">
        <v>46023</v>
      </c>
      <c r="I521" s="14">
        <v>46053</v>
      </c>
      <c r="J521" s="13" t="s">
        <v>24</v>
      </c>
      <c r="L521" s="2">
        <v>8029.06</v>
      </c>
      <c r="M521" s="2">
        <v>4305.42</v>
      </c>
      <c r="N521" s="2">
        <v>2152.6999999999998</v>
      </c>
      <c r="O521" s="2">
        <v>6458.12</v>
      </c>
      <c r="P521" s="3">
        <v>0.5</v>
      </c>
      <c r="Q521" s="3"/>
      <c r="R521" s="2">
        <v>0</v>
      </c>
      <c r="S521" s="3">
        <v>0</v>
      </c>
      <c r="T521" s="2">
        <v>0</v>
      </c>
      <c r="U521" s="13" t="s">
        <v>954</v>
      </c>
      <c r="V521" s="13" t="str">
        <f t="shared" si="51"/>
        <v>No</v>
      </c>
      <c r="W521" s="13" t="str">
        <f t="shared" si="51"/>
        <v>Yes</v>
      </c>
      <c r="X521" s="13" t="str">
        <f t="shared" si="51"/>
        <v>No</v>
      </c>
      <c r="Y521" s="13" t="str">
        <f t="shared" si="51"/>
        <v>No</v>
      </c>
      <c r="Z521" s="13" t="str">
        <f t="shared" si="51"/>
        <v>Yes</v>
      </c>
      <c r="AA521" s="71">
        <f>+(Table1[[#This Row],[Everyday price]]-Table1[[#This Row],[Promo Price]])/Table1[[#This Row],[Everyday price]]</f>
        <v>0.18566775244299671</v>
      </c>
      <c r="AB521" s="69">
        <v>2.5</v>
      </c>
      <c r="AC521" s="69">
        <v>3.07</v>
      </c>
      <c r="AD521" s="40" t="s">
        <v>1256</v>
      </c>
      <c r="AE521" s="5">
        <v>46020</v>
      </c>
      <c r="AF521" s="5">
        <v>46054</v>
      </c>
      <c r="AG521" s="20">
        <v>6114</v>
      </c>
      <c r="AH521" s="6">
        <v>2888</v>
      </c>
      <c r="AI521" s="11">
        <f>Table1[[#This Row],[Incremental Units]]/Table1[[#This Row],[Base Units]]</f>
        <v>0.47235852142623486</v>
      </c>
      <c r="AJ521" s="11">
        <f>IF(AND(ISNUMBER(Table1[[#This Row],[Lift  ]]),ISNUMBER(Table1[[#This Row],[Plan lift, %]]),Table1[[#This Row],[Plan lift, %]]&lt;&gt;0),Table1[[#This Row],[Lift  ]]-Table1[[#This Row],[Plan lift, %]],"")</f>
        <v>-2.7641478573765144E-2</v>
      </c>
      <c r="AK521" s="11"/>
      <c r="AL521" s="71" t="s">
        <v>1400</v>
      </c>
    </row>
    <row r="522" spans="1:39" x14ac:dyDescent="0.35">
      <c r="A522" t="s">
        <v>867</v>
      </c>
      <c r="B522" s="82">
        <v>1518</v>
      </c>
      <c r="C522" s="21" t="s">
        <v>868</v>
      </c>
      <c r="D522" s="15" t="s">
        <v>1512</v>
      </c>
      <c r="F522" s="21" t="s">
        <v>869</v>
      </c>
      <c r="G522" t="s">
        <v>128</v>
      </c>
      <c r="H522" s="14">
        <v>46082</v>
      </c>
      <c r="I522" s="14">
        <v>46112</v>
      </c>
      <c r="J522" s="13" t="s">
        <v>24</v>
      </c>
      <c r="L522" s="2">
        <v>4527.05</v>
      </c>
      <c r="M522" s="2">
        <v>6036.06</v>
      </c>
      <c r="N522" s="2">
        <v>3018.03</v>
      </c>
      <c r="O522" s="2">
        <v>9054.09</v>
      </c>
      <c r="P522" s="3">
        <v>0.5</v>
      </c>
      <c r="Q522" s="3"/>
      <c r="R522" s="2">
        <v>0</v>
      </c>
      <c r="S522" s="3">
        <v>0</v>
      </c>
      <c r="T522" s="2">
        <v>0</v>
      </c>
      <c r="U522" s="13" t="s">
        <v>25</v>
      </c>
      <c r="V522" s="13" t="str">
        <f t="shared" ref="V522:Z531" si="52">IF(ISNUMBER(SEARCH(V$1,$U522)),"Yes","No")</f>
        <v>No</v>
      </c>
      <c r="W522" s="13" t="str">
        <f t="shared" si="52"/>
        <v>Yes</v>
      </c>
      <c r="X522" s="13" t="str">
        <f t="shared" si="52"/>
        <v>No</v>
      </c>
      <c r="Y522" s="13" t="str">
        <f t="shared" si="52"/>
        <v>No</v>
      </c>
      <c r="Z522" s="13" t="str">
        <f t="shared" si="52"/>
        <v>No</v>
      </c>
      <c r="AA522" s="71">
        <f>+(Table1[[#This Row],[Everyday price]]-Table1[[#This Row],[Promo Price]])/Table1[[#This Row],[Everyday price]]</f>
        <v>0.1693811074918567</v>
      </c>
      <c r="AB522" s="69">
        <v>2.5499999999999998</v>
      </c>
      <c r="AC522" s="69">
        <v>3.07</v>
      </c>
      <c r="AD522" s="40" t="s">
        <v>1257</v>
      </c>
      <c r="AE522" s="5">
        <v>46083</v>
      </c>
      <c r="AF522" s="5">
        <v>46110</v>
      </c>
      <c r="AG522" s="20">
        <v>5296</v>
      </c>
      <c r="AH522" s="6">
        <v>1783</v>
      </c>
      <c r="AI522" s="11">
        <f>Table1[[#This Row],[Incremental Units]]/Table1[[#This Row],[Base Units]]</f>
        <v>0.33666918429003023</v>
      </c>
      <c r="AJ522" s="11">
        <f>IF(AND(ISNUMBER(Table1[[#This Row],[Lift  ]]),ISNUMBER(Table1[[#This Row],[Plan lift, %]]),Table1[[#This Row],[Plan lift, %]]&lt;&gt;0),Table1[[#This Row],[Lift  ]]-Table1[[#This Row],[Plan lift, %]],"")</f>
        <v>-0.16333081570996977</v>
      </c>
      <c r="AK522" s="11"/>
      <c r="AL522" s="71" t="s">
        <v>1400</v>
      </c>
      <c r="AM522" s="4" t="s">
        <v>1395</v>
      </c>
    </row>
    <row r="523" spans="1:39" x14ac:dyDescent="0.35">
      <c r="A523" t="s">
        <v>1074</v>
      </c>
      <c r="B523" s="82">
        <v>1519</v>
      </c>
      <c r="C523" s="21" t="s">
        <v>868</v>
      </c>
      <c r="D523" s="15" t="s">
        <v>1512</v>
      </c>
      <c r="F523" s="21" t="s">
        <v>1075</v>
      </c>
      <c r="G523" t="s">
        <v>128</v>
      </c>
      <c r="H523" s="14">
        <v>46143</v>
      </c>
      <c r="I523" s="14">
        <v>46173</v>
      </c>
      <c r="J523" s="13" t="s">
        <v>24</v>
      </c>
      <c r="L523" s="2">
        <v>4137.18</v>
      </c>
      <c r="M523" s="2">
        <v>5516.23</v>
      </c>
      <c r="N523" s="2">
        <v>2758.11</v>
      </c>
      <c r="O523" s="2">
        <v>8274.34</v>
      </c>
      <c r="P523" s="3">
        <v>0.5</v>
      </c>
      <c r="Q523" s="3"/>
      <c r="R523" s="2">
        <v>0</v>
      </c>
      <c r="S523" s="3">
        <v>0</v>
      </c>
      <c r="T523" s="2">
        <v>0</v>
      </c>
      <c r="U523" s="13" t="s">
        <v>25</v>
      </c>
      <c r="V523" s="13" t="str">
        <f t="shared" si="52"/>
        <v>No</v>
      </c>
      <c r="W523" s="13" t="str">
        <f t="shared" si="52"/>
        <v>Yes</v>
      </c>
      <c r="X523" s="13" t="str">
        <f t="shared" si="52"/>
        <v>No</v>
      </c>
      <c r="Y523" s="13" t="str">
        <f t="shared" si="52"/>
        <v>No</v>
      </c>
      <c r="Z523" s="13" t="str">
        <f t="shared" si="52"/>
        <v>No</v>
      </c>
      <c r="AA523" s="71">
        <f>+(Table1[[#This Row],[Everyday price]]-Table1[[#This Row],[Promo Price]])/Table1[[#This Row],[Everyday price]]</f>
        <v>0.24012158054711247</v>
      </c>
      <c r="AB523" s="69">
        <v>2.5</v>
      </c>
      <c r="AC523" s="69">
        <v>3.29</v>
      </c>
      <c r="AD523" s="40" t="s">
        <v>1257</v>
      </c>
      <c r="AE523" s="5">
        <v>46149</v>
      </c>
      <c r="AF523" s="5">
        <v>46173</v>
      </c>
      <c r="AG523" s="20">
        <v>4393</v>
      </c>
      <c r="AH523" s="6">
        <v>1041</v>
      </c>
      <c r="AI523" s="11">
        <f>Table1[[#This Row],[Incremental Units]]/Table1[[#This Row],[Base Units]]</f>
        <v>0.23696790348281357</v>
      </c>
      <c r="AJ523" s="11">
        <f>IF(AND(ISNUMBER(Table1[[#This Row],[Lift  ]]),ISNUMBER(Table1[[#This Row],[Plan lift, %]]),Table1[[#This Row],[Plan lift, %]]&lt;&gt;0),Table1[[#This Row],[Lift  ]]-Table1[[#This Row],[Plan lift, %]],"")</f>
        <v>-0.2630320965171864</v>
      </c>
      <c r="AK523" s="11"/>
      <c r="AL523" s="71" t="s">
        <v>1400</v>
      </c>
      <c r="AM523" s="4" t="s">
        <v>1396</v>
      </c>
    </row>
    <row r="524" spans="1:39" x14ac:dyDescent="0.35">
      <c r="A524" t="s">
        <v>883</v>
      </c>
      <c r="B524" s="12">
        <v>1520</v>
      </c>
      <c r="C524" s="21" t="s">
        <v>868</v>
      </c>
      <c r="D524" s="15" t="s">
        <v>1512</v>
      </c>
      <c r="F524" s="21" t="s">
        <v>884</v>
      </c>
      <c r="G524" t="s">
        <v>128</v>
      </c>
      <c r="H524" s="14">
        <v>46235</v>
      </c>
      <c r="I524" s="14">
        <v>46265</v>
      </c>
      <c r="J524" s="13" t="s">
        <v>24</v>
      </c>
      <c r="L524" s="2">
        <v>4137.18</v>
      </c>
      <c r="M524" s="2">
        <v>5516.23</v>
      </c>
      <c r="N524" s="2">
        <v>2758.11</v>
      </c>
      <c r="O524" s="2">
        <v>8274.34</v>
      </c>
      <c r="P524" s="3">
        <v>0.5</v>
      </c>
      <c r="Q524" s="3"/>
      <c r="R524" s="2">
        <v>0</v>
      </c>
      <c r="S524" s="3">
        <v>0</v>
      </c>
      <c r="T524" s="2">
        <v>0</v>
      </c>
      <c r="U524" s="13" t="s">
        <v>25</v>
      </c>
      <c r="V524" s="13" t="str">
        <f t="shared" si="52"/>
        <v>No</v>
      </c>
      <c r="W524" s="13" t="str">
        <f t="shared" si="52"/>
        <v>Yes</v>
      </c>
      <c r="X524" s="13" t="str">
        <f t="shared" si="52"/>
        <v>No</v>
      </c>
      <c r="Y524" s="13" t="str">
        <f t="shared" si="52"/>
        <v>No</v>
      </c>
      <c r="Z524" s="13" t="str">
        <f t="shared" si="52"/>
        <v>No</v>
      </c>
      <c r="AA524" s="71" t="e">
        <f>+(Table1[[#This Row],[Everyday price]]-Table1[[#This Row],[Promo Price]])/Table1[[#This Row],[Everyday price]]</f>
        <v>#DIV/0!</v>
      </c>
      <c r="AC524" s="69"/>
      <c r="AH524" s="6"/>
      <c r="AJ524" s="116" t="str">
        <f>IF(AND(ISNUMBER(Table1[[#This Row],[Lift  ]]),ISNUMBER(Table1[[#This Row],[Plan lift, %]]),Table1[[#This Row],[Plan lift, %]]&lt;&gt;0),Table1[[#This Row],[Lift  ]]-Table1[[#This Row],[Plan lift, %]],"")</f>
        <v/>
      </c>
      <c r="AK524" s="116"/>
    </row>
    <row r="525" spans="1:39" x14ac:dyDescent="0.35">
      <c r="A525" t="s">
        <v>526</v>
      </c>
      <c r="B525" s="82">
        <v>1119</v>
      </c>
      <c r="C525" s="21" t="s">
        <v>46</v>
      </c>
      <c r="D525" s="13" t="s">
        <v>1232</v>
      </c>
      <c r="F525" s="21" t="s">
        <v>527</v>
      </c>
      <c r="G525" t="s">
        <v>23</v>
      </c>
      <c r="H525" s="14">
        <v>46023</v>
      </c>
      <c r="I525" s="14">
        <v>46052</v>
      </c>
      <c r="J525" s="13" t="s">
        <v>24</v>
      </c>
      <c r="L525" s="2">
        <v>20728.169999999998</v>
      </c>
      <c r="M525" s="2">
        <v>27916.74</v>
      </c>
      <c r="N525" s="2">
        <v>9770.85</v>
      </c>
      <c r="O525" s="2">
        <v>37687.589999999997</v>
      </c>
      <c r="P525" s="3">
        <v>0.35</v>
      </c>
      <c r="Q525" s="3"/>
      <c r="R525" s="2">
        <v>0</v>
      </c>
      <c r="S525" s="3">
        <v>0</v>
      </c>
      <c r="T525" s="2">
        <v>0</v>
      </c>
      <c r="U525" s="13" t="s">
        <v>25</v>
      </c>
      <c r="V525" s="13" t="str">
        <f t="shared" si="52"/>
        <v>No</v>
      </c>
      <c r="W525" s="13" t="str">
        <f t="shared" si="52"/>
        <v>Yes</v>
      </c>
      <c r="X525" s="13" t="str">
        <f t="shared" si="52"/>
        <v>No</v>
      </c>
      <c r="Y525" s="13" t="str">
        <f t="shared" si="52"/>
        <v>No</v>
      </c>
      <c r="Z525" s="13" t="str">
        <f t="shared" si="52"/>
        <v>No</v>
      </c>
      <c r="AA525" s="71">
        <f>+(Table1[[#This Row],[Everyday price]]-Table1[[#This Row],[Promo Price]])/Table1[[#This Row],[Everyday price]]</f>
        <v>0.3087248322147651</v>
      </c>
      <c r="AB525" s="69">
        <v>2.06</v>
      </c>
      <c r="AC525" s="69">
        <v>2.98</v>
      </c>
      <c r="AD525" s="41" t="s">
        <v>1251</v>
      </c>
      <c r="AE525" s="5">
        <v>46020</v>
      </c>
      <c r="AF525" s="5">
        <v>46054</v>
      </c>
      <c r="AG525" s="20">
        <v>28285</v>
      </c>
      <c r="AH525" s="6">
        <v>13772</v>
      </c>
      <c r="AI525" s="11">
        <f>Table1[[#This Row],[Incremental Units]]/Table1[[#This Row],[Base Units]]</f>
        <v>0.48690118437334279</v>
      </c>
      <c r="AJ525" s="11">
        <f>IF(AND(ISNUMBER(Table1[[#This Row],[Lift  ]]),ISNUMBER(Table1[[#This Row],[Plan lift, %]]),Table1[[#This Row],[Plan lift, %]]&lt;&gt;0),Table1[[#This Row],[Lift  ]]-Table1[[#This Row],[Plan lift, %]],"")</f>
        <v>0.13690118437334281</v>
      </c>
      <c r="AK525" s="11"/>
      <c r="AL525" s="71" t="s">
        <v>1400</v>
      </c>
      <c r="AM525" t="s">
        <v>1402</v>
      </c>
    </row>
    <row r="526" spans="1:39" x14ac:dyDescent="0.35">
      <c r="A526" t="s">
        <v>1131</v>
      </c>
      <c r="B526" s="82">
        <v>1118</v>
      </c>
      <c r="C526" s="21" t="s">
        <v>46</v>
      </c>
      <c r="D526" s="13" t="s">
        <v>1232</v>
      </c>
      <c r="F526" s="21" t="s">
        <v>1132</v>
      </c>
      <c r="G526" t="s">
        <v>23</v>
      </c>
      <c r="H526" s="14">
        <v>46054</v>
      </c>
      <c r="I526" s="14">
        <v>46081</v>
      </c>
      <c r="J526" s="13" t="s">
        <v>29</v>
      </c>
      <c r="L526" s="2">
        <v>3469.41</v>
      </c>
      <c r="M526" s="2">
        <v>4447.95</v>
      </c>
      <c r="N526" s="2">
        <v>1334.39</v>
      </c>
      <c r="O526" s="2">
        <v>5782.34</v>
      </c>
      <c r="P526" s="3">
        <v>0.3</v>
      </c>
      <c r="Q526" s="3"/>
      <c r="R526" s="2">
        <v>0</v>
      </c>
      <c r="S526" s="3">
        <v>0</v>
      </c>
      <c r="T526" s="2">
        <v>0</v>
      </c>
      <c r="U526" s="13" t="s">
        <v>25</v>
      </c>
      <c r="V526" s="13" t="str">
        <f t="shared" si="52"/>
        <v>No</v>
      </c>
      <c r="W526" s="13" t="str">
        <f t="shared" si="52"/>
        <v>Yes</v>
      </c>
      <c r="X526" s="13" t="str">
        <f t="shared" si="52"/>
        <v>No</v>
      </c>
      <c r="Y526" s="13" t="str">
        <f t="shared" si="52"/>
        <v>No</v>
      </c>
      <c r="Z526" s="13" t="str">
        <f t="shared" si="52"/>
        <v>No</v>
      </c>
      <c r="AA526" s="71">
        <f>+(Table1[[#This Row],[Everyday price]]-Table1[[#This Row],[Promo Price]])/Table1[[#This Row],[Everyday price]]</f>
        <v>9.318637274549095E-2</v>
      </c>
      <c r="AB526" s="69">
        <v>9.0500000000000007</v>
      </c>
      <c r="AC526" s="69">
        <v>9.98</v>
      </c>
      <c r="AD526" s="41" t="s">
        <v>1229</v>
      </c>
      <c r="AE526" s="5">
        <v>46055</v>
      </c>
      <c r="AF526" s="5">
        <v>46061</v>
      </c>
      <c r="AG526" s="20">
        <v>3501</v>
      </c>
      <c r="AH526" s="6">
        <v>2380</v>
      </c>
      <c r="AI526" s="11">
        <f>Table1[[#This Row],[Incremental Units]]/Table1[[#This Row],[Base Units]]</f>
        <v>0.6798057697800628</v>
      </c>
      <c r="AJ526" s="11">
        <f>IF(AND(ISNUMBER(Table1[[#This Row],[Lift  ]]),ISNUMBER(Table1[[#This Row],[Plan lift, %]]),Table1[[#This Row],[Plan lift, %]]&lt;&gt;0),Table1[[#This Row],[Lift  ]]-Table1[[#This Row],[Plan lift, %]],"")</f>
        <v>0.37980576978006281</v>
      </c>
      <c r="AK526" s="11"/>
      <c r="AL526" s="13" t="s">
        <v>1400</v>
      </c>
    </row>
    <row r="527" spans="1:39" x14ac:dyDescent="0.35">
      <c r="A527" t="s">
        <v>1087</v>
      </c>
      <c r="B527" s="82">
        <v>1116</v>
      </c>
      <c r="C527" s="21" t="s">
        <v>46</v>
      </c>
      <c r="D527" s="13" t="s">
        <v>1232</v>
      </c>
      <c r="F527" s="21" t="s">
        <v>1088</v>
      </c>
      <c r="G527" t="s">
        <v>23</v>
      </c>
      <c r="H527" s="14">
        <v>46113</v>
      </c>
      <c r="I527" s="14">
        <v>46142</v>
      </c>
      <c r="J527" s="13" t="s">
        <v>24</v>
      </c>
      <c r="L527" s="2">
        <v>10328.92</v>
      </c>
      <c r="M527" s="2">
        <v>25315.71</v>
      </c>
      <c r="N527" s="2">
        <v>0</v>
      </c>
      <c r="O527" s="2">
        <v>25315.71</v>
      </c>
      <c r="P527" s="3">
        <v>0</v>
      </c>
      <c r="Q527" s="3"/>
      <c r="R527" s="2">
        <v>0</v>
      </c>
      <c r="S527" s="3">
        <v>0</v>
      </c>
      <c r="T527" s="2">
        <v>0</v>
      </c>
      <c r="U527" s="13" t="s">
        <v>33</v>
      </c>
      <c r="V527" s="13" t="str">
        <f t="shared" si="52"/>
        <v>No</v>
      </c>
      <c r="W527" s="13" t="str">
        <f t="shared" si="52"/>
        <v>Yes</v>
      </c>
      <c r="X527" s="13" t="str">
        <f t="shared" si="52"/>
        <v>Yes</v>
      </c>
      <c r="Y527" s="13" t="str">
        <f t="shared" si="52"/>
        <v>No</v>
      </c>
      <c r="Z527" s="13" t="str">
        <f t="shared" si="52"/>
        <v>No</v>
      </c>
      <c r="AA527" s="71">
        <f>+(Table1[[#This Row],[Everyday price]]-Table1[[#This Row],[Promo Price]])/Table1[[#This Row],[Everyday price]]</f>
        <v>0.15050167224080271</v>
      </c>
      <c r="AB527" s="69">
        <v>2.54</v>
      </c>
      <c r="AC527" s="69">
        <v>2.99</v>
      </c>
      <c r="AD527" s="41" t="s">
        <v>1256</v>
      </c>
      <c r="AE527" s="5">
        <v>46118</v>
      </c>
      <c r="AF527" s="5">
        <v>46152</v>
      </c>
      <c r="AG527" s="20">
        <v>28153</v>
      </c>
      <c r="AH527" s="6">
        <v>10852</v>
      </c>
      <c r="AI527" s="11">
        <f>Table1[[#This Row],[Incremental Units]]/Table1[[#This Row],[Base Units]]</f>
        <v>0.3854651369303449</v>
      </c>
      <c r="AJ527" s="11" t="str">
        <f>IF(AND(ISNUMBER(Table1[[#This Row],[Lift  ]]),ISNUMBER(Table1[[#This Row],[Plan lift, %]]),Table1[[#This Row],[Plan lift, %]]&lt;&gt;0),Table1[[#This Row],[Lift  ]]-Table1[[#This Row],[Plan lift, %]],"")</f>
        <v/>
      </c>
      <c r="AK527" s="116"/>
      <c r="AL527" s="13" t="s">
        <v>1400</v>
      </c>
    </row>
    <row r="528" spans="1:39" x14ac:dyDescent="0.35">
      <c r="A528" t="s">
        <v>45</v>
      </c>
      <c r="B528" s="82">
        <v>1121</v>
      </c>
      <c r="C528" s="21" t="s">
        <v>46</v>
      </c>
      <c r="D528" s="13" t="s">
        <v>1232</v>
      </c>
      <c r="F528" s="21" t="s">
        <v>47</v>
      </c>
      <c r="G528" t="s">
        <v>23</v>
      </c>
      <c r="H528" s="14">
        <v>46143</v>
      </c>
      <c r="I528" s="14">
        <v>46173</v>
      </c>
      <c r="J528" s="13" t="s">
        <v>29</v>
      </c>
      <c r="L528" s="2">
        <v>2245.29</v>
      </c>
      <c r="M528" s="2">
        <v>2878.57</v>
      </c>
      <c r="N528" s="2">
        <v>863.57</v>
      </c>
      <c r="O528" s="2">
        <v>3742.14</v>
      </c>
      <c r="P528" s="3">
        <v>0.3</v>
      </c>
      <c r="Q528" s="3"/>
      <c r="R528" s="2">
        <v>0</v>
      </c>
      <c r="S528" s="3">
        <v>0</v>
      </c>
      <c r="T528" s="2">
        <v>0</v>
      </c>
      <c r="U528" s="13" t="s">
        <v>25</v>
      </c>
      <c r="V528" s="13" t="str">
        <f t="shared" si="52"/>
        <v>No</v>
      </c>
      <c r="W528" s="13" t="str">
        <f t="shared" si="52"/>
        <v>Yes</v>
      </c>
      <c r="X528" s="13" t="str">
        <f t="shared" si="52"/>
        <v>No</v>
      </c>
      <c r="Y528" s="13" t="str">
        <f t="shared" si="52"/>
        <v>No</v>
      </c>
      <c r="Z528" s="13" t="str">
        <f t="shared" si="52"/>
        <v>No</v>
      </c>
      <c r="AA528" s="71">
        <f>+(Table1[[#This Row],[Everyday price]]-Table1[[#This Row],[Promo Price]])/Table1[[#This Row],[Everyday price]]</f>
        <v>9.5190380761523155E-2</v>
      </c>
      <c r="AB528" s="69">
        <v>9.0299999999999994</v>
      </c>
      <c r="AC528" s="69">
        <v>9.98</v>
      </c>
      <c r="AD528" s="41" t="s">
        <v>1257</v>
      </c>
      <c r="AE528" s="5">
        <v>46153</v>
      </c>
      <c r="AF528" s="5">
        <v>46187</v>
      </c>
      <c r="AG528" s="20">
        <v>4422</v>
      </c>
      <c r="AH528" s="6">
        <v>1947</v>
      </c>
      <c r="AI528" s="11">
        <f>Table1[[#This Row],[Incremental Units]]/Table1[[#This Row],[Base Units]]</f>
        <v>0.44029850746268656</v>
      </c>
      <c r="AJ528" s="11">
        <f>IF(AND(ISNUMBER(Table1[[#This Row],[Lift  ]]),ISNUMBER(Table1[[#This Row],[Plan lift, %]]),Table1[[#This Row],[Plan lift, %]]&lt;&gt;0),Table1[[#This Row],[Lift  ]]-Table1[[#This Row],[Plan lift, %]],"")</f>
        <v>0.14029850746268657</v>
      </c>
      <c r="AK528" s="116"/>
      <c r="AL528" s="13" t="s">
        <v>1400</v>
      </c>
    </row>
    <row r="529" spans="1:38" x14ac:dyDescent="0.35">
      <c r="A529" t="s">
        <v>962</v>
      </c>
      <c r="B529" s="12">
        <v>1120</v>
      </c>
      <c r="C529" s="21" t="s">
        <v>46</v>
      </c>
      <c r="D529" s="13" t="s">
        <v>1232</v>
      </c>
      <c r="F529" s="21" t="s">
        <v>963</v>
      </c>
      <c r="G529" t="s">
        <v>23</v>
      </c>
      <c r="H529" s="14">
        <v>46204</v>
      </c>
      <c r="I529" s="14">
        <v>46234</v>
      </c>
      <c r="J529" s="13" t="s">
        <v>24</v>
      </c>
      <c r="L529" s="2">
        <v>16356.64</v>
      </c>
      <c r="M529" s="2">
        <v>22029.15</v>
      </c>
      <c r="N529" s="2">
        <v>7710.2</v>
      </c>
      <c r="O529" s="2">
        <v>29739.35</v>
      </c>
      <c r="P529" s="3">
        <v>0.35</v>
      </c>
      <c r="Q529" s="3"/>
      <c r="R529" s="2">
        <v>0</v>
      </c>
      <c r="S529" s="3">
        <v>0</v>
      </c>
      <c r="T529" s="2">
        <v>0</v>
      </c>
      <c r="U529" s="13" t="s">
        <v>25</v>
      </c>
      <c r="V529" s="13" t="str">
        <f t="shared" si="52"/>
        <v>No</v>
      </c>
      <c r="W529" s="13" t="str">
        <f t="shared" si="52"/>
        <v>Yes</v>
      </c>
      <c r="X529" s="13" t="str">
        <f t="shared" si="52"/>
        <v>No</v>
      </c>
      <c r="Y529" s="13" t="str">
        <f t="shared" si="52"/>
        <v>No</v>
      </c>
      <c r="Z529" s="13" t="str">
        <f t="shared" si="52"/>
        <v>No</v>
      </c>
      <c r="AA529" s="71" t="e">
        <f>+(Table1[[#This Row],[Everyday price]]-Table1[[#This Row],[Promo Price]])/Table1[[#This Row],[Everyday price]]</f>
        <v>#DIV/0!</v>
      </c>
      <c r="AC529" s="69"/>
      <c r="AH529" s="6"/>
      <c r="AJ529" s="116" t="str">
        <f>IF(AND(ISNUMBER(Table1[[#This Row],[Lift  ]]),ISNUMBER(Table1[[#This Row],[Plan lift, %]]),Table1[[#This Row],[Plan lift, %]]&lt;&gt;0),Table1[[#This Row],[Lift  ]]-Table1[[#This Row],[Plan lift, %]],"")</f>
        <v/>
      </c>
      <c r="AK529" s="116"/>
    </row>
    <row r="530" spans="1:38" x14ac:dyDescent="0.35">
      <c r="A530" t="s">
        <v>861</v>
      </c>
      <c r="B530" s="12">
        <v>1117</v>
      </c>
      <c r="C530" s="21" t="s">
        <v>46</v>
      </c>
      <c r="D530" s="13" t="s">
        <v>1232</v>
      </c>
      <c r="F530" s="21" t="s">
        <v>862</v>
      </c>
      <c r="G530" t="s">
        <v>60</v>
      </c>
      <c r="H530" s="14">
        <v>46235</v>
      </c>
      <c r="I530" s="14">
        <v>46265</v>
      </c>
      <c r="J530" s="13" t="s">
        <v>29</v>
      </c>
      <c r="L530" s="2">
        <v>2245.29</v>
      </c>
      <c r="M530" s="2">
        <v>2878.57</v>
      </c>
      <c r="N530" s="2">
        <v>863.57</v>
      </c>
      <c r="O530" s="2">
        <v>3742.14</v>
      </c>
      <c r="P530" s="3">
        <v>0.3</v>
      </c>
      <c r="Q530" s="3"/>
      <c r="R530" s="2">
        <v>0</v>
      </c>
      <c r="S530" s="3">
        <v>0</v>
      </c>
      <c r="T530" s="2">
        <v>0</v>
      </c>
      <c r="U530" s="13" t="s">
        <v>25</v>
      </c>
      <c r="V530" s="13" t="str">
        <f t="shared" si="52"/>
        <v>No</v>
      </c>
      <c r="W530" s="13" t="str">
        <f t="shared" si="52"/>
        <v>Yes</v>
      </c>
      <c r="X530" s="13" t="str">
        <f t="shared" si="52"/>
        <v>No</v>
      </c>
      <c r="Y530" s="13" t="str">
        <f t="shared" si="52"/>
        <v>No</v>
      </c>
      <c r="Z530" s="13" t="str">
        <f t="shared" si="52"/>
        <v>No</v>
      </c>
      <c r="AA530" s="71" t="e">
        <f>+(Table1[[#This Row],[Everyday price]]-Table1[[#This Row],[Promo Price]])/Table1[[#This Row],[Everyday price]]</f>
        <v>#DIV/0!</v>
      </c>
      <c r="AC530" s="69"/>
      <c r="AH530" s="6"/>
      <c r="AJ530" s="116" t="str">
        <f>IF(AND(ISNUMBER(Table1[[#This Row],[Lift  ]]),ISNUMBER(Table1[[#This Row],[Plan lift, %]]),Table1[[#This Row],[Plan lift, %]]&lt;&gt;0),Table1[[#This Row],[Lift  ]]-Table1[[#This Row],[Plan lift, %]],"")</f>
        <v/>
      </c>
      <c r="AK530" s="116"/>
    </row>
    <row r="531" spans="1:38" x14ac:dyDescent="0.35">
      <c r="A531" t="s">
        <v>832</v>
      </c>
      <c r="B531" s="12">
        <v>1123</v>
      </c>
      <c r="C531" s="21" t="s">
        <v>46</v>
      </c>
      <c r="D531" s="13" t="s">
        <v>1232</v>
      </c>
      <c r="F531" s="21" t="s">
        <v>833</v>
      </c>
      <c r="G531" t="s">
        <v>44</v>
      </c>
      <c r="H531" s="14">
        <v>46266</v>
      </c>
      <c r="I531" s="14">
        <v>46295</v>
      </c>
      <c r="J531" s="13" t="s">
        <v>24</v>
      </c>
      <c r="L531" s="2">
        <v>6225.27</v>
      </c>
      <c r="M531" s="2">
        <v>19920.810000000001</v>
      </c>
      <c r="N531" s="2">
        <v>4980.21</v>
      </c>
      <c r="O531" s="2">
        <v>24901.02</v>
      </c>
      <c r="P531" s="3">
        <v>0.25</v>
      </c>
      <c r="Q531" s="3"/>
      <c r="R531" s="2">
        <v>0</v>
      </c>
      <c r="S531" s="3">
        <v>0</v>
      </c>
      <c r="T531" s="2">
        <v>0</v>
      </c>
      <c r="U531" s="13" t="s">
        <v>25</v>
      </c>
      <c r="V531" s="13" t="str">
        <f t="shared" si="52"/>
        <v>No</v>
      </c>
      <c r="W531" s="13" t="str">
        <f t="shared" si="52"/>
        <v>Yes</v>
      </c>
      <c r="X531" s="13" t="str">
        <f t="shared" si="52"/>
        <v>No</v>
      </c>
      <c r="Y531" s="13" t="str">
        <f t="shared" si="52"/>
        <v>No</v>
      </c>
      <c r="Z531" s="13" t="str">
        <f t="shared" si="52"/>
        <v>No</v>
      </c>
      <c r="AA531" s="71" t="e">
        <f>+(Table1[[#This Row],[Everyday price]]-Table1[[#This Row],[Promo Price]])/Table1[[#This Row],[Everyday price]]</f>
        <v>#DIV/0!</v>
      </c>
      <c r="AC531" s="69"/>
      <c r="AH531" s="6"/>
      <c r="AJ531" s="116" t="str">
        <f>IF(AND(ISNUMBER(Table1[[#This Row],[Lift  ]]),ISNUMBER(Table1[[#This Row],[Plan lift, %]]),Table1[[#This Row],[Plan lift, %]]&lt;&gt;0),Table1[[#This Row],[Lift  ]]-Table1[[#This Row],[Plan lift, %]],"")</f>
        <v/>
      </c>
      <c r="AK531" s="116"/>
    </row>
    <row r="532" spans="1:38" x14ac:dyDescent="0.35">
      <c r="A532" t="s">
        <v>456</v>
      </c>
      <c r="B532" s="12">
        <v>1122</v>
      </c>
      <c r="C532" s="21" t="s">
        <v>46</v>
      </c>
      <c r="D532" s="13" t="s">
        <v>1232</v>
      </c>
      <c r="F532" s="21" t="s">
        <v>457</v>
      </c>
      <c r="G532" t="s">
        <v>44</v>
      </c>
      <c r="H532" s="14">
        <v>46296</v>
      </c>
      <c r="I532" s="14">
        <v>46326</v>
      </c>
      <c r="J532" s="13" t="s">
        <v>29</v>
      </c>
      <c r="L532" s="2">
        <v>2245.29</v>
      </c>
      <c r="M532" s="2">
        <v>2878.57</v>
      </c>
      <c r="N532" s="2">
        <v>863.57</v>
      </c>
      <c r="O532" s="2">
        <v>3742.14</v>
      </c>
      <c r="P532" s="3">
        <v>0.3</v>
      </c>
      <c r="Q532" s="3"/>
      <c r="R532" s="2">
        <v>0</v>
      </c>
      <c r="S532" s="3">
        <v>0</v>
      </c>
      <c r="T532" s="2">
        <v>0</v>
      </c>
      <c r="U532" s="13" t="s">
        <v>25</v>
      </c>
      <c r="V532" s="13" t="str">
        <f t="shared" ref="V532:Z541" si="53">IF(ISNUMBER(SEARCH(V$1,$U532)),"Yes","No")</f>
        <v>No</v>
      </c>
      <c r="W532" s="13" t="str">
        <f t="shared" si="53"/>
        <v>Yes</v>
      </c>
      <c r="X532" s="13" t="str">
        <f t="shared" si="53"/>
        <v>No</v>
      </c>
      <c r="Y532" s="13" t="str">
        <f t="shared" si="53"/>
        <v>No</v>
      </c>
      <c r="Z532" s="13" t="str">
        <f t="shared" si="53"/>
        <v>No</v>
      </c>
      <c r="AA532" s="71" t="e">
        <f>+(Table1[[#This Row],[Everyday price]]-Table1[[#This Row],[Promo Price]])/Table1[[#This Row],[Everyday price]]</f>
        <v>#DIV/0!</v>
      </c>
      <c r="AC532" s="69"/>
      <c r="AH532" s="6"/>
      <c r="AJ532" s="116" t="str">
        <f>IF(AND(ISNUMBER(Table1[[#This Row],[Lift  ]]),ISNUMBER(Table1[[#This Row],[Plan lift, %]]),Table1[[#This Row],[Plan lift, %]]&lt;&gt;0),Table1[[#This Row],[Lift  ]]-Table1[[#This Row],[Plan lift, %]],"")</f>
        <v/>
      </c>
      <c r="AK532" s="116"/>
    </row>
    <row r="533" spans="1:38" x14ac:dyDescent="0.35">
      <c r="A533" t="s">
        <v>1027</v>
      </c>
      <c r="B533" s="12">
        <v>1210</v>
      </c>
      <c r="C533" s="21" t="s">
        <v>1028</v>
      </c>
      <c r="D533" s="13" t="s">
        <v>1236</v>
      </c>
      <c r="F533" s="21" t="s">
        <v>1029</v>
      </c>
      <c r="G533" t="s">
        <v>23</v>
      </c>
      <c r="H533" s="14">
        <v>46023</v>
      </c>
      <c r="I533" s="14">
        <v>46053</v>
      </c>
      <c r="J533" s="13" t="s">
        <v>24</v>
      </c>
      <c r="L533" s="2">
        <v>8282</v>
      </c>
      <c r="M533" s="2">
        <v>3934.29</v>
      </c>
      <c r="N533" s="2">
        <v>590.13</v>
      </c>
      <c r="O533" s="2">
        <v>4524.42</v>
      </c>
      <c r="P533" s="3">
        <v>0.15</v>
      </c>
      <c r="Q533" s="3"/>
      <c r="R533" s="2">
        <v>0</v>
      </c>
      <c r="S533" s="3">
        <v>0</v>
      </c>
      <c r="T533" s="2">
        <v>0</v>
      </c>
      <c r="U533" s="13" t="s">
        <v>33</v>
      </c>
      <c r="V533" s="13" t="str">
        <f t="shared" si="53"/>
        <v>No</v>
      </c>
      <c r="W533" s="13" t="str">
        <f t="shared" si="53"/>
        <v>Yes</v>
      </c>
      <c r="X533" s="13" t="str">
        <f t="shared" si="53"/>
        <v>Yes</v>
      </c>
      <c r="Y533" s="13" t="str">
        <f t="shared" si="53"/>
        <v>No</v>
      </c>
      <c r="Z533" s="13" t="str">
        <f t="shared" si="53"/>
        <v>No</v>
      </c>
      <c r="AA533" s="71" t="e">
        <f>+(Table1[[#This Row],[Everyday price]]-Table1[[#This Row],[Promo Price]])/Table1[[#This Row],[Everyday price]]</f>
        <v>#DIV/0!</v>
      </c>
      <c r="AC533" s="69"/>
      <c r="AH533" s="6"/>
      <c r="AJ533" s="116" t="str">
        <f>IF(AND(ISNUMBER(Table1[[#This Row],[Lift  ]]),ISNUMBER(Table1[[#This Row],[Plan lift, %]]),Table1[[#This Row],[Plan lift, %]]&lt;&gt;0),Table1[[#This Row],[Lift  ]]-Table1[[#This Row],[Plan lift, %]],"")</f>
        <v/>
      </c>
      <c r="AK533" s="116"/>
    </row>
    <row r="534" spans="1:38" x14ac:dyDescent="0.35">
      <c r="A534" t="s">
        <v>1174</v>
      </c>
      <c r="B534" s="12">
        <v>1125</v>
      </c>
      <c r="C534" s="21" t="s">
        <v>344</v>
      </c>
      <c r="D534" s="13" t="s">
        <v>1232</v>
      </c>
      <c r="F534" s="21" t="s">
        <v>1175</v>
      </c>
      <c r="G534" t="s">
        <v>23</v>
      </c>
      <c r="H534" s="14">
        <v>46082</v>
      </c>
      <c r="I534" s="14">
        <v>46111</v>
      </c>
      <c r="J534" s="13" t="s">
        <v>24</v>
      </c>
      <c r="L534" s="2">
        <v>1504.28</v>
      </c>
      <c r="M534" s="2">
        <v>3214.28</v>
      </c>
      <c r="N534" s="2">
        <v>642.85</v>
      </c>
      <c r="O534" s="2">
        <v>3857.13</v>
      </c>
      <c r="P534" s="3">
        <v>0.2</v>
      </c>
      <c r="Q534" s="3"/>
      <c r="R534" s="2">
        <v>0</v>
      </c>
      <c r="S534" s="3">
        <v>0</v>
      </c>
      <c r="T534" s="2">
        <v>0</v>
      </c>
      <c r="U534" s="13" t="s">
        <v>25</v>
      </c>
      <c r="V534" s="13" t="str">
        <f t="shared" si="53"/>
        <v>No</v>
      </c>
      <c r="W534" s="13" t="str">
        <f t="shared" si="53"/>
        <v>Yes</v>
      </c>
      <c r="X534" s="13" t="str">
        <f t="shared" si="53"/>
        <v>No</v>
      </c>
      <c r="Y534" s="13" t="str">
        <f t="shared" si="53"/>
        <v>No</v>
      </c>
      <c r="Z534" s="13" t="str">
        <f t="shared" si="53"/>
        <v>No</v>
      </c>
      <c r="AA534" s="71" t="e">
        <f>+(Table1[[#This Row],[Everyday price]]-Table1[[#This Row],[Promo Price]])/Table1[[#This Row],[Everyday price]]</f>
        <v>#DIV/0!</v>
      </c>
      <c r="AC534" s="69"/>
      <c r="AH534" s="6"/>
      <c r="AJ534" s="116" t="str">
        <f>IF(AND(ISNUMBER(Table1[[#This Row],[Lift  ]]),ISNUMBER(Table1[[#This Row],[Plan lift, %]]),Table1[[#This Row],[Plan lift, %]]&lt;&gt;0),Table1[[#This Row],[Lift  ]]-Table1[[#This Row],[Plan lift, %]],"")</f>
        <v/>
      </c>
      <c r="AK534" s="116"/>
    </row>
    <row r="535" spans="1:38" x14ac:dyDescent="0.35">
      <c r="A535" t="s">
        <v>343</v>
      </c>
      <c r="B535" s="12">
        <v>1126</v>
      </c>
      <c r="C535" s="21" t="s">
        <v>344</v>
      </c>
      <c r="D535" s="13" t="s">
        <v>1232</v>
      </c>
      <c r="F535" s="21" t="s">
        <v>345</v>
      </c>
      <c r="G535" t="s">
        <v>23</v>
      </c>
      <c r="H535" s="14">
        <v>46143</v>
      </c>
      <c r="I535" s="14">
        <v>46173</v>
      </c>
      <c r="J535" s="13" t="s">
        <v>24</v>
      </c>
      <c r="L535" s="2">
        <v>3799.71</v>
      </c>
      <c r="M535" s="2">
        <v>3321.43</v>
      </c>
      <c r="N535" s="2">
        <v>996.43</v>
      </c>
      <c r="O535" s="2">
        <v>4317.8599999999997</v>
      </c>
      <c r="P535" s="3">
        <v>0.3</v>
      </c>
      <c r="Q535" s="3"/>
      <c r="R535" s="2">
        <v>0</v>
      </c>
      <c r="S535" s="3">
        <v>0</v>
      </c>
      <c r="T535" s="2">
        <v>0</v>
      </c>
      <c r="U535" s="13" t="s">
        <v>25</v>
      </c>
      <c r="V535" s="13" t="str">
        <f t="shared" si="53"/>
        <v>No</v>
      </c>
      <c r="W535" s="13" t="str">
        <f t="shared" si="53"/>
        <v>Yes</v>
      </c>
      <c r="X535" s="13" t="str">
        <f t="shared" si="53"/>
        <v>No</v>
      </c>
      <c r="Y535" s="13" t="str">
        <f t="shared" si="53"/>
        <v>No</v>
      </c>
      <c r="Z535" s="13" t="str">
        <f t="shared" si="53"/>
        <v>No</v>
      </c>
      <c r="AA535" s="71" t="e">
        <f>+(Table1[[#This Row],[Everyday price]]-Table1[[#This Row],[Promo Price]])/Table1[[#This Row],[Everyday price]]</f>
        <v>#DIV/0!</v>
      </c>
      <c r="AC535" s="69"/>
      <c r="AH535" s="6"/>
      <c r="AJ535" s="116" t="str">
        <f>IF(AND(ISNUMBER(Table1[[#This Row],[Lift  ]]),ISNUMBER(Table1[[#This Row],[Plan lift, %]]),Table1[[#This Row],[Plan lift, %]]&lt;&gt;0),Table1[[#This Row],[Lift  ]]-Table1[[#This Row],[Plan lift, %]],"")</f>
        <v/>
      </c>
      <c r="AK535" s="116"/>
    </row>
    <row r="536" spans="1:38" x14ac:dyDescent="0.35">
      <c r="A536" t="s">
        <v>783</v>
      </c>
      <c r="B536" s="12">
        <v>1124</v>
      </c>
      <c r="C536" s="21" t="s">
        <v>344</v>
      </c>
      <c r="D536" s="13" t="s">
        <v>1232</v>
      </c>
      <c r="F536" s="21" t="s">
        <v>784</v>
      </c>
      <c r="G536" t="s">
        <v>60</v>
      </c>
      <c r="H536" s="14">
        <v>46235</v>
      </c>
      <c r="I536" s="14">
        <v>46264</v>
      </c>
      <c r="J536" s="13" t="s">
        <v>24</v>
      </c>
      <c r="L536" s="2">
        <v>1504.28</v>
      </c>
      <c r="M536" s="2">
        <v>3214.28</v>
      </c>
      <c r="N536" s="2">
        <v>642.85</v>
      </c>
      <c r="O536" s="2">
        <v>3857.13</v>
      </c>
      <c r="P536" s="3">
        <v>0.2</v>
      </c>
      <c r="Q536" s="3"/>
      <c r="R536" s="2">
        <v>0</v>
      </c>
      <c r="S536" s="3">
        <v>0</v>
      </c>
      <c r="T536" s="2">
        <v>0</v>
      </c>
      <c r="U536" s="13" t="s">
        <v>25</v>
      </c>
      <c r="V536" s="13" t="str">
        <f t="shared" si="53"/>
        <v>No</v>
      </c>
      <c r="W536" s="13" t="str">
        <f t="shared" si="53"/>
        <v>Yes</v>
      </c>
      <c r="X536" s="13" t="str">
        <f t="shared" si="53"/>
        <v>No</v>
      </c>
      <c r="Y536" s="13" t="str">
        <f t="shared" si="53"/>
        <v>No</v>
      </c>
      <c r="Z536" s="13" t="str">
        <f t="shared" si="53"/>
        <v>No</v>
      </c>
      <c r="AA536" s="71" t="e">
        <f>+(Table1[[#This Row],[Everyday price]]-Table1[[#This Row],[Promo Price]])/Table1[[#This Row],[Everyday price]]</f>
        <v>#DIV/0!</v>
      </c>
      <c r="AC536" s="69"/>
      <c r="AH536" s="6"/>
      <c r="AJ536" s="116" t="str">
        <f>IF(AND(ISNUMBER(Table1[[#This Row],[Lift  ]]),ISNUMBER(Table1[[#This Row],[Plan lift, %]]),Table1[[#This Row],[Plan lift, %]]&lt;&gt;0),Table1[[#This Row],[Lift  ]]-Table1[[#This Row],[Plan lift, %]],"")</f>
        <v/>
      </c>
      <c r="AK536" s="116"/>
    </row>
    <row r="537" spans="1:38" x14ac:dyDescent="0.35">
      <c r="A537" t="s">
        <v>726</v>
      </c>
      <c r="B537" s="12">
        <v>1127</v>
      </c>
      <c r="C537" s="21" t="s">
        <v>344</v>
      </c>
      <c r="D537" s="13" t="s">
        <v>1232</v>
      </c>
      <c r="F537" s="21" t="s">
        <v>727</v>
      </c>
      <c r="G537" t="s">
        <v>44</v>
      </c>
      <c r="H537" s="14">
        <v>46296</v>
      </c>
      <c r="I537" s="14">
        <v>46326</v>
      </c>
      <c r="J537" s="13" t="s">
        <v>24</v>
      </c>
      <c r="L537" s="2">
        <v>1554.43</v>
      </c>
      <c r="M537" s="2">
        <v>3321.43</v>
      </c>
      <c r="N537" s="2">
        <v>664.28</v>
      </c>
      <c r="O537" s="2">
        <v>3985.71</v>
      </c>
      <c r="P537" s="3">
        <v>0.2</v>
      </c>
      <c r="Q537" s="3"/>
      <c r="R537" s="2">
        <v>0</v>
      </c>
      <c r="S537" s="3">
        <v>0</v>
      </c>
      <c r="T537" s="2">
        <v>0</v>
      </c>
      <c r="U537" s="13" t="s">
        <v>25</v>
      </c>
      <c r="V537" s="13" t="str">
        <f t="shared" si="53"/>
        <v>No</v>
      </c>
      <c r="W537" s="13" t="str">
        <f t="shared" si="53"/>
        <v>Yes</v>
      </c>
      <c r="X537" s="13" t="str">
        <f t="shared" si="53"/>
        <v>No</v>
      </c>
      <c r="Y537" s="13" t="str">
        <f t="shared" si="53"/>
        <v>No</v>
      </c>
      <c r="Z537" s="13" t="str">
        <f t="shared" si="53"/>
        <v>No</v>
      </c>
      <c r="AA537" s="71" t="e">
        <f>+(Table1[[#This Row],[Everyday price]]-Table1[[#This Row],[Promo Price]])/Table1[[#This Row],[Everyday price]]</f>
        <v>#DIV/0!</v>
      </c>
      <c r="AC537" s="69"/>
      <c r="AH537" s="6"/>
      <c r="AJ537" s="116" t="str">
        <f>IF(AND(ISNUMBER(Table1[[#This Row],[Lift  ]]),ISNUMBER(Table1[[#This Row],[Plan lift, %]]),Table1[[#This Row],[Plan lift, %]]&lt;&gt;0),Table1[[#This Row],[Lift  ]]-Table1[[#This Row],[Plan lift, %]],"")</f>
        <v/>
      </c>
      <c r="AK537" s="116"/>
    </row>
    <row r="538" spans="1:38" x14ac:dyDescent="0.35">
      <c r="A538" t="s">
        <v>705</v>
      </c>
      <c r="B538" s="111">
        <v>1013</v>
      </c>
      <c r="C538" s="21" t="s">
        <v>513</v>
      </c>
      <c r="D538" s="13" t="s">
        <v>1232</v>
      </c>
      <c r="F538" s="21" t="s">
        <v>706</v>
      </c>
      <c r="G538" t="s">
        <v>23</v>
      </c>
      <c r="H538" s="14">
        <v>46019</v>
      </c>
      <c r="I538" s="14">
        <v>46046</v>
      </c>
      <c r="J538" s="13" t="s">
        <v>24</v>
      </c>
      <c r="L538" s="2">
        <v>1434</v>
      </c>
      <c r="M538" s="2">
        <v>1028.57</v>
      </c>
      <c r="N538" s="2">
        <v>771.43</v>
      </c>
      <c r="O538" s="2">
        <v>1800</v>
      </c>
      <c r="P538" s="3">
        <v>0.75</v>
      </c>
      <c r="Q538" s="3"/>
      <c r="R538" s="2">
        <v>0</v>
      </c>
      <c r="S538" s="3">
        <v>0</v>
      </c>
      <c r="T538" s="2">
        <v>0</v>
      </c>
      <c r="U538" s="13" t="s">
        <v>33</v>
      </c>
      <c r="V538" s="13" t="str">
        <f t="shared" si="53"/>
        <v>No</v>
      </c>
      <c r="W538" s="13" t="str">
        <f t="shared" si="53"/>
        <v>Yes</v>
      </c>
      <c r="X538" s="13" t="str">
        <f t="shared" si="53"/>
        <v>Yes</v>
      </c>
      <c r="Y538" s="13" t="str">
        <f t="shared" si="53"/>
        <v>No</v>
      </c>
      <c r="Z538" s="13" t="str">
        <f t="shared" si="53"/>
        <v>No</v>
      </c>
      <c r="AA538" s="71">
        <f>+(Table1[[#This Row],[Everyday price]]-Table1[[#This Row],[Promo Price]])/Table1[[#This Row],[Everyday price]]</f>
        <v>0.14285714285714285</v>
      </c>
      <c r="AB538" s="69">
        <v>3</v>
      </c>
      <c r="AC538" s="69">
        <v>3.5</v>
      </c>
      <c r="AD538" s="40" t="s">
        <v>1257</v>
      </c>
      <c r="AE538" s="5">
        <v>46020</v>
      </c>
      <c r="AF538" s="5">
        <v>46047</v>
      </c>
      <c r="AG538" s="20">
        <v>639</v>
      </c>
      <c r="AH538" s="6">
        <v>380</v>
      </c>
      <c r="AI538" s="11">
        <f>Table1[[#This Row],[Incremental Units]]/Table1[[#This Row],[Base Units]]</f>
        <v>0.59467918622848204</v>
      </c>
      <c r="AJ538" s="11">
        <f>IF(AND(ISNUMBER(Table1[[#This Row],[Lift  ]]),ISNUMBER(Table1[[#This Row],[Plan lift, %]]),Table1[[#This Row],[Plan lift, %]]&lt;&gt;0),Table1[[#This Row],[Lift  ]]-Table1[[#This Row],[Plan lift, %]],"")</f>
        <v>-0.15532081377151796</v>
      </c>
      <c r="AK538" s="11"/>
      <c r="AL538" s="71" t="s">
        <v>1400</v>
      </c>
    </row>
    <row r="539" spans="1:38" x14ac:dyDescent="0.35">
      <c r="A539" t="s">
        <v>1036</v>
      </c>
      <c r="B539" s="111">
        <v>1014</v>
      </c>
      <c r="C539" s="21" t="s">
        <v>513</v>
      </c>
      <c r="D539" s="13" t="s">
        <v>1232</v>
      </c>
      <c r="F539" s="21" t="s">
        <v>1037</v>
      </c>
      <c r="G539" t="s">
        <v>23</v>
      </c>
      <c r="H539" s="14">
        <v>46138</v>
      </c>
      <c r="I539" s="14">
        <v>46165</v>
      </c>
      <c r="J539" s="13" t="s">
        <v>24</v>
      </c>
      <c r="L539" s="2">
        <v>856.79</v>
      </c>
      <c r="M539" s="2">
        <v>1440</v>
      </c>
      <c r="N539" s="2">
        <v>1080</v>
      </c>
      <c r="O539" s="2">
        <v>2520</v>
      </c>
      <c r="P539" s="3">
        <v>0.75</v>
      </c>
      <c r="Q539" s="3"/>
      <c r="R539" s="2">
        <v>0</v>
      </c>
      <c r="S539" s="3">
        <v>0</v>
      </c>
      <c r="T539" s="2">
        <v>0</v>
      </c>
      <c r="U539" s="13" t="s">
        <v>25</v>
      </c>
      <c r="V539" s="13" t="str">
        <f t="shared" si="53"/>
        <v>No</v>
      </c>
      <c r="W539" s="13" t="str">
        <f t="shared" si="53"/>
        <v>Yes</v>
      </c>
      <c r="X539" s="13" t="str">
        <f t="shared" si="53"/>
        <v>No</v>
      </c>
      <c r="Y539" s="13" t="str">
        <f t="shared" si="53"/>
        <v>No</v>
      </c>
      <c r="Z539" s="13" t="str">
        <f t="shared" si="53"/>
        <v>No</v>
      </c>
      <c r="AA539" s="71">
        <f>+(Table1[[#This Row],[Everyday price]]-Table1[[#This Row],[Promo Price]])/Table1[[#This Row],[Everyday price]]</f>
        <v>0.28133704735376042</v>
      </c>
      <c r="AB539" s="69">
        <v>2.58</v>
      </c>
      <c r="AC539" s="69">
        <v>3.59</v>
      </c>
      <c r="AD539" s="40" t="s">
        <v>1257</v>
      </c>
      <c r="AE539" s="5">
        <v>46139</v>
      </c>
      <c r="AF539" s="5">
        <v>46166</v>
      </c>
      <c r="AG539" s="20">
        <v>778</v>
      </c>
      <c r="AH539" s="6">
        <v>370</v>
      </c>
      <c r="AI539" s="11">
        <f>Table1[[#This Row],[Incremental Units]]/Table1[[#This Row],[Base Units]]</f>
        <v>0.47557840616966579</v>
      </c>
      <c r="AJ539" s="11">
        <f>IF(AND(ISNUMBER(Table1[[#This Row],[Lift  ]]),ISNUMBER(Table1[[#This Row],[Plan lift, %]]),Table1[[#This Row],[Plan lift, %]]&lt;&gt;0),Table1[[#This Row],[Lift  ]]-Table1[[#This Row],[Plan lift, %]],"")</f>
        <v>-0.27442159383033421</v>
      </c>
      <c r="AK539" s="11"/>
      <c r="AL539" s="71" t="s">
        <v>1400</v>
      </c>
    </row>
    <row r="540" spans="1:38" x14ac:dyDescent="0.35">
      <c r="A540" t="s">
        <v>512</v>
      </c>
      <c r="B540" s="12">
        <v>1015</v>
      </c>
      <c r="C540" s="21" t="s">
        <v>513</v>
      </c>
      <c r="D540" s="13" t="s">
        <v>1232</v>
      </c>
      <c r="F540" s="21" t="s">
        <v>514</v>
      </c>
      <c r="G540" t="s">
        <v>60</v>
      </c>
      <c r="H540" s="14">
        <v>46229</v>
      </c>
      <c r="I540" s="14">
        <v>46256</v>
      </c>
      <c r="J540" s="13" t="s">
        <v>24</v>
      </c>
      <c r="L540" s="2">
        <v>1660.79</v>
      </c>
      <c r="M540" s="2">
        <v>1440</v>
      </c>
      <c r="N540" s="2">
        <v>720</v>
      </c>
      <c r="O540" s="2">
        <v>2160</v>
      </c>
      <c r="P540" s="3">
        <v>0.5</v>
      </c>
      <c r="Q540" s="3"/>
      <c r="R540" s="2">
        <v>0</v>
      </c>
      <c r="S540" s="3">
        <v>0</v>
      </c>
      <c r="T540" s="2">
        <v>0</v>
      </c>
      <c r="U540" s="13" t="s">
        <v>33</v>
      </c>
      <c r="V540" s="13" t="str">
        <f t="shared" si="53"/>
        <v>No</v>
      </c>
      <c r="W540" s="13" t="str">
        <f t="shared" si="53"/>
        <v>Yes</v>
      </c>
      <c r="X540" s="13" t="str">
        <f t="shared" si="53"/>
        <v>Yes</v>
      </c>
      <c r="Y540" s="13" t="str">
        <f t="shared" si="53"/>
        <v>No</v>
      </c>
      <c r="Z540" s="13" t="str">
        <f t="shared" si="53"/>
        <v>No</v>
      </c>
      <c r="AA540" s="71" t="e">
        <f>+(Table1[[#This Row],[Everyday price]]-Table1[[#This Row],[Promo Price]])/Table1[[#This Row],[Everyday price]]</f>
        <v>#DIV/0!</v>
      </c>
      <c r="AC540" s="69"/>
      <c r="AH540" s="6"/>
      <c r="AJ540" s="116" t="str">
        <f>IF(AND(ISNUMBER(Table1[[#This Row],[Lift  ]]),ISNUMBER(Table1[[#This Row],[Plan lift, %]]),Table1[[#This Row],[Plan lift, %]]&lt;&gt;0),Table1[[#This Row],[Lift  ]]-Table1[[#This Row],[Plan lift, %]],"")</f>
        <v/>
      </c>
      <c r="AK540" s="116"/>
    </row>
    <row r="541" spans="1:38" x14ac:dyDescent="0.35">
      <c r="A541" t="s">
        <v>950</v>
      </c>
      <c r="B541" s="12">
        <v>1323</v>
      </c>
      <c r="C541" s="21" t="s">
        <v>214</v>
      </c>
      <c r="D541" s="13" t="s">
        <v>1232</v>
      </c>
      <c r="F541" s="21" t="s">
        <v>951</v>
      </c>
      <c r="G541" t="s">
        <v>23</v>
      </c>
      <c r="H541" s="14">
        <v>46082</v>
      </c>
      <c r="I541" s="14">
        <v>46108</v>
      </c>
      <c r="J541" s="13" t="s">
        <v>24</v>
      </c>
      <c r="L541" s="2">
        <v>2033.34</v>
      </c>
      <c r="M541" s="2">
        <v>2638.88</v>
      </c>
      <c r="N541" s="2">
        <v>527.78</v>
      </c>
      <c r="O541" s="2">
        <v>3166.66</v>
      </c>
      <c r="P541" s="3">
        <v>0.2</v>
      </c>
      <c r="Q541" s="3"/>
      <c r="R541" s="2">
        <v>0</v>
      </c>
      <c r="S541" s="3">
        <v>0</v>
      </c>
      <c r="T541" s="2">
        <v>0</v>
      </c>
      <c r="U541" s="13" t="s">
        <v>33</v>
      </c>
      <c r="V541" s="13" t="str">
        <f t="shared" si="53"/>
        <v>No</v>
      </c>
      <c r="W541" s="13" t="str">
        <f t="shared" si="53"/>
        <v>Yes</v>
      </c>
      <c r="X541" s="13" t="str">
        <f t="shared" si="53"/>
        <v>Yes</v>
      </c>
      <c r="Y541" s="13" t="str">
        <f t="shared" si="53"/>
        <v>No</v>
      </c>
      <c r="Z541" s="13" t="str">
        <f t="shared" si="53"/>
        <v>No</v>
      </c>
      <c r="AA541" s="71" t="e">
        <f>+(Table1[[#This Row],[Everyday price]]-Table1[[#This Row],[Promo Price]])/Table1[[#This Row],[Everyday price]]</f>
        <v>#DIV/0!</v>
      </c>
      <c r="AC541" s="69"/>
      <c r="AH541" s="6"/>
      <c r="AJ541" s="116" t="str">
        <f>IF(AND(ISNUMBER(Table1[[#This Row],[Lift  ]]),ISNUMBER(Table1[[#This Row],[Plan lift, %]]),Table1[[#This Row],[Plan lift, %]]&lt;&gt;0),Table1[[#This Row],[Lift  ]]-Table1[[#This Row],[Plan lift, %]],"")</f>
        <v/>
      </c>
      <c r="AK541" s="116"/>
    </row>
    <row r="542" spans="1:38" x14ac:dyDescent="0.35">
      <c r="A542" t="s">
        <v>684</v>
      </c>
      <c r="B542" s="12">
        <v>1324</v>
      </c>
      <c r="C542" s="21" t="s">
        <v>214</v>
      </c>
      <c r="D542" s="13" t="s">
        <v>1232</v>
      </c>
      <c r="F542" s="21" t="s">
        <v>685</v>
      </c>
      <c r="G542" t="s">
        <v>23</v>
      </c>
      <c r="H542" s="14">
        <v>46113</v>
      </c>
      <c r="I542" s="14">
        <v>46140</v>
      </c>
      <c r="J542" s="13" t="s">
        <v>24</v>
      </c>
      <c r="L542" s="2">
        <v>766.24</v>
      </c>
      <c r="M542" s="2">
        <v>3192.66</v>
      </c>
      <c r="N542" s="2">
        <v>638.54</v>
      </c>
      <c r="O542" s="2">
        <v>3831.2</v>
      </c>
      <c r="P542" s="3">
        <v>0.2</v>
      </c>
      <c r="Q542" s="3"/>
      <c r="R542" s="2">
        <v>0</v>
      </c>
      <c r="S542" s="3">
        <v>0</v>
      </c>
      <c r="T542" s="2">
        <v>0</v>
      </c>
      <c r="U542" s="13" t="s">
        <v>25</v>
      </c>
      <c r="V542" s="13" t="str">
        <f t="shared" ref="V542:Z551" si="54">IF(ISNUMBER(SEARCH(V$1,$U542)),"Yes","No")</f>
        <v>No</v>
      </c>
      <c r="W542" s="13" t="str">
        <f t="shared" si="54"/>
        <v>Yes</v>
      </c>
      <c r="X542" s="13" t="str">
        <f t="shared" si="54"/>
        <v>No</v>
      </c>
      <c r="Y542" s="13" t="str">
        <f t="shared" si="54"/>
        <v>No</v>
      </c>
      <c r="Z542" s="13" t="str">
        <f t="shared" si="54"/>
        <v>No</v>
      </c>
      <c r="AA542" s="71" t="e">
        <f>+(Table1[[#This Row],[Everyday price]]-Table1[[#This Row],[Promo Price]])/Table1[[#This Row],[Everyday price]]</f>
        <v>#DIV/0!</v>
      </c>
      <c r="AC542" s="69"/>
      <c r="AH542" s="6"/>
      <c r="AJ542" s="116" t="str">
        <f>IF(AND(ISNUMBER(Table1[[#This Row],[Lift  ]]),ISNUMBER(Table1[[#This Row],[Plan lift, %]]),Table1[[#This Row],[Plan lift, %]]&lt;&gt;0),Table1[[#This Row],[Lift  ]]-Table1[[#This Row],[Plan lift, %]],"")</f>
        <v/>
      </c>
      <c r="AK542" s="116"/>
    </row>
    <row r="543" spans="1:38" x14ac:dyDescent="0.35">
      <c r="A543" t="s">
        <v>213</v>
      </c>
      <c r="B543" s="12">
        <v>1325</v>
      </c>
      <c r="C543" s="21" t="s">
        <v>214</v>
      </c>
      <c r="D543" s="13" t="s">
        <v>1232</v>
      </c>
      <c r="F543" s="21" t="s">
        <v>215</v>
      </c>
      <c r="G543" t="s">
        <v>23</v>
      </c>
      <c r="H543" s="14">
        <v>46204</v>
      </c>
      <c r="I543" s="14">
        <v>46231</v>
      </c>
      <c r="J543" s="13" t="s">
        <v>24</v>
      </c>
      <c r="L543" s="2">
        <v>2184.12</v>
      </c>
      <c r="M543" s="2">
        <v>3267.2</v>
      </c>
      <c r="N543" s="2">
        <v>653.44000000000005</v>
      </c>
      <c r="O543" s="2">
        <v>3920.64</v>
      </c>
      <c r="P543" s="3">
        <v>0.2</v>
      </c>
      <c r="Q543" s="3"/>
      <c r="R543" s="2">
        <v>0</v>
      </c>
      <c r="S543" s="3">
        <v>0</v>
      </c>
      <c r="T543" s="2">
        <v>0</v>
      </c>
      <c r="U543" s="13" t="s">
        <v>33</v>
      </c>
      <c r="V543" s="13" t="str">
        <f t="shared" si="54"/>
        <v>No</v>
      </c>
      <c r="W543" s="13" t="str">
        <f t="shared" si="54"/>
        <v>Yes</v>
      </c>
      <c r="X543" s="13" t="str">
        <f t="shared" si="54"/>
        <v>Yes</v>
      </c>
      <c r="Y543" s="13" t="str">
        <f t="shared" si="54"/>
        <v>No</v>
      </c>
      <c r="Z543" s="13" t="str">
        <f t="shared" si="54"/>
        <v>No</v>
      </c>
      <c r="AA543" s="71" t="e">
        <f>+(Table1[[#This Row],[Everyday price]]-Table1[[#This Row],[Promo Price]])/Table1[[#This Row],[Everyday price]]</f>
        <v>#DIV/0!</v>
      </c>
      <c r="AC543" s="69"/>
      <c r="AH543" s="6"/>
      <c r="AJ543" s="116" t="str">
        <f>IF(AND(ISNUMBER(Table1[[#This Row],[Lift  ]]),ISNUMBER(Table1[[#This Row],[Plan lift, %]]),Table1[[#This Row],[Plan lift, %]]&lt;&gt;0),Table1[[#This Row],[Lift  ]]-Table1[[#This Row],[Plan lift, %]],"")</f>
        <v/>
      </c>
      <c r="AK543" s="116"/>
    </row>
    <row r="544" spans="1:38" x14ac:dyDescent="0.35">
      <c r="A544" t="s">
        <v>382</v>
      </c>
      <c r="B544" s="12">
        <v>1326</v>
      </c>
      <c r="C544" s="21" t="s">
        <v>214</v>
      </c>
      <c r="D544" s="13" t="s">
        <v>1232</v>
      </c>
      <c r="F544" s="21" t="s">
        <v>383</v>
      </c>
      <c r="G544" t="s">
        <v>60</v>
      </c>
      <c r="H544" s="14">
        <v>46235</v>
      </c>
      <c r="I544" s="14">
        <v>46262</v>
      </c>
      <c r="J544" s="13" t="s">
        <v>24</v>
      </c>
      <c r="L544" s="2">
        <v>817.08</v>
      </c>
      <c r="M544" s="2">
        <v>3404.48</v>
      </c>
      <c r="N544" s="2">
        <v>680.9</v>
      </c>
      <c r="O544" s="2">
        <v>4085.38</v>
      </c>
      <c r="P544" s="3">
        <v>0.2</v>
      </c>
      <c r="Q544" s="3"/>
      <c r="R544" s="2">
        <v>0</v>
      </c>
      <c r="S544" s="3">
        <v>0</v>
      </c>
      <c r="T544" s="2">
        <v>0</v>
      </c>
      <c r="U544" s="13" t="s">
        <v>25</v>
      </c>
      <c r="V544" s="13" t="str">
        <f t="shared" si="54"/>
        <v>No</v>
      </c>
      <c r="W544" s="13" t="str">
        <f t="shared" si="54"/>
        <v>Yes</v>
      </c>
      <c r="X544" s="13" t="str">
        <f t="shared" si="54"/>
        <v>No</v>
      </c>
      <c r="Y544" s="13" t="str">
        <f t="shared" si="54"/>
        <v>No</v>
      </c>
      <c r="Z544" s="13" t="str">
        <f t="shared" si="54"/>
        <v>No</v>
      </c>
      <c r="AA544" s="71" t="e">
        <f>+(Table1[[#This Row],[Everyday price]]-Table1[[#This Row],[Promo Price]])/Table1[[#This Row],[Everyday price]]</f>
        <v>#DIV/0!</v>
      </c>
      <c r="AC544" s="69"/>
      <c r="AH544" s="6"/>
      <c r="AJ544" s="116" t="str">
        <f>IF(AND(ISNUMBER(Table1[[#This Row],[Lift  ]]),ISNUMBER(Table1[[#This Row],[Plan lift, %]]),Table1[[#This Row],[Plan lift, %]]&lt;&gt;0),Table1[[#This Row],[Lift  ]]-Table1[[#This Row],[Plan lift, %]],"")</f>
        <v/>
      </c>
      <c r="AK544" s="116"/>
    </row>
    <row r="545" spans="1:37" x14ac:dyDescent="0.35">
      <c r="A545" t="s">
        <v>709</v>
      </c>
      <c r="B545" s="12">
        <v>1327</v>
      </c>
      <c r="C545" s="21" t="s">
        <v>520</v>
      </c>
      <c r="D545" s="13" t="s">
        <v>1232</v>
      </c>
      <c r="F545" s="21" t="s">
        <v>710</v>
      </c>
      <c r="G545" t="s">
        <v>23</v>
      </c>
      <c r="H545" s="14">
        <v>46082</v>
      </c>
      <c r="I545" s="14">
        <v>46111</v>
      </c>
      <c r="J545" s="13" t="s">
        <v>24</v>
      </c>
      <c r="L545" s="2">
        <v>5915.9</v>
      </c>
      <c r="M545" s="2">
        <v>9026.48</v>
      </c>
      <c r="N545" s="2">
        <v>1805.3</v>
      </c>
      <c r="O545" s="2">
        <v>10831.78</v>
      </c>
      <c r="P545" s="3">
        <v>0.2</v>
      </c>
      <c r="Q545" s="3"/>
      <c r="R545" s="2">
        <v>0</v>
      </c>
      <c r="S545" s="3">
        <v>0</v>
      </c>
      <c r="T545" s="2">
        <v>0</v>
      </c>
      <c r="U545" s="13" t="s">
        <v>33</v>
      </c>
      <c r="V545" s="13" t="str">
        <f t="shared" si="54"/>
        <v>No</v>
      </c>
      <c r="W545" s="13" t="str">
        <f t="shared" si="54"/>
        <v>Yes</v>
      </c>
      <c r="X545" s="13" t="str">
        <f t="shared" si="54"/>
        <v>Yes</v>
      </c>
      <c r="Y545" s="13" t="str">
        <f t="shared" si="54"/>
        <v>No</v>
      </c>
      <c r="Z545" s="13" t="str">
        <f t="shared" si="54"/>
        <v>No</v>
      </c>
      <c r="AA545" s="71" t="e">
        <f>+(Table1[[#This Row],[Everyday price]]-Table1[[#This Row],[Promo Price]])/Table1[[#This Row],[Everyday price]]</f>
        <v>#DIV/0!</v>
      </c>
      <c r="AC545" s="69"/>
      <c r="AH545" s="6"/>
      <c r="AJ545" s="116" t="str">
        <f>IF(AND(ISNUMBER(Table1[[#This Row],[Lift  ]]),ISNUMBER(Table1[[#This Row],[Plan lift, %]]),Table1[[#This Row],[Plan lift, %]]&lt;&gt;0),Table1[[#This Row],[Lift  ]]-Table1[[#This Row],[Plan lift, %]],"")</f>
        <v/>
      </c>
      <c r="AK545" s="116"/>
    </row>
    <row r="546" spans="1:37" x14ac:dyDescent="0.35">
      <c r="A546" t="s">
        <v>623</v>
      </c>
      <c r="B546" s="12">
        <v>1328</v>
      </c>
      <c r="C546" s="21" t="s">
        <v>520</v>
      </c>
      <c r="D546" s="13" t="s">
        <v>1232</v>
      </c>
      <c r="F546" s="21" t="s">
        <v>624</v>
      </c>
      <c r="G546" t="s">
        <v>23</v>
      </c>
      <c r="H546" s="14">
        <v>46113</v>
      </c>
      <c r="I546" s="14">
        <v>46142</v>
      </c>
      <c r="J546" s="13" t="s">
        <v>24</v>
      </c>
      <c r="L546" s="2">
        <v>6334.92</v>
      </c>
      <c r="M546" s="2">
        <v>10558.18</v>
      </c>
      <c r="N546" s="2">
        <v>2111.64</v>
      </c>
      <c r="O546" s="2">
        <v>12669.82</v>
      </c>
      <c r="P546" s="3">
        <v>0.2</v>
      </c>
      <c r="Q546" s="3"/>
      <c r="R546" s="2">
        <v>0</v>
      </c>
      <c r="S546" s="3">
        <v>0</v>
      </c>
      <c r="T546" s="2">
        <v>0</v>
      </c>
      <c r="U546" s="13" t="s">
        <v>25</v>
      </c>
      <c r="V546" s="13" t="str">
        <f t="shared" si="54"/>
        <v>No</v>
      </c>
      <c r="W546" s="13" t="str">
        <f t="shared" si="54"/>
        <v>Yes</v>
      </c>
      <c r="X546" s="13" t="str">
        <f t="shared" si="54"/>
        <v>No</v>
      </c>
      <c r="Y546" s="13" t="str">
        <f t="shared" si="54"/>
        <v>No</v>
      </c>
      <c r="Z546" s="13" t="str">
        <f t="shared" si="54"/>
        <v>No</v>
      </c>
      <c r="AA546" s="71" t="e">
        <f>+(Table1[[#This Row],[Everyday price]]-Table1[[#This Row],[Promo Price]])/Table1[[#This Row],[Everyday price]]</f>
        <v>#DIV/0!</v>
      </c>
      <c r="AC546" s="69"/>
      <c r="AH546" s="6"/>
      <c r="AJ546" s="116" t="str">
        <f>IF(AND(ISNUMBER(Table1[[#This Row],[Lift  ]]),ISNUMBER(Table1[[#This Row],[Plan lift, %]]),Table1[[#This Row],[Plan lift, %]]&lt;&gt;0),Table1[[#This Row],[Lift  ]]-Table1[[#This Row],[Plan lift, %]],"")</f>
        <v/>
      </c>
      <c r="AK546" s="116"/>
    </row>
    <row r="547" spans="1:37" x14ac:dyDescent="0.35">
      <c r="A547" t="s">
        <v>1135</v>
      </c>
      <c r="B547" s="12">
        <v>1329</v>
      </c>
      <c r="C547" s="21" t="s">
        <v>520</v>
      </c>
      <c r="D547" s="13" t="s">
        <v>1232</v>
      </c>
      <c r="F547" s="21" t="s">
        <v>1136</v>
      </c>
      <c r="G547" t="s">
        <v>23</v>
      </c>
      <c r="H547" s="14">
        <v>46204</v>
      </c>
      <c r="I547" s="14">
        <v>46234</v>
      </c>
      <c r="J547" s="13" t="s">
        <v>24</v>
      </c>
      <c r="L547" s="2">
        <v>7211.86</v>
      </c>
      <c r="M547" s="2">
        <v>11186.42</v>
      </c>
      <c r="N547" s="2">
        <v>2237.2800000000002</v>
      </c>
      <c r="O547" s="2">
        <v>13423.7</v>
      </c>
      <c r="P547" s="3">
        <v>0.2</v>
      </c>
      <c r="Q547" s="3"/>
      <c r="R547" s="2">
        <v>0</v>
      </c>
      <c r="S547" s="3">
        <v>0</v>
      </c>
      <c r="T547" s="2">
        <v>0</v>
      </c>
      <c r="U547" s="13" t="s">
        <v>33</v>
      </c>
      <c r="V547" s="13" t="str">
        <f t="shared" si="54"/>
        <v>No</v>
      </c>
      <c r="W547" s="13" t="str">
        <f t="shared" si="54"/>
        <v>Yes</v>
      </c>
      <c r="X547" s="13" t="str">
        <f t="shared" si="54"/>
        <v>Yes</v>
      </c>
      <c r="Y547" s="13" t="str">
        <f t="shared" si="54"/>
        <v>No</v>
      </c>
      <c r="Z547" s="13" t="str">
        <f t="shared" si="54"/>
        <v>No</v>
      </c>
      <c r="AA547" s="71" t="e">
        <f>+(Table1[[#This Row],[Everyday price]]-Table1[[#This Row],[Promo Price]])/Table1[[#This Row],[Everyday price]]</f>
        <v>#DIV/0!</v>
      </c>
      <c r="AC547" s="69"/>
      <c r="AH547" s="6"/>
      <c r="AJ547" s="116" t="str">
        <f>IF(AND(ISNUMBER(Table1[[#This Row],[Lift  ]]),ISNUMBER(Table1[[#This Row],[Plan lift, %]]),Table1[[#This Row],[Plan lift, %]]&lt;&gt;0),Table1[[#This Row],[Lift  ]]-Table1[[#This Row],[Plan lift, %]],"")</f>
        <v/>
      </c>
      <c r="AK547" s="116"/>
    </row>
    <row r="548" spans="1:37" x14ac:dyDescent="0.35">
      <c r="A548" t="s">
        <v>519</v>
      </c>
      <c r="B548" s="12">
        <v>1330</v>
      </c>
      <c r="C548" s="21" t="s">
        <v>520</v>
      </c>
      <c r="D548" s="13" t="s">
        <v>1232</v>
      </c>
      <c r="F548" s="21" t="s">
        <v>521</v>
      </c>
      <c r="G548" t="s">
        <v>60</v>
      </c>
      <c r="H548" s="14">
        <v>46235</v>
      </c>
      <c r="I548" s="14">
        <v>46265</v>
      </c>
      <c r="J548" s="13" t="s">
        <v>24</v>
      </c>
      <c r="L548" s="2">
        <v>6914.8</v>
      </c>
      <c r="M548" s="2">
        <v>11524.68</v>
      </c>
      <c r="N548" s="2">
        <v>2304.94</v>
      </c>
      <c r="O548" s="2">
        <v>13829.62</v>
      </c>
      <c r="P548" s="3">
        <v>0.2</v>
      </c>
      <c r="Q548" s="3"/>
      <c r="R548" s="2">
        <v>0</v>
      </c>
      <c r="S548" s="3">
        <v>0</v>
      </c>
      <c r="T548" s="2">
        <v>0</v>
      </c>
      <c r="U548" s="13" t="s">
        <v>25</v>
      </c>
      <c r="V548" s="13" t="str">
        <f t="shared" si="54"/>
        <v>No</v>
      </c>
      <c r="W548" s="13" t="str">
        <f t="shared" si="54"/>
        <v>Yes</v>
      </c>
      <c r="X548" s="13" t="str">
        <f t="shared" si="54"/>
        <v>No</v>
      </c>
      <c r="Y548" s="13" t="str">
        <f t="shared" si="54"/>
        <v>No</v>
      </c>
      <c r="Z548" s="13" t="str">
        <f t="shared" si="54"/>
        <v>No</v>
      </c>
      <c r="AA548" s="71" t="e">
        <f>+(Table1[[#This Row],[Everyday price]]-Table1[[#This Row],[Promo Price]])/Table1[[#This Row],[Everyday price]]</f>
        <v>#DIV/0!</v>
      </c>
      <c r="AC548" s="69"/>
      <c r="AH548" s="6"/>
      <c r="AJ548" s="116" t="str">
        <f>IF(AND(ISNUMBER(Table1[[#This Row],[Lift  ]]),ISNUMBER(Table1[[#This Row],[Plan lift, %]]),Table1[[#This Row],[Plan lift, %]]&lt;&gt;0),Table1[[#This Row],[Lift  ]]-Table1[[#This Row],[Plan lift, %]],"")</f>
        <v/>
      </c>
      <c r="AK548" s="116"/>
    </row>
    <row r="549" spans="1:37" x14ac:dyDescent="0.35">
      <c r="A549" t="s">
        <v>262</v>
      </c>
      <c r="B549" s="12">
        <v>1016</v>
      </c>
      <c r="C549" s="21" t="s">
        <v>97</v>
      </c>
      <c r="D549" s="13" t="s">
        <v>1230</v>
      </c>
      <c r="F549" t="s">
        <v>263</v>
      </c>
      <c r="G549" t="s">
        <v>23</v>
      </c>
      <c r="H549" s="1">
        <v>46054</v>
      </c>
      <c r="I549" s="1">
        <v>46081</v>
      </c>
      <c r="J549" s="13" t="s">
        <v>24</v>
      </c>
      <c r="L549" s="2">
        <v>4862</v>
      </c>
      <c r="M549" s="2">
        <v>6400</v>
      </c>
      <c r="N549" s="2">
        <v>3200</v>
      </c>
      <c r="O549" s="2">
        <v>9600</v>
      </c>
      <c r="P549" s="3">
        <v>0.5</v>
      </c>
      <c r="Q549" s="3"/>
      <c r="R549" s="2">
        <v>0</v>
      </c>
      <c r="S549" s="3">
        <v>0</v>
      </c>
      <c r="T549" s="2">
        <v>0</v>
      </c>
      <c r="U549" t="s">
        <v>33</v>
      </c>
      <c r="V549" s="13" t="str">
        <f t="shared" si="54"/>
        <v>No</v>
      </c>
      <c r="W549" s="13" t="str">
        <f t="shared" si="54"/>
        <v>Yes</v>
      </c>
      <c r="X549" s="13" t="str">
        <f t="shared" si="54"/>
        <v>Yes</v>
      </c>
      <c r="Y549" s="13" t="str">
        <f t="shared" si="54"/>
        <v>No</v>
      </c>
      <c r="Z549" s="13" t="str">
        <f t="shared" si="54"/>
        <v>No</v>
      </c>
      <c r="AA549" s="71" t="e">
        <f>+(Table1[[#This Row],[Everyday price]]-Table1[[#This Row],[Promo Price]])/Table1[[#This Row],[Everyday price]]</f>
        <v>#DIV/0!</v>
      </c>
      <c r="AC549" s="69"/>
      <c r="AD549" s="13"/>
      <c r="AH549" s="6"/>
      <c r="AJ549" s="116" t="str">
        <f>IF(AND(ISNUMBER(Table1[[#This Row],[Lift  ]]),ISNUMBER(Table1[[#This Row],[Plan lift, %]]),Table1[[#This Row],[Plan lift, %]]&lt;&gt;0),Table1[[#This Row],[Lift  ]]-Table1[[#This Row],[Plan lift, %]],"")</f>
        <v/>
      </c>
      <c r="AK549" s="116"/>
    </row>
    <row r="550" spans="1:37" x14ac:dyDescent="0.35">
      <c r="A550" t="s">
        <v>96</v>
      </c>
      <c r="B550" s="12">
        <v>1017</v>
      </c>
      <c r="C550" s="21" t="s">
        <v>97</v>
      </c>
      <c r="D550" s="13" t="s">
        <v>1230</v>
      </c>
      <c r="F550" t="s">
        <v>98</v>
      </c>
      <c r="G550" t="s">
        <v>23</v>
      </c>
      <c r="H550" s="1">
        <v>46143</v>
      </c>
      <c r="I550" s="1">
        <v>46173</v>
      </c>
      <c r="J550" s="13" t="s">
        <v>24</v>
      </c>
      <c r="L550" s="2">
        <v>5345.43</v>
      </c>
      <c r="M550" s="2">
        <v>7085.72</v>
      </c>
      <c r="N550" s="2">
        <v>3542.86</v>
      </c>
      <c r="O550" s="2">
        <v>10628.58</v>
      </c>
      <c r="P550" s="3">
        <v>0.5</v>
      </c>
      <c r="Q550" s="3"/>
      <c r="R550" s="2">
        <v>0</v>
      </c>
      <c r="S550" s="3">
        <v>0</v>
      </c>
      <c r="T550" s="2">
        <v>0</v>
      </c>
      <c r="U550" t="s">
        <v>33</v>
      </c>
      <c r="V550" s="13" t="str">
        <f t="shared" si="54"/>
        <v>No</v>
      </c>
      <c r="W550" s="13" t="str">
        <f t="shared" si="54"/>
        <v>Yes</v>
      </c>
      <c r="X550" s="13" t="str">
        <f t="shared" si="54"/>
        <v>Yes</v>
      </c>
      <c r="Y550" s="13" t="str">
        <f t="shared" si="54"/>
        <v>No</v>
      </c>
      <c r="Z550" s="13" t="str">
        <f t="shared" si="54"/>
        <v>No</v>
      </c>
      <c r="AA550" s="71" t="e">
        <f>+(Table1[[#This Row],[Everyday price]]-Table1[[#This Row],[Promo Price]])/Table1[[#This Row],[Everyday price]]</f>
        <v>#DIV/0!</v>
      </c>
      <c r="AC550" s="69"/>
      <c r="AD550" s="13"/>
      <c r="AH550" s="6"/>
      <c r="AJ550" s="116" t="str">
        <f>IF(AND(ISNUMBER(Table1[[#This Row],[Lift  ]]),ISNUMBER(Table1[[#This Row],[Plan lift, %]]),Table1[[#This Row],[Plan lift, %]]&lt;&gt;0),Table1[[#This Row],[Lift  ]]-Table1[[#This Row],[Plan lift, %]],"")</f>
        <v/>
      </c>
      <c r="AK550" s="116"/>
    </row>
    <row r="551" spans="1:37" x14ac:dyDescent="0.35">
      <c r="A551" t="s">
        <v>239</v>
      </c>
      <c r="B551" s="12">
        <v>1018</v>
      </c>
      <c r="C551" s="21" t="s">
        <v>97</v>
      </c>
      <c r="D551" s="13" t="s">
        <v>1230</v>
      </c>
      <c r="F551" t="s">
        <v>240</v>
      </c>
      <c r="G551" t="s">
        <v>60</v>
      </c>
      <c r="H551" s="1">
        <v>46235</v>
      </c>
      <c r="I551" s="1">
        <v>46265</v>
      </c>
      <c r="J551" s="13" t="s">
        <v>24</v>
      </c>
      <c r="L551" s="2">
        <v>5345.43</v>
      </c>
      <c r="M551" s="2">
        <v>7085.72</v>
      </c>
      <c r="N551" s="2">
        <v>3542.86</v>
      </c>
      <c r="O551" s="2">
        <v>10628.58</v>
      </c>
      <c r="P551" s="3">
        <v>0.5</v>
      </c>
      <c r="Q551" s="3"/>
      <c r="R551" s="2">
        <v>0</v>
      </c>
      <c r="S551" s="3">
        <v>0</v>
      </c>
      <c r="T551" s="2">
        <v>0</v>
      </c>
      <c r="U551" t="s">
        <v>33</v>
      </c>
      <c r="V551" s="13" t="str">
        <f t="shared" si="54"/>
        <v>No</v>
      </c>
      <c r="W551" s="13" t="str">
        <f t="shared" si="54"/>
        <v>Yes</v>
      </c>
      <c r="X551" s="13" t="str">
        <f t="shared" si="54"/>
        <v>Yes</v>
      </c>
      <c r="Y551" s="13" t="str">
        <f t="shared" si="54"/>
        <v>No</v>
      </c>
      <c r="Z551" s="13" t="str">
        <f t="shared" si="54"/>
        <v>No</v>
      </c>
      <c r="AA551" s="71" t="e">
        <f>+(Table1[[#This Row],[Everyday price]]-Table1[[#This Row],[Promo Price]])/Table1[[#This Row],[Everyday price]]</f>
        <v>#DIV/0!</v>
      </c>
      <c r="AC551" s="69"/>
      <c r="AD551" s="13"/>
      <c r="AH551" s="6"/>
      <c r="AJ551" s="116" t="str">
        <f>IF(AND(ISNUMBER(Table1[[#This Row],[Lift  ]]),ISNUMBER(Table1[[#This Row],[Plan lift, %]]),Table1[[#This Row],[Plan lift, %]]&lt;&gt;0),Table1[[#This Row],[Lift  ]]-Table1[[#This Row],[Plan lift, %]],"")</f>
        <v/>
      </c>
      <c r="AK551" s="116"/>
    </row>
    <row r="552" spans="1:37" x14ac:dyDescent="0.35">
      <c r="A552" t="s">
        <v>354</v>
      </c>
      <c r="B552" s="12">
        <v>1019</v>
      </c>
      <c r="C552" s="21" t="s">
        <v>97</v>
      </c>
      <c r="D552" s="13" t="s">
        <v>1230</v>
      </c>
      <c r="F552" t="s">
        <v>355</v>
      </c>
      <c r="G552" t="s">
        <v>44</v>
      </c>
      <c r="H552" s="1">
        <v>46296</v>
      </c>
      <c r="I552" s="1">
        <v>46296</v>
      </c>
      <c r="J552" s="13" t="s">
        <v>24</v>
      </c>
      <c r="L552" s="2">
        <v>511.14</v>
      </c>
      <c r="M552" s="2">
        <v>228.57</v>
      </c>
      <c r="N552" s="2">
        <v>114.29</v>
      </c>
      <c r="O552" s="2">
        <v>342.86</v>
      </c>
      <c r="P552" s="3">
        <v>0.5</v>
      </c>
      <c r="Q552" s="3"/>
      <c r="R552" s="2">
        <v>0</v>
      </c>
      <c r="S552" s="3">
        <v>0</v>
      </c>
      <c r="T552" s="2">
        <v>0</v>
      </c>
      <c r="U552" t="s">
        <v>33</v>
      </c>
      <c r="V552" s="13" t="str">
        <f t="shared" ref="V552:Z561" si="55">IF(ISNUMBER(SEARCH(V$1,$U552)),"Yes","No")</f>
        <v>No</v>
      </c>
      <c r="W552" s="13" t="str">
        <f t="shared" si="55"/>
        <v>Yes</v>
      </c>
      <c r="X552" s="13" t="str">
        <f t="shared" si="55"/>
        <v>Yes</v>
      </c>
      <c r="Y552" s="13" t="str">
        <f t="shared" si="55"/>
        <v>No</v>
      </c>
      <c r="Z552" s="13" t="str">
        <f t="shared" si="55"/>
        <v>No</v>
      </c>
      <c r="AA552" s="71" t="e">
        <f>+(Table1[[#This Row],[Everyday price]]-Table1[[#This Row],[Promo Price]])/Table1[[#This Row],[Everyday price]]</f>
        <v>#DIV/0!</v>
      </c>
      <c r="AC552" s="69"/>
      <c r="AD552" s="13"/>
      <c r="AH552" s="6"/>
      <c r="AJ552" s="116" t="str">
        <f>IF(AND(ISNUMBER(Table1[[#This Row],[Lift  ]]),ISNUMBER(Table1[[#This Row],[Plan lift, %]]),Table1[[#This Row],[Plan lift, %]]&lt;&gt;0),Table1[[#This Row],[Lift  ]]-Table1[[#This Row],[Plan lift, %]],"")</f>
        <v/>
      </c>
      <c r="AK552" s="116"/>
    </row>
    <row r="553" spans="1:37" x14ac:dyDescent="0.35">
      <c r="A553" t="s">
        <v>227</v>
      </c>
      <c r="B553" s="12">
        <v>1132</v>
      </c>
      <c r="C553" s="21" t="s">
        <v>70</v>
      </c>
      <c r="D553" s="15" t="s">
        <v>1237</v>
      </c>
      <c r="E553" t="s">
        <v>71</v>
      </c>
      <c r="F553" s="21" t="s">
        <v>228</v>
      </c>
      <c r="G553" t="s">
        <v>23</v>
      </c>
      <c r="H553" s="14">
        <v>46023</v>
      </c>
      <c r="I553" s="14">
        <v>46037</v>
      </c>
      <c r="J553" s="13" t="s">
        <v>24</v>
      </c>
      <c r="L553" s="2">
        <v>28023.03</v>
      </c>
      <c r="M553" s="2">
        <v>47658.21</v>
      </c>
      <c r="N553" s="2">
        <v>19063.28</v>
      </c>
      <c r="O553" s="2">
        <v>66721.490000000005</v>
      </c>
      <c r="P553" s="3">
        <v>0.4</v>
      </c>
      <c r="Q553" s="3"/>
      <c r="R553" s="2">
        <v>1429052</v>
      </c>
      <c r="S553" s="3">
        <v>118.1</v>
      </c>
      <c r="T553" s="2">
        <v>1441152</v>
      </c>
      <c r="U553" s="13" t="s">
        <v>25</v>
      </c>
      <c r="V553" s="13" t="str">
        <f t="shared" si="55"/>
        <v>No</v>
      </c>
      <c r="W553" s="13" t="str">
        <f t="shared" si="55"/>
        <v>Yes</v>
      </c>
      <c r="X553" s="13" t="str">
        <f t="shared" si="55"/>
        <v>No</v>
      </c>
      <c r="Y553" s="13" t="str">
        <f t="shared" si="55"/>
        <v>No</v>
      </c>
      <c r="Z553" s="13" t="str">
        <f t="shared" si="55"/>
        <v>No</v>
      </c>
      <c r="AA553" s="71" t="e">
        <f>+(Table1[[#This Row],[Everyday price]]-Table1[[#This Row],[Promo Price]])/Table1[[#This Row],[Everyday price]]</f>
        <v>#DIV/0!</v>
      </c>
      <c r="AC553" s="69"/>
      <c r="AH553" s="6"/>
      <c r="AJ553" s="116" t="str">
        <f>IF(AND(ISNUMBER(Table1[[#This Row],[Lift  ]]),ISNUMBER(Table1[[#This Row],[Plan lift, %]]),Table1[[#This Row],[Plan lift, %]]&lt;&gt;0),Table1[[#This Row],[Lift  ]]-Table1[[#This Row],[Plan lift, %]],"")</f>
        <v/>
      </c>
      <c r="AK553" s="116"/>
    </row>
    <row r="554" spans="1:37" x14ac:dyDescent="0.35">
      <c r="A554" t="s">
        <v>191</v>
      </c>
      <c r="B554" s="12">
        <v>1131</v>
      </c>
      <c r="C554" s="21" t="s">
        <v>70</v>
      </c>
      <c r="D554" s="15" t="s">
        <v>1237</v>
      </c>
      <c r="E554" t="s">
        <v>71</v>
      </c>
      <c r="F554" s="21" t="s">
        <v>192</v>
      </c>
      <c r="G554" t="s">
        <v>23</v>
      </c>
      <c r="H554" s="14">
        <v>46054</v>
      </c>
      <c r="I554" s="14">
        <v>46061</v>
      </c>
      <c r="J554" s="13" t="s">
        <v>24</v>
      </c>
      <c r="L554" s="2">
        <v>10745.28</v>
      </c>
      <c r="M554" s="2">
        <v>21320</v>
      </c>
      <c r="N554" s="2">
        <v>4264</v>
      </c>
      <c r="O554" s="2">
        <v>25584</v>
      </c>
      <c r="P554" s="3">
        <v>0.2</v>
      </c>
      <c r="Q554" s="3"/>
      <c r="R554" s="2">
        <v>0</v>
      </c>
      <c r="S554" s="3">
        <v>0</v>
      </c>
      <c r="T554" s="2">
        <v>0</v>
      </c>
      <c r="U554" s="13" t="s">
        <v>25</v>
      </c>
      <c r="V554" s="13" t="str">
        <f t="shared" si="55"/>
        <v>No</v>
      </c>
      <c r="W554" s="13" t="str">
        <f t="shared" si="55"/>
        <v>Yes</v>
      </c>
      <c r="X554" s="13" t="str">
        <f t="shared" si="55"/>
        <v>No</v>
      </c>
      <c r="Y554" s="13" t="str">
        <f t="shared" si="55"/>
        <v>No</v>
      </c>
      <c r="Z554" s="13" t="str">
        <f t="shared" si="55"/>
        <v>No</v>
      </c>
      <c r="AA554" s="71" t="e">
        <f>+(Table1[[#This Row],[Everyday price]]-Table1[[#This Row],[Promo Price]])/Table1[[#This Row],[Everyday price]]</f>
        <v>#DIV/0!</v>
      </c>
      <c r="AC554" s="69"/>
      <c r="AH554" s="6"/>
      <c r="AJ554" s="116" t="str">
        <f>IF(AND(ISNUMBER(Table1[[#This Row],[Lift  ]]),ISNUMBER(Table1[[#This Row],[Plan lift, %]]),Table1[[#This Row],[Plan lift, %]]&lt;&gt;0),Table1[[#This Row],[Lift  ]]-Table1[[#This Row],[Plan lift, %]],"")</f>
        <v/>
      </c>
      <c r="AK554" s="116"/>
    </row>
    <row r="555" spans="1:37" x14ac:dyDescent="0.35">
      <c r="A555" t="s">
        <v>352</v>
      </c>
      <c r="B555" s="12">
        <v>1128</v>
      </c>
      <c r="C555" s="21" t="s">
        <v>70</v>
      </c>
      <c r="D555" s="15" t="s">
        <v>1237</v>
      </c>
      <c r="E555" t="s">
        <v>71</v>
      </c>
      <c r="F555" s="21" t="s">
        <v>353</v>
      </c>
      <c r="G555" t="s">
        <v>23</v>
      </c>
      <c r="H555" s="14">
        <v>46113</v>
      </c>
      <c r="I555" s="14">
        <v>46120</v>
      </c>
      <c r="J555" s="13" t="s">
        <v>24</v>
      </c>
      <c r="L555" s="2">
        <v>10745.28</v>
      </c>
      <c r="M555" s="2">
        <v>21320</v>
      </c>
      <c r="N555" s="2">
        <v>4264</v>
      </c>
      <c r="O555" s="2">
        <v>25584</v>
      </c>
      <c r="P555" s="3">
        <v>0.2</v>
      </c>
      <c r="Q555" s="3"/>
      <c r="R555" s="2">
        <v>0</v>
      </c>
      <c r="S555" s="3">
        <v>0</v>
      </c>
      <c r="T555" s="2">
        <v>0</v>
      </c>
      <c r="U555" s="13" t="s">
        <v>25</v>
      </c>
      <c r="V555" s="13" t="str">
        <f t="shared" si="55"/>
        <v>No</v>
      </c>
      <c r="W555" s="13" t="str">
        <f t="shared" si="55"/>
        <v>Yes</v>
      </c>
      <c r="X555" s="13" t="str">
        <f t="shared" si="55"/>
        <v>No</v>
      </c>
      <c r="Y555" s="13" t="str">
        <f t="shared" si="55"/>
        <v>No</v>
      </c>
      <c r="Z555" s="13" t="str">
        <f t="shared" si="55"/>
        <v>No</v>
      </c>
      <c r="AA555" s="71" t="e">
        <f>+(Table1[[#This Row],[Everyday price]]-Table1[[#This Row],[Promo Price]])/Table1[[#This Row],[Everyday price]]</f>
        <v>#DIV/0!</v>
      </c>
      <c r="AC555" s="69"/>
      <c r="AH555" s="6"/>
      <c r="AJ555" s="116" t="str">
        <f>IF(AND(ISNUMBER(Table1[[#This Row],[Lift  ]]),ISNUMBER(Table1[[#This Row],[Plan lift, %]]),Table1[[#This Row],[Plan lift, %]]&lt;&gt;0),Table1[[#This Row],[Lift  ]]-Table1[[#This Row],[Plan lift, %]],"")</f>
        <v/>
      </c>
      <c r="AK555" s="116"/>
    </row>
    <row r="556" spans="1:37" x14ac:dyDescent="0.35">
      <c r="A556" t="s">
        <v>69</v>
      </c>
      <c r="B556" s="12">
        <v>1134</v>
      </c>
      <c r="C556" s="21" t="s">
        <v>70</v>
      </c>
      <c r="D556" s="15" t="s">
        <v>1237</v>
      </c>
      <c r="E556" t="s">
        <v>71</v>
      </c>
      <c r="F556" s="21" t="s">
        <v>72</v>
      </c>
      <c r="G556" t="s">
        <v>23</v>
      </c>
      <c r="H556" s="14">
        <v>46174</v>
      </c>
      <c r="I556" s="14">
        <v>46194</v>
      </c>
      <c r="J556" s="13" t="s">
        <v>24</v>
      </c>
      <c r="L556" s="2">
        <v>28206.36</v>
      </c>
      <c r="M556" s="2">
        <v>55965</v>
      </c>
      <c r="N556" s="2">
        <v>11193</v>
      </c>
      <c r="O556" s="2">
        <v>67158</v>
      </c>
      <c r="P556" s="3">
        <v>0.2</v>
      </c>
      <c r="Q556" s="3"/>
      <c r="R556" s="2">
        <v>0</v>
      </c>
      <c r="S556" s="3">
        <v>0</v>
      </c>
      <c r="T556" s="2">
        <v>0</v>
      </c>
      <c r="U556" s="13" t="s">
        <v>25</v>
      </c>
      <c r="V556" s="13" t="str">
        <f t="shared" si="55"/>
        <v>No</v>
      </c>
      <c r="W556" s="13" t="str">
        <f t="shared" si="55"/>
        <v>Yes</v>
      </c>
      <c r="X556" s="13" t="str">
        <f t="shared" si="55"/>
        <v>No</v>
      </c>
      <c r="Y556" s="13" t="str">
        <f t="shared" si="55"/>
        <v>No</v>
      </c>
      <c r="Z556" s="13" t="str">
        <f t="shared" si="55"/>
        <v>No</v>
      </c>
      <c r="AA556" s="71" t="e">
        <f>+(Table1[[#This Row],[Everyday price]]-Table1[[#This Row],[Promo Price]])/Table1[[#This Row],[Everyday price]]</f>
        <v>#DIV/0!</v>
      </c>
      <c r="AC556" s="69"/>
      <c r="AH556" s="6"/>
      <c r="AJ556" s="116" t="str">
        <f>IF(AND(ISNUMBER(Table1[[#This Row],[Lift  ]]),ISNUMBER(Table1[[#This Row],[Plan lift, %]]),Table1[[#This Row],[Plan lift, %]]&lt;&gt;0),Table1[[#This Row],[Lift  ]]-Table1[[#This Row],[Plan lift, %]],"")</f>
        <v/>
      </c>
      <c r="AK556" s="116"/>
    </row>
    <row r="557" spans="1:37" x14ac:dyDescent="0.35">
      <c r="A557" t="s">
        <v>372</v>
      </c>
      <c r="B557" s="12">
        <v>1133</v>
      </c>
      <c r="C557" s="21" t="s">
        <v>70</v>
      </c>
      <c r="D557" s="15" t="s">
        <v>1237</v>
      </c>
      <c r="E557" t="s">
        <v>71</v>
      </c>
      <c r="F557" s="21" t="s">
        <v>373</v>
      </c>
      <c r="G557" t="s">
        <v>23</v>
      </c>
      <c r="H557" s="14">
        <v>46204</v>
      </c>
      <c r="I557" s="14">
        <v>46217</v>
      </c>
      <c r="J557" s="13" t="s">
        <v>24</v>
      </c>
      <c r="L557" s="2">
        <v>21938.28</v>
      </c>
      <c r="M557" s="2">
        <v>37310</v>
      </c>
      <c r="N557" s="2">
        <v>14924</v>
      </c>
      <c r="O557" s="2">
        <v>52234</v>
      </c>
      <c r="P557" s="3">
        <v>0.4</v>
      </c>
      <c r="Q557" s="3"/>
      <c r="R557" s="2">
        <v>118422</v>
      </c>
      <c r="S557" s="3">
        <v>12.53</v>
      </c>
      <c r="T557" s="2">
        <v>127872</v>
      </c>
      <c r="U557" s="13" t="s">
        <v>25</v>
      </c>
      <c r="V557" s="13" t="str">
        <f t="shared" si="55"/>
        <v>No</v>
      </c>
      <c r="W557" s="13" t="str">
        <f t="shared" si="55"/>
        <v>Yes</v>
      </c>
      <c r="X557" s="13" t="str">
        <f t="shared" si="55"/>
        <v>No</v>
      </c>
      <c r="Y557" s="13" t="str">
        <f t="shared" si="55"/>
        <v>No</v>
      </c>
      <c r="Z557" s="13" t="str">
        <f t="shared" si="55"/>
        <v>No</v>
      </c>
      <c r="AA557" s="71" t="e">
        <f>+(Table1[[#This Row],[Everyday price]]-Table1[[#This Row],[Promo Price]])/Table1[[#This Row],[Everyday price]]</f>
        <v>#DIV/0!</v>
      </c>
      <c r="AC557" s="69"/>
      <c r="AH557" s="6"/>
      <c r="AJ557" s="116" t="str">
        <f>IF(AND(ISNUMBER(Table1[[#This Row],[Lift  ]]),ISNUMBER(Table1[[#This Row],[Plan lift, %]]),Table1[[#This Row],[Plan lift, %]]&lt;&gt;0),Table1[[#This Row],[Lift  ]]-Table1[[#This Row],[Plan lift, %]],"")</f>
        <v/>
      </c>
      <c r="AK557" s="116"/>
    </row>
    <row r="558" spans="1:37" x14ac:dyDescent="0.35">
      <c r="A558" t="s">
        <v>1210</v>
      </c>
      <c r="B558" s="12">
        <v>1129</v>
      </c>
      <c r="C558" s="21" t="s">
        <v>70</v>
      </c>
      <c r="D558" s="15" t="s">
        <v>1237</v>
      </c>
      <c r="E558" t="s">
        <v>71</v>
      </c>
      <c r="F558" s="21" t="s">
        <v>1211</v>
      </c>
      <c r="G558" t="s">
        <v>60</v>
      </c>
      <c r="H558" s="14">
        <v>46235</v>
      </c>
      <c r="I558" s="14">
        <v>46241</v>
      </c>
      <c r="J558" s="13" t="s">
        <v>24</v>
      </c>
      <c r="L558" s="2">
        <v>9402.1200000000008</v>
      </c>
      <c r="M558" s="2">
        <v>18655</v>
      </c>
      <c r="N558" s="2">
        <v>3731</v>
      </c>
      <c r="O558" s="2">
        <v>22386</v>
      </c>
      <c r="P558" s="3">
        <v>0.2</v>
      </c>
      <c r="Q558" s="3"/>
      <c r="R558" s="2">
        <v>0</v>
      </c>
      <c r="S558" s="3">
        <v>0</v>
      </c>
      <c r="T558" s="2">
        <v>0</v>
      </c>
      <c r="U558" s="13" t="s">
        <v>25</v>
      </c>
      <c r="V558" s="13" t="str">
        <f t="shared" si="55"/>
        <v>No</v>
      </c>
      <c r="W558" s="13" t="str">
        <f t="shared" si="55"/>
        <v>Yes</v>
      </c>
      <c r="X558" s="13" t="str">
        <f t="shared" si="55"/>
        <v>No</v>
      </c>
      <c r="Y558" s="13" t="str">
        <f t="shared" si="55"/>
        <v>No</v>
      </c>
      <c r="Z558" s="13" t="str">
        <f t="shared" si="55"/>
        <v>No</v>
      </c>
      <c r="AA558" s="71" t="e">
        <f>+(Table1[[#This Row],[Everyday price]]-Table1[[#This Row],[Promo Price]])/Table1[[#This Row],[Everyday price]]</f>
        <v>#DIV/0!</v>
      </c>
      <c r="AC558" s="69"/>
      <c r="AH558" s="6"/>
      <c r="AJ558" s="116" t="str">
        <f>IF(AND(ISNUMBER(Table1[[#This Row],[Lift  ]]),ISNUMBER(Table1[[#This Row],[Plan lift, %]]),Table1[[#This Row],[Plan lift, %]]&lt;&gt;0),Table1[[#This Row],[Lift  ]]-Table1[[#This Row],[Plan lift, %]],"")</f>
        <v/>
      </c>
      <c r="AK558" s="116"/>
    </row>
    <row r="559" spans="1:37" x14ac:dyDescent="0.35">
      <c r="A559" t="s">
        <v>75</v>
      </c>
      <c r="B559" s="12">
        <v>1135</v>
      </c>
      <c r="C559" s="21" t="s">
        <v>70</v>
      </c>
      <c r="D559" s="15" t="s">
        <v>1237</v>
      </c>
      <c r="E559" t="s">
        <v>71</v>
      </c>
      <c r="F559" s="21" t="s">
        <v>76</v>
      </c>
      <c r="G559" t="s">
        <v>44</v>
      </c>
      <c r="H559" s="14">
        <v>46296</v>
      </c>
      <c r="I559" s="14">
        <v>46302</v>
      </c>
      <c r="J559" s="13" t="s">
        <v>24</v>
      </c>
      <c r="L559" s="2">
        <v>9402.1200000000008</v>
      </c>
      <c r="M559" s="2">
        <v>18655</v>
      </c>
      <c r="N559" s="2">
        <v>3731</v>
      </c>
      <c r="O559" s="2">
        <v>22386</v>
      </c>
      <c r="P559" s="3">
        <v>0.2</v>
      </c>
      <c r="Q559" s="3"/>
      <c r="R559" s="2">
        <v>0</v>
      </c>
      <c r="S559" s="3">
        <v>0</v>
      </c>
      <c r="T559" s="2">
        <v>0</v>
      </c>
      <c r="U559" s="13" t="s">
        <v>25</v>
      </c>
      <c r="V559" s="13" t="str">
        <f t="shared" si="55"/>
        <v>No</v>
      </c>
      <c r="W559" s="13" t="str">
        <f t="shared" si="55"/>
        <v>Yes</v>
      </c>
      <c r="X559" s="13" t="str">
        <f t="shared" si="55"/>
        <v>No</v>
      </c>
      <c r="Y559" s="13" t="str">
        <f t="shared" si="55"/>
        <v>No</v>
      </c>
      <c r="Z559" s="13" t="str">
        <f t="shared" si="55"/>
        <v>No</v>
      </c>
      <c r="AA559" s="71" t="e">
        <f>+(Table1[[#This Row],[Everyday price]]-Table1[[#This Row],[Promo Price]])/Table1[[#This Row],[Everyday price]]</f>
        <v>#DIV/0!</v>
      </c>
      <c r="AC559" s="69"/>
      <c r="AH559" s="6"/>
      <c r="AJ559" s="116" t="str">
        <f>IF(AND(ISNUMBER(Table1[[#This Row],[Lift  ]]),ISNUMBER(Table1[[#This Row],[Plan lift, %]]),Table1[[#This Row],[Plan lift, %]]&lt;&gt;0),Table1[[#This Row],[Lift  ]]-Table1[[#This Row],[Plan lift, %]],"")</f>
        <v/>
      </c>
      <c r="AK559" s="116"/>
    </row>
    <row r="560" spans="1:37" x14ac:dyDescent="0.35">
      <c r="A560" t="s">
        <v>1040</v>
      </c>
      <c r="B560" s="12">
        <v>1130</v>
      </c>
      <c r="C560" s="21" t="s">
        <v>70</v>
      </c>
      <c r="D560" s="15" t="s">
        <v>1237</v>
      </c>
      <c r="E560" t="s">
        <v>71</v>
      </c>
      <c r="F560" s="21" t="s">
        <v>1041</v>
      </c>
      <c r="G560" t="s">
        <v>44</v>
      </c>
      <c r="H560" s="14">
        <v>46357</v>
      </c>
      <c r="I560" s="14">
        <v>46377</v>
      </c>
      <c r="J560" s="13" t="s">
        <v>24</v>
      </c>
      <c r="L560" s="2">
        <v>28206.36</v>
      </c>
      <c r="M560" s="2">
        <v>55965</v>
      </c>
      <c r="N560" s="2">
        <v>11193</v>
      </c>
      <c r="O560" s="2">
        <v>67158</v>
      </c>
      <c r="P560" s="3">
        <v>0.2</v>
      </c>
      <c r="Q560" s="3"/>
      <c r="R560" s="2">
        <v>0</v>
      </c>
      <c r="S560" s="3">
        <v>0</v>
      </c>
      <c r="T560" s="2">
        <v>0</v>
      </c>
      <c r="U560" s="13" t="s">
        <v>25</v>
      </c>
      <c r="V560" s="13" t="str">
        <f t="shared" si="55"/>
        <v>No</v>
      </c>
      <c r="W560" s="13" t="str">
        <f t="shared" si="55"/>
        <v>Yes</v>
      </c>
      <c r="X560" s="13" t="str">
        <f t="shared" si="55"/>
        <v>No</v>
      </c>
      <c r="Y560" s="13" t="str">
        <f t="shared" si="55"/>
        <v>No</v>
      </c>
      <c r="Z560" s="13" t="str">
        <f t="shared" si="55"/>
        <v>No</v>
      </c>
      <c r="AA560" s="71" t="e">
        <f>+(Table1[[#This Row],[Everyday price]]-Table1[[#This Row],[Promo Price]])/Table1[[#This Row],[Everyday price]]</f>
        <v>#DIV/0!</v>
      </c>
      <c r="AC560" s="69"/>
      <c r="AH560" s="6"/>
      <c r="AJ560" s="116" t="str">
        <f>IF(AND(ISNUMBER(Table1[[#This Row],[Lift  ]]),ISNUMBER(Table1[[#This Row],[Plan lift, %]]),Table1[[#This Row],[Plan lift, %]]&lt;&gt;0),Table1[[#This Row],[Lift  ]]-Table1[[#This Row],[Plan lift, %]],"")</f>
        <v/>
      </c>
      <c r="AK560" s="116"/>
    </row>
    <row r="561" spans="1:39" x14ac:dyDescent="0.35">
      <c r="A561" t="s">
        <v>547</v>
      </c>
      <c r="B561" s="82">
        <v>1136</v>
      </c>
      <c r="C561" s="21" t="s">
        <v>121</v>
      </c>
      <c r="D561" s="13" t="s">
        <v>1232</v>
      </c>
      <c r="F561" s="21" t="s">
        <v>548</v>
      </c>
      <c r="G561" t="s">
        <v>23</v>
      </c>
      <c r="H561" s="14">
        <v>46023</v>
      </c>
      <c r="I561" s="14">
        <v>46036</v>
      </c>
      <c r="J561" s="13" t="s">
        <v>24</v>
      </c>
      <c r="L561" s="2">
        <v>25602.62</v>
      </c>
      <c r="M561" s="2">
        <v>14176.42</v>
      </c>
      <c r="N561" s="2">
        <v>5670.57</v>
      </c>
      <c r="O561" s="2">
        <v>19846.990000000002</v>
      </c>
      <c r="P561" s="3">
        <v>0.4</v>
      </c>
      <c r="Q561" s="3"/>
      <c r="R561" s="2">
        <v>27724.15</v>
      </c>
      <c r="S561" s="3">
        <v>2.1</v>
      </c>
      <c r="T561" s="2">
        <v>40907.58</v>
      </c>
      <c r="U561" s="13" t="s">
        <v>25</v>
      </c>
      <c r="V561" s="13" t="str">
        <f t="shared" si="55"/>
        <v>No</v>
      </c>
      <c r="W561" s="13" t="str">
        <f t="shared" si="55"/>
        <v>Yes</v>
      </c>
      <c r="X561" s="13" t="str">
        <f t="shared" si="55"/>
        <v>No</v>
      </c>
      <c r="Y561" s="13" t="str">
        <f t="shared" si="55"/>
        <v>No</v>
      </c>
      <c r="Z561" s="13" t="str">
        <f t="shared" si="55"/>
        <v>No</v>
      </c>
      <c r="AA561" s="71">
        <f>+(Table1[[#This Row],[Everyday price]]-Table1[[#This Row],[Promo Price]])/Table1[[#This Row],[Everyday price]]</f>
        <v>0.3779264214046823</v>
      </c>
      <c r="AB561" s="69">
        <v>1.86</v>
      </c>
      <c r="AC561" s="69">
        <v>2.99</v>
      </c>
      <c r="AD561" s="40" t="s">
        <v>1257</v>
      </c>
      <c r="AE561" s="5">
        <v>46020</v>
      </c>
      <c r="AF561" s="5">
        <v>46054</v>
      </c>
      <c r="AG561" s="20">
        <v>36078</v>
      </c>
      <c r="AH561" s="6">
        <v>66610</v>
      </c>
      <c r="AI561" s="11">
        <f>Table1[[#This Row],[Incremental Units]]/Table1[[#This Row],[Base Units]]</f>
        <v>1.8462775098397917</v>
      </c>
      <c r="AJ561" s="11">
        <f>IF(AND(ISNUMBER(Table1[[#This Row],[Lift  ]]),ISNUMBER(Table1[[#This Row],[Plan lift, %]]),Table1[[#This Row],[Plan lift, %]]&lt;&gt;0),Table1[[#This Row],[Lift  ]]-Table1[[#This Row],[Plan lift, %]],"")</f>
        <v>1.4462775098397915</v>
      </c>
      <c r="AK561" s="11"/>
      <c r="AL561" s="71" t="s">
        <v>1400</v>
      </c>
      <c r="AM561" s="4" t="s">
        <v>1393</v>
      </c>
    </row>
    <row r="562" spans="1:39" x14ac:dyDescent="0.35">
      <c r="A562" t="s">
        <v>908</v>
      </c>
      <c r="B562" s="82">
        <v>1138</v>
      </c>
      <c r="C562" s="21" t="s">
        <v>121</v>
      </c>
      <c r="D562" s="13" t="s">
        <v>1232</v>
      </c>
      <c r="F562" s="21" t="s">
        <v>909</v>
      </c>
      <c r="G562" t="s">
        <v>23</v>
      </c>
      <c r="H562" s="14">
        <v>46082</v>
      </c>
      <c r="I562" s="14">
        <v>46095</v>
      </c>
      <c r="J562" s="13" t="s">
        <v>24</v>
      </c>
      <c r="L562" s="2">
        <v>12180.03</v>
      </c>
      <c r="M562" s="2">
        <v>12180.03</v>
      </c>
      <c r="N562" s="2">
        <v>3045</v>
      </c>
      <c r="O562" s="2">
        <v>15225.03</v>
      </c>
      <c r="P562" s="3">
        <v>0.25</v>
      </c>
      <c r="Q562" s="3"/>
      <c r="R562" s="2">
        <v>10279.1</v>
      </c>
      <c r="S562" s="3">
        <v>0.51</v>
      </c>
      <c r="T562" s="2">
        <v>30381.95</v>
      </c>
      <c r="U562" s="13" t="s">
        <v>25</v>
      </c>
      <c r="V562" s="13" t="str">
        <f t="shared" ref="V562:Z571" si="56">IF(ISNUMBER(SEARCH(V$1,$U562)),"Yes","No")</f>
        <v>No</v>
      </c>
      <c r="W562" s="13" t="str">
        <f t="shared" si="56"/>
        <v>Yes</v>
      </c>
      <c r="X562" s="13" t="str">
        <f t="shared" si="56"/>
        <v>No</v>
      </c>
      <c r="Y562" s="13" t="str">
        <f t="shared" si="56"/>
        <v>No</v>
      </c>
      <c r="Z562" s="13" t="str">
        <f t="shared" si="56"/>
        <v>No</v>
      </c>
      <c r="AA562" s="71">
        <f>+(Table1[[#This Row],[Everyday price]]-Table1[[#This Row],[Promo Price]])/Table1[[#This Row],[Everyday price]]</f>
        <v>0.2976588628762542</v>
      </c>
      <c r="AB562" s="69">
        <v>2.1</v>
      </c>
      <c r="AC562" s="69">
        <v>2.99</v>
      </c>
      <c r="AD562" s="40" t="s">
        <v>1257</v>
      </c>
      <c r="AE562" s="5">
        <v>46083</v>
      </c>
      <c r="AF562" s="5">
        <v>46110</v>
      </c>
      <c r="AG562" s="20">
        <v>41919</v>
      </c>
      <c r="AH562" s="6">
        <v>21411</v>
      </c>
      <c r="AI562" s="11">
        <f>Table1[[#This Row],[Incremental Units]]/Table1[[#This Row],[Base Units]]</f>
        <v>0.51077077220353539</v>
      </c>
      <c r="AJ562" s="11">
        <f>IF(AND(ISNUMBER(Table1[[#This Row],[Lift  ]]),ISNUMBER(Table1[[#This Row],[Plan lift, %]]),Table1[[#This Row],[Plan lift, %]]&lt;&gt;0),Table1[[#This Row],[Lift  ]]-Table1[[#This Row],[Plan lift, %]],"")</f>
        <v>0.26077077220353539</v>
      </c>
      <c r="AK562" s="11"/>
      <c r="AL562" s="71" t="s">
        <v>1400</v>
      </c>
    </row>
    <row r="563" spans="1:39" x14ac:dyDescent="0.35">
      <c r="A563" t="s">
        <v>120</v>
      </c>
      <c r="B563" s="82">
        <v>1139</v>
      </c>
      <c r="C563" s="21" t="s">
        <v>121</v>
      </c>
      <c r="D563" s="13" t="s">
        <v>1232</v>
      </c>
      <c r="F563" s="21" t="s">
        <v>122</v>
      </c>
      <c r="G563" t="s">
        <v>23</v>
      </c>
      <c r="H563" s="14">
        <v>46143</v>
      </c>
      <c r="I563" s="14">
        <v>46156</v>
      </c>
      <c r="J563" s="13" t="s">
        <v>24</v>
      </c>
      <c r="L563" s="2">
        <v>17003.259999999998</v>
      </c>
      <c r="M563" s="2">
        <v>17003.259999999998</v>
      </c>
      <c r="N563" s="2">
        <v>4250.82</v>
      </c>
      <c r="O563" s="2">
        <v>21254.080000000002</v>
      </c>
      <c r="P563" s="3">
        <v>0.25</v>
      </c>
      <c r="Q563" s="3"/>
      <c r="R563" s="2">
        <v>9382.94</v>
      </c>
      <c r="S563" s="3">
        <v>0.61</v>
      </c>
      <c r="T563" s="2">
        <v>24670.42</v>
      </c>
      <c r="U563" s="13" t="s">
        <v>25</v>
      </c>
      <c r="V563" s="13" t="str">
        <f t="shared" si="56"/>
        <v>No</v>
      </c>
      <c r="W563" s="13" t="str">
        <f t="shared" si="56"/>
        <v>Yes</v>
      </c>
      <c r="X563" s="13" t="str">
        <f t="shared" si="56"/>
        <v>No</v>
      </c>
      <c r="Y563" s="13" t="str">
        <f t="shared" si="56"/>
        <v>No</v>
      </c>
      <c r="Z563" s="13" t="str">
        <f t="shared" si="56"/>
        <v>No</v>
      </c>
      <c r="AA563" s="71">
        <f>+(Table1[[#This Row],[Everyday price]]-Table1[[#This Row],[Promo Price]])/Table1[[#This Row],[Everyday price]]</f>
        <v>0.36102236421725237</v>
      </c>
      <c r="AB563" s="69">
        <v>2</v>
      </c>
      <c r="AC563" s="69">
        <v>3.13</v>
      </c>
      <c r="AD563" s="40" t="s">
        <v>1257</v>
      </c>
      <c r="AE563" s="5">
        <v>46146</v>
      </c>
      <c r="AF563" s="5">
        <v>46159</v>
      </c>
      <c r="AG563" s="20">
        <v>16991</v>
      </c>
      <c r="AH563" s="6">
        <v>12351</v>
      </c>
      <c r="AI563" s="11">
        <f>Table1[[#This Row],[Incremental Units]]/Table1[[#This Row],[Base Units]]</f>
        <v>0.72691424871991051</v>
      </c>
      <c r="AJ563" s="11">
        <f>IF(AND(ISNUMBER(Table1[[#This Row],[Lift  ]]),ISNUMBER(Table1[[#This Row],[Plan lift, %]]),Table1[[#This Row],[Plan lift, %]]&lt;&gt;0),Table1[[#This Row],[Lift  ]]-Table1[[#This Row],[Plan lift, %]],"")</f>
        <v>0.47691424871991051</v>
      </c>
      <c r="AK563" s="11"/>
      <c r="AL563" s="71" t="s">
        <v>1400</v>
      </c>
      <c r="AM563" s="4" t="s">
        <v>1394</v>
      </c>
    </row>
    <row r="564" spans="1:39" x14ac:dyDescent="0.35">
      <c r="A564" t="s">
        <v>747</v>
      </c>
      <c r="B564" s="12">
        <v>1137</v>
      </c>
      <c r="C564" s="21" t="s">
        <v>121</v>
      </c>
      <c r="D564" s="13" t="s">
        <v>1232</v>
      </c>
      <c r="F564" s="21" t="s">
        <v>748</v>
      </c>
      <c r="G564" t="s">
        <v>23</v>
      </c>
      <c r="H564" s="14">
        <v>46204</v>
      </c>
      <c r="I564" s="14">
        <v>46217</v>
      </c>
      <c r="J564" s="13" t="s">
        <v>24</v>
      </c>
      <c r="L564" s="2">
        <v>16274.07</v>
      </c>
      <c r="M564" s="2">
        <v>16274.07</v>
      </c>
      <c r="N564" s="2">
        <v>4068.52</v>
      </c>
      <c r="O564" s="2">
        <v>20342.59</v>
      </c>
      <c r="P564" s="3">
        <v>0.25</v>
      </c>
      <c r="Q564" s="3"/>
      <c r="R564" s="2">
        <v>9341.41</v>
      </c>
      <c r="S564" s="3">
        <v>1.04</v>
      </c>
      <c r="T564" s="2">
        <v>18361.419999999998</v>
      </c>
      <c r="U564" s="13" t="s">
        <v>25</v>
      </c>
      <c r="V564" s="13" t="str">
        <f t="shared" si="56"/>
        <v>No</v>
      </c>
      <c r="W564" s="13" t="str">
        <f t="shared" si="56"/>
        <v>Yes</v>
      </c>
      <c r="X564" s="13" t="str">
        <f t="shared" si="56"/>
        <v>No</v>
      </c>
      <c r="Y564" s="13" t="str">
        <f t="shared" si="56"/>
        <v>No</v>
      </c>
      <c r="Z564" s="13" t="str">
        <f t="shared" si="56"/>
        <v>No</v>
      </c>
      <c r="AA564" s="71" t="e">
        <f>+(Table1[[#This Row],[Everyday price]]-Table1[[#This Row],[Promo Price]])/Table1[[#This Row],[Everyday price]]</f>
        <v>#DIV/0!</v>
      </c>
      <c r="AC564" s="69"/>
      <c r="AH564" s="6"/>
      <c r="AJ564" s="11" t="str">
        <f>IF(AND(ISNUMBER(Table1[[#This Row],[Lift  ]]),ISNUMBER(Table1[[#This Row],[Plan lift, %]]),Table1[[#This Row],[Plan lift, %]]&lt;&gt;0),Table1[[#This Row],[Lift  ]]-Table1[[#This Row],[Plan lift, %]],"")</f>
        <v/>
      </c>
      <c r="AK564" s="116"/>
    </row>
    <row r="565" spans="1:39" x14ac:dyDescent="0.35">
      <c r="A565" t="s">
        <v>207</v>
      </c>
      <c r="B565" s="12">
        <v>1140</v>
      </c>
      <c r="C565" s="21" t="s">
        <v>121</v>
      </c>
      <c r="D565" s="13" t="s">
        <v>1232</v>
      </c>
      <c r="F565" s="21" t="s">
        <v>208</v>
      </c>
      <c r="G565" t="s">
        <v>44</v>
      </c>
      <c r="H565" s="14">
        <v>46266</v>
      </c>
      <c r="I565" s="14">
        <v>46279</v>
      </c>
      <c r="J565" s="13" t="s">
        <v>24</v>
      </c>
      <c r="L565" s="2">
        <v>14838.48</v>
      </c>
      <c r="M565" s="2">
        <v>14838.48</v>
      </c>
      <c r="N565" s="2">
        <v>3709.62</v>
      </c>
      <c r="O565" s="2">
        <v>18548.099999999999</v>
      </c>
      <c r="P565" s="3">
        <v>0.25</v>
      </c>
      <c r="Q565" s="3"/>
      <c r="R565" s="2">
        <v>0</v>
      </c>
      <c r="S565" s="3">
        <v>0</v>
      </c>
      <c r="T565" s="2">
        <v>0</v>
      </c>
      <c r="U565" s="13" t="s">
        <v>25</v>
      </c>
      <c r="V565" s="13" t="str">
        <f t="shared" si="56"/>
        <v>No</v>
      </c>
      <c r="W565" s="13" t="str">
        <f t="shared" si="56"/>
        <v>Yes</v>
      </c>
      <c r="X565" s="13" t="str">
        <f t="shared" si="56"/>
        <v>No</v>
      </c>
      <c r="Y565" s="13" t="str">
        <f t="shared" si="56"/>
        <v>No</v>
      </c>
      <c r="Z565" s="13" t="str">
        <f t="shared" si="56"/>
        <v>No</v>
      </c>
      <c r="AA565" s="71" t="e">
        <f>+(Table1[[#This Row],[Everyday price]]-Table1[[#This Row],[Promo Price]])/Table1[[#This Row],[Everyday price]]</f>
        <v>#DIV/0!</v>
      </c>
      <c r="AC565" s="69"/>
      <c r="AH565" s="6"/>
      <c r="AJ565" s="11" t="str">
        <f>IF(AND(ISNUMBER(Table1[[#This Row],[Lift  ]]),ISNUMBER(Table1[[#This Row],[Plan lift, %]]),Table1[[#This Row],[Plan lift, %]]&lt;&gt;0),Table1[[#This Row],[Lift  ]]-Table1[[#This Row],[Plan lift, %]],"")</f>
        <v/>
      </c>
      <c r="AK565" s="116"/>
    </row>
    <row r="566" spans="1:39" x14ac:dyDescent="0.35">
      <c r="A566" t="s">
        <v>842</v>
      </c>
      <c r="B566" s="82">
        <v>1142</v>
      </c>
      <c r="C566" s="21" t="s">
        <v>31</v>
      </c>
      <c r="D566" s="13" t="s">
        <v>1234</v>
      </c>
      <c r="F566" s="21" t="s">
        <v>843</v>
      </c>
      <c r="G566" t="s">
        <v>23</v>
      </c>
      <c r="H566" s="14">
        <v>46082</v>
      </c>
      <c r="I566" s="14">
        <v>46111</v>
      </c>
      <c r="J566" s="13" t="s">
        <v>24</v>
      </c>
      <c r="L566" s="2">
        <v>10778.21</v>
      </c>
      <c r="M566" s="2">
        <v>27112.81</v>
      </c>
      <c r="N566" s="2">
        <v>0</v>
      </c>
      <c r="O566" s="2">
        <v>27112.81</v>
      </c>
      <c r="P566" s="3">
        <v>0</v>
      </c>
      <c r="Q566" s="3"/>
      <c r="R566" s="2">
        <v>0</v>
      </c>
      <c r="S566" s="3">
        <v>0</v>
      </c>
      <c r="T566" s="2">
        <v>61287.98</v>
      </c>
      <c r="U566" s="13" t="s">
        <v>33</v>
      </c>
      <c r="V566" s="13" t="str">
        <f t="shared" si="56"/>
        <v>No</v>
      </c>
      <c r="W566" s="13" t="str">
        <f t="shared" si="56"/>
        <v>Yes</v>
      </c>
      <c r="X566" s="13" t="str">
        <f t="shared" si="56"/>
        <v>Yes</v>
      </c>
      <c r="Y566" s="13" t="str">
        <f t="shared" si="56"/>
        <v>No</v>
      </c>
      <c r="Z566" s="13" t="str">
        <f t="shared" si="56"/>
        <v>No</v>
      </c>
      <c r="AA566" s="71">
        <f>+(Table1[[#This Row],[Everyday price]]-Table1[[#This Row],[Promo Price]])/Table1[[#This Row],[Everyday price]]</f>
        <v>0.14736842105263154</v>
      </c>
      <c r="AB566" s="69">
        <v>2.4300000000000002</v>
      </c>
      <c r="AC566" s="69">
        <v>2.85</v>
      </c>
      <c r="AD566" s="40" t="s">
        <v>1257</v>
      </c>
      <c r="AE566" s="5">
        <v>46083</v>
      </c>
      <c r="AF566" s="5">
        <v>46110</v>
      </c>
      <c r="AG566" s="20">
        <v>44002</v>
      </c>
      <c r="AH566" s="6">
        <v>11639</v>
      </c>
      <c r="AI566" s="11">
        <f>Table1[[#This Row],[Incremental Units]]/Table1[[#This Row],[Base Units]]</f>
        <v>0.26451070405890642</v>
      </c>
      <c r="AJ566" s="11" t="str">
        <f>IF(AND(ISNUMBER(Table1[[#This Row],[Lift  ]]),ISNUMBER(Table1[[#This Row],[Plan lift, %]]),Table1[[#This Row],[Plan lift, %]]&lt;&gt;0),Table1[[#This Row],[Lift  ]]-Table1[[#This Row],[Plan lift, %]],"")</f>
        <v/>
      </c>
      <c r="AK566" s="11"/>
      <c r="AL566" s="71" t="s">
        <v>1400</v>
      </c>
    </row>
    <row r="567" spans="1:39" x14ac:dyDescent="0.35">
      <c r="A567" t="s">
        <v>30</v>
      </c>
      <c r="B567" s="82">
        <v>1143</v>
      </c>
      <c r="C567" s="21" t="s">
        <v>31</v>
      </c>
      <c r="D567" s="13" t="s">
        <v>1234</v>
      </c>
      <c r="F567" s="21" t="s">
        <v>32</v>
      </c>
      <c r="G567" t="s">
        <v>23</v>
      </c>
      <c r="H567" s="14">
        <v>46143</v>
      </c>
      <c r="I567" s="14">
        <v>46173</v>
      </c>
      <c r="J567" s="13" t="s">
        <v>24</v>
      </c>
      <c r="L567" s="2">
        <v>14717.56</v>
      </c>
      <c r="M567" s="2">
        <v>42870.239999999998</v>
      </c>
      <c r="N567" s="2">
        <v>0</v>
      </c>
      <c r="O567" s="2">
        <v>42870.239999999998</v>
      </c>
      <c r="P567" s="3">
        <v>0</v>
      </c>
      <c r="Q567" s="3"/>
      <c r="R567" s="2">
        <v>0</v>
      </c>
      <c r="S567" s="3">
        <v>0</v>
      </c>
      <c r="T567" s="2">
        <v>54653.14</v>
      </c>
      <c r="U567" s="13" t="s">
        <v>33</v>
      </c>
      <c r="V567" s="13" t="str">
        <f t="shared" si="56"/>
        <v>No</v>
      </c>
      <c r="W567" s="13" t="str">
        <f t="shared" si="56"/>
        <v>Yes</v>
      </c>
      <c r="X567" s="13" t="str">
        <f t="shared" si="56"/>
        <v>Yes</v>
      </c>
      <c r="Y567" s="13" t="str">
        <f t="shared" si="56"/>
        <v>No</v>
      </c>
      <c r="Z567" s="13" t="str">
        <f t="shared" si="56"/>
        <v>No</v>
      </c>
      <c r="AA567" s="71">
        <f>+(Table1[[#This Row],[Everyday price]]-Table1[[#This Row],[Promo Price]])/Table1[[#This Row],[Everyday price]]</f>
        <v>0.12152777777777782</v>
      </c>
      <c r="AB567" s="69">
        <v>2.5299999999999998</v>
      </c>
      <c r="AC567" s="69">
        <v>2.88</v>
      </c>
      <c r="AD567" s="40" t="s">
        <v>1257</v>
      </c>
      <c r="AE567" s="5">
        <v>46146</v>
      </c>
      <c r="AF567" s="5">
        <v>46173</v>
      </c>
      <c r="AG567" s="20">
        <v>37694</v>
      </c>
      <c r="AH567" s="6">
        <v>10180</v>
      </c>
      <c r="AI567" s="11">
        <f>Table1[[#This Row],[Incremental Units]]/Table1[[#This Row],[Base Units]]</f>
        <v>0.27006950708335542</v>
      </c>
      <c r="AJ567" s="11" t="str">
        <f>IF(AND(ISNUMBER(Table1[[#This Row],[Lift  ]]),ISNUMBER(Table1[[#This Row],[Plan lift, %]]),Table1[[#This Row],[Plan lift, %]]&lt;&gt;0),Table1[[#This Row],[Lift  ]]-Table1[[#This Row],[Plan lift, %]],"")</f>
        <v/>
      </c>
      <c r="AK567" s="11"/>
      <c r="AL567" s="71" t="s">
        <v>1400</v>
      </c>
    </row>
    <row r="568" spans="1:39" x14ac:dyDescent="0.35">
      <c r="A568" t="s">
        <v>1194</v>
      </c>
      <c r="B568" s="12">
        <v>1141</v>
      </c>
      <c r="C568" s="21" t="s">
        <v>31</v>
      </c>
      <c r="D568" s="13" t="s">
        <v>1234</v>
      </c>
      <c r="F568" s="21" t="s">
        <v>1195</v>
      </c>
      <c r="G568" t="s">
        <v>60</v>
      </c>
      <c r="H568" s="14">
        <v>46235</v>
      </c>
      <c r="I568" s="14">
        <v>46265</v>
      </c>
      <c r="J568" s="13" t="s">
        <v>24</v>
      </c>
      <c r="L568" s="2">
        <v>14697.02</v>
      </c>
      <c r="M568" s="2">
        <v>42788.07</v>
      </c>
      <c r="N568" s="2">
        <v>0</v>
      </c>
      <c r="O568" s="2">
        <v>42788.07</v>
      </c>
      <c r="P568" s="3">
        <v>0</v>
      </c>
      <c r="Q568" s="3"/>
      <c r="R568" s="2">
        <v>0</v>
      </c>
      <c r="S568" s="3">
        <v>0</v>
      </c>
      <c r="T568" s="2">
        <v>0</v>
      </c>
      <c r="U568" s="13" t="s">
        <v>33</v>
      </c>
      <c r="V568" s="13" t="str">
        <f t="shared" si="56"/>
        <v>No</v>
      </c>
      <c r="W568" s="13" t="str">
        <f t="shared" si="56"/>
        <v>Yes</v>
      </c>
      <c r="X568" s="13" t="str">
        <f t="shared" si="56"/>
        <v>Yes</v>
      </c>
      <c r="Y568" s="13" t="str">
        <f t="shared" si="56"/>
        <v>No</v>
      </c>
      <c r="Z568" s="13" t="str">
        <f t="shared" si="56"/>
        <v>No</v>
      </c>
      <c r="AA568" s="71" t="e">
        <f>+(Table1[[#This Row],[Everyday price]]-Table1[[#This Row],[Promo Price]])/Table1[[#This Row],[Everyday price]]</f>
        <v>#DIV/0!</v>
      </c>
      <c r="AC568" s="69"/>
      <c r="AH568" s="6"/>
      <c r="AI568" s="11"/>
      <c r="AJ568" s="11" t="str">
        <f>IF(AND(ISNUMBER(Table1[[#This Row],[Lift  ]]),ISNUMBER(Table1[[#This Row],[Plan lift, %]]),Table1[[#This Row],[Plan lift, %]]&lt;&gt;0),Table1[[#This Row],[Lift  ]]-Table1[[#This Row],[Plan lift, %]],"")</f>
        <v/>
      </c>
      <c r="AK568" s="11"/>
      <c r="AL568" s="71"/>
    </row>
    <row r="569" spans="1:39" x14ac:dyDescent="0.35">
      <c r="A569" t="s">
        <v>405</v>
      </c>
      <c r="B569" s="12">
        <v>1144</v>
      </c>
      <c r="C569" s="21" t="s">
        <v>31</v>
      </c>
      <c r="D569" s="13" t="s">
        <v>1234</v>
      </c>
      <c r="F569" s="21" t="s">
        <v>406</v>
      </c>
      <c r="G569" t="s">
        <v>44</v>
      </c>
      <c r="H569" s="14">
        <v>46296</v>
      </c>
      <c r="I569" s="14">
        <v>46326</v>
      </c>
      <c r="J569" s="13" t="s">
        <v>24</v>
      </c>
      <c r="L569" s="2">
        <v>14589.19</v>
      </c>
      <c r="M569" s="2">
        <v>42356.73</v>
      </c>
      <c r="N569" s="2">
        <v>0</v>
      </c>
      <c r="O569" s="2">
        <v>42356.73</v>
      </c>
      <c r="P569" s="3">
        <v>0</v>
      </c>
      <c r="Q569" s="3"/>
      <c r="R569" s="2">
        <v>0</v>
      </c>
      <c r="S569" s="3">
        <v>0</v>
      </c>
      <c r="T569" s="2">
        <v>0</v>
      </c>
      <c r="U569" s="13" t="s">
        <v>33</v>
      </c>
      <c r="V569" s="13" t="str">
        <f t="shared" si="56"/>
        <v>No</v>
      </c>
      <c r="W569" s="13" t="str">
        <f t="shared" si="56"/>
        <v>Yes</v>
      </c>
      <c r="X569" s="13" t="str">
        <f t="shared" si="56"/>
        <v>Yes</v>
      </c>
      <c r="Y569" s="13" t="str">
        <f t="shared" si="56"/>
        <v>No</v>
      </c>
      <c r="Z569" s="13" t="str">
        <f t="shared" si="56"/>
        <v>No</v>
      </c>
      <c r="AA569" s="71" t="e">
        <f>+(Table1[[#This Row],[Everyday price]]-Table1[[#This Row],[Promo Price]])/Table1[[#This Row],[Everyday price]]</f>
        <v>#DIV/0!</v>
      </c>
      <c r="AC569" s="69"/>
      <c r="AH569" s="6"/>
      <c r="AI569" s="11"/>
      <c r="AJ569" s="11" t="str">
        <f>IF(AND(ISNUMBER(Table1[[#This Row],[Lift  ]]),ISNUMBER(Table1[[#This Row],[Plan lift, %]]),Table1[[#This Row],[Plan lift, %]]&lt;&gt;0),Table1[[#This Row],[Lift  ]]-Table1[[#This Row],[Plan lift, %]],"")</f>
        <v/>
      </c>
      <c r="AK569" s="11"/>
      <c r="AL569" s="71"/>
    </row>
    <row r="570" spans="1:39" ht="43.5" x14ac:dyDescent="0.35">
      <c r="A570" t="s">
        <v>735</v>
      </c>
      <c r="B570" s="82">
        <v>1211</v>
      </c>
      <c r="C570" s="21" t="s">
        <v>265</v>
      </c>
      <c r="D570" s="13" t="s">
        <v>1230</v>
      </c>
      <c r="F570" t="s">
        <v>736</v>
      </c>
      <c r="G570" t="s">
        <v>23</v>
      </c>
      <c r="H570" s="1">
        <v>46027</v>
      </c>
      <c r="I570" s="1">
        <v>46040</v>
      </c>
      <c r="J570" s="13" t="s">
        <v>24</v>
      </c>
      <c r="L570" s="2">
        <v>7500</v>
      </c>
      <c r="M570" s="2">
        <v>56783.86</v>
      </c>
      <c r="N570" s="2">
        <v>28391.93</v>
      </c>
      <c r="O570" s="2">
        <v>85175.79</v>
      </c>
      <c r="P570" s="3">
        <v>0.5</v>
      </c>
      <c r="Q570" s="3"/>
      <c r="R570" s="2">
        <v>1543</v>
      </c>
      <c r="S570" s="3">
        <v>0.03</v>
      </c>
      <c r="T570" s="2">
        <v>49966.100000000006</v>
      </c>
      <c r="U570" t="s">
        <v>465</v>
      </c>
      <c r="V570" s="13" t="str">
        <f t="shared" si="56"/>
        <v>No</v>
      </c>
      <c r="W570" s="13" t="str">
        <f t="shared" si="56"/>
        <v>No</v>
      </c>
      <c r="X570" s="13" t="str">
        <f t="shared" si="56"/>
        <v>No</v>
      </c>
      <c r="Y570" s="13" t="str">
        <f t="shared" si="56"/>
        <v>No</v>
      </c>
      <c r="Z570" s="13" t="str">
        <f t="shared" si="56"/>
        <v>No</v>
      </c>
      <c r="AA570" s="71">
        <f>+(Table1[[#This Row],[Everyday price]]-Table1[[#This Row],[Promo Price]])/Table1[[#This Row],[Everyday price]]</f>
        <v>1.5873015873015817E-2</v>
      </c>
      <c r="AB570" s="69">
        <v>3.1</v>
      </c>
      <c r="AC570" s="69">
        <v>3.15</v>
      </c>
      <c r="AD570" s="15" t="s">
        <v>1257</v>
      </c>
      <c r="AE570" s="5">
        <v>46020</v>
      </c>
      <c r="AF570" s="5">
        <v>46033</v>
      </c>
      <c r="AG570" s="20">
        <v>42776</v>
      </c>
      <c r="AH570" s="6">
        <v>2763</v>
      </c>
      <c r="AI570" s="11">
        <f>Table1[[#This Row],[Incremental Units]]/Table1[[#This Row],[Base Units]]</f>
        <v>6.4592294744716658E-2</v>
      </c>
      <c r="AJ570" s="11">
        <f>IF(AND(ISNUMBER(Table1[[#This Row],[Lift  ]]),ISNUMBER(Table1[[#This Row],[Plan lift, %]]),Table1[[#This Row],[Plan lift, %]]&lt;&gt;0),Table1[[#This Row],[Lift  ]]-Table1[[#This Row],[Plan lift, %]],"")</f>
        <v>-0.43540770525528333</v>
      </c>
      <c r="AK570" s="11"/>
      <c r="AL570" s="71" t="s">
        <v>1400</v>
      </c>
      <c r="AM570" s="80" t="s">
        <v>1391</v>
      </c>
    </row>
    <row r="571" spans="1:39" x14ac:dyDescent="0.35">
      <c r="A571" t="s">
        <v>468</v>
      </c>
      <c r="B571" s="82">
        <v>1212</v>
      </c>
      <c r="C571" s="21" t="s">
        <v>265</v>
      </c>
      <c r="D571" s="13" t="s">
        <v>1230</v>
      </c>
      <c r="F571" t="s">
        <v>469</v>
      </c>
      <c r="G571" t="s">
        <v>23</v>
      </c>
      <c r="H571" s="1">
        <v>46083</v>
      </c>
      <c r="I571" s="1">
        <v>46110</v>
      </c>
      <c r="J571" s="13" t="s">
        <v>24</v>
      </c>
      <c r="L571" s="2">
        <v>56971.21</v>
      </c>
      <c r="M571" s="2">
        <v>71595.399999999994</v>
      </c>
      <c r="N571" s="2">
        <v>50116.78</v>
      </c>
      <c r="O571" s="2">
        <v>121712.18</v>
      </c>
      <c r="P571" s="3">
        <v>0.7</v>
      </c>
      <c r="Q571" s="3"/>
      <c r="R571" s="2">
        <v>48550.1</v>
      </c>
      <c r="S571" s="3">
        <v>0.4</v>
      </c>
      <c r="T571" s="2">
        <v>170580.30000000002</v>
      </c>
      <c r="U571" t="s">
        <v>267</v>
      </c>
      <c r="V571" s="13" t="str">
        <f t="shared" si="56"/>
        <v>No</v>
      </c>
      <c r="W571" s="13" t="str">
        <f t="shared" si="56"/>
        <v>Yes</v>
      </c>
      <c r="X571" s="13" t="str">
        <f t="shared" si="56"/>
        <v>No</v>
      </c>
      <c r="Y571" s="13" t="str">
        <f t="shared" si="56"/>
        <v>No</v>
      </c>
      <c r="Z571" s="13" t="str">
        <f t="shared" si="56"/>
        <v>No</v>
      </c>
      <c r="AA571" s="71">
        <f>+(Table1[[#This Row],[Everyday price]]-Table1[[#This Row],[Promo Price]])/Table1[[#This Row],[Everyday price]]</f>
        <v>6.3492063492063405E-2</v>
      </c>
      <c r="AB571" s="69">
        <v>2.95</v>
      </c>
      <c r="AC571" s="69">
        <v>3.15</v>
      </c>
      <c r="AD571" s="15" t="s">
        <v>1256</v>
      </c>
      <c r="AE571" s="5">
        <v>46083</v>
      </c>
      <c r="AF571" s="5">
        <v>46110</v>
      </c>
      <c r="AG571" s="20">
        <v>122031</v>
      </c>
      <c r="AH571" s="6">
        <v>48550</v>
      </c>
      <c r="AI571" s="11">
        <f>Table1[[#This Row],[Incremental Units]]/Table1[[#This Row],[Base Units]]</f>
        <v>0.3978497267087871</v>
      </c>
      <c r="AJ571" s="11">
        <f>IF(AND(ISNUMBER(Table1[[#This Row],[Lift  ]]),ISNUMBER(Table1[[#This Row],[Plan lift, %]]),Table1[[#This Row],[Plan lift, %]]&lt;&gt;0),Table1[[#This Row],[Lift  ]]-Table1[[#This Row],[Plan lift, %]],"")</f>
        <v>-0.30215027329121286</v>
      </c>
      <c r="AK571" s="11"/>
      <c r="AL571" s="71" t="s">
        <v>1400</v>
      </c>
    </row>
    <row r="572" spans="1:39" x14ac:dyDescent="0.35">
      <c r="A572" t="s">
        <v>264</v>
      </c>
      <c r="B572" s="131">
        <v>1213</v>
      </c>
      <c r="C572" s="21" t="s">
        <v>265</v>
      </c>
      <c r="D572" s="13" t="s">
        <v>1230</v>
      </c>
      <c r="F572" t="s">
        <v>266</v>
      </c>
      <c r="G572" t="s">
        <v>23</v>
      </c>
      <c r="H572" s="1">
        <v>46195</v>
      </c>
      <c r="I572" s="1">
        <v>46208</v>
      </c>
      <c r="J572" s="13" t="s">
        <v>24</v>
      </c>
      <c r="L572" s="2">
        <v>12799.66</v>
      </c>
      <c r="M572" s="2">
        <v>35331.06</v>
      </c>
      <c r="N572" s="2">
        <v>17665.53</v>
      </c>
      <c r="O572" s="2">
        <v>52996.59</v>
      </c>
      <c r="P572" s="3">
        <v>0.5</v>
      </c>
      <c r="Q572" s="3"/>
      <c r="R572" s="2">
        <v>2941.5</v>
      </c>
      <c r="S572" s="3">
        <v>7.0000000000000007E-2</v>
      </c>
      <c r="T572" s="2">
        <v>48025</v>
      </c>
      <c r="U572" t="s">
        <v>267</v>
      </c>
      <c r="V572" s="13" t="str">
        <f t="shared" ref="V572:Z581" si="57">IF(ISNUMBER(SEARCH(V$1,$U572)),"Yes","No")</f>
        <v>No</v>
      </c>
      <c r="W572" s="13" t="str">
        <f t="shared" si="57"/>
        <v>Yes</v>
      </c>
      <c r="X572" s="13" t="str">
        <f t="shared" si="57"/>
        <v>No</v>
      </c>
      <c r="Y572" s="13" t="str">
        <f t="shared" si="57"/>
        <v>No</v>
      </c>
      <c r="Z572" s="13" t="str">
        <f t="shared" si="57"/>
        <v>No</v>
      </c>
      <c r="AA572" s="71" t="e">
        <f>+(Table1[[#This Row],[Everyday price]]-Table1[[#This Row],[Promo Price]])/Table1[[#This Row],[Everyday price]]</f>
        <v>#DIV/0!</v>
      </c>
      <c r="AC572" s="69"/>
      <c r="AD572" s="13"/>
      <c r="AH572" s="6"/>
      <c r="AJ572" s="116" t="str">
        <f>IF(AND(ISNUMBER(Table1[[#This Row],[Lift  ]]),ISNUMBER(Table1[[#This Row],[Plan lift, %]]),Table1[[#This Row],[Plan lift, %]]&lt;&gt;0),Table1[[#This Row],[Lift  ]]-Table1[[#This Row],[Plan lift, %]],"")</f>
        <v/>
      </c>
      <c r="AK572" s="116"/>
    </row>
    <row r="573" spans="1:39" x14ac:dyDescent="0.35">
      <c r="A573" t="s">
        <v>904</v>
      </c>
      <c r="B573" s="12">
        <v>1214</v>
      </c>
      <c r="C573" s="21" t="s">
        <v>265</v>
      </c>
      <c r="D573" s="13" t="s">
        <v>1230</v>
      </c>
      <c r="F573" t="s">
        <v>905</v>
      </c>
      <c r="G573" t="s">
        <v>44</v>
      </c>
      <c r="H573" s="1">
        <v>46321</v>
      </c>
      <c r="I573" s="1">
        <v>46334</v>
      </c>
      <c r="J573" s="13" t="s">
        <v>24</v>
      </c>
      <c r="L573" s="2">
        <v>7500</v>
      </c>
      <c r="M573" s="2">
        <v>39122.57</v>
      </c>
      <c r="N573" s="2">
        <v>19561.28</v>
      </c>
      <c r="O573" s="2">
        <v>58683.85</v>
      </c>
      <c r="P573" s="3">
        <v>0.5</v>
      </c>
      <c r="Q573" s="3"/>
      <c r="R573" s="2">
        <v>0</v>
      </c>
      <c r="S573" s="3">
        <v>0</v>
      </c>
      <c r="T573" s="2">
        <v>0</v>
      </c>
      <c r="U573" t="s">
        <v>465</v>
      </c>
      <c r="V573" s="13" t="str">
        <f t="shared" si="57"/>
        <v>No</v>
      </c>
      <c r="W573" s="13" t="str">
        <f t="shared" si="57"/>
        <v>No</v>
      </c>
      <c r="X573" s="13" t="str">
        <f t="shared" si="57"/>
        <v>No</v>
      </c>
      <c r="Y573" s="13" t="str">
        <f t="shared" si="57"/>
        <v>No</v>
      </c>
      <c r="Z573" s="13" t="str">
        <f t="shared" si="57"/>
        <v>No</v>
      </c>
      <c r="AA573" s="71" t="e">
        <f>+(Table1[[#This Row],[Everyday price]]-Table1[[#This Row],[Promo Price]])/Table1[[#This Row],[Everyday price]]</f>
        <v>#DIV/0!</v>
      </c>
      <c r="AC573" s="69"/>
      <c r="AD573" s="13"/>
      <c r="AH573" s="6"/>
      <c r="AJ573" s="116" t="str">
        <f>IF(AND(ISNUMBER(Table1[[#This Row],[Lift  ]]),ISNUMBER(Table1[[#This Row],[Plan lift, %]]),Table1[[#This Row],[Plan lift, %]]&lt;&gt;0),Table1[[#This Row],[Lift  ]]-Table1[[#This Row],[Plan lift, %]],"")</f>
        <v/>
      </c>
      <c r="AK573" s="116"/>
    </row>
    <row r="574" spans="1:39" x14ac:dyDescent="0.35">
      <c r="A574" t="s">
        <v>819</v>
      </c>
      <c r="B574" s="12">
        <v>1215</v>
      </c>
      <c r="C574" s="21" t="s">
        <v>265</v>
      </c>
      <c r="D574" s="13" t="s">
        <v>1230</v>
      </c>
      <c r="F574" t="s">
        <v>820</v>
      </c>
      <c r="G574" t="s">
        <v>44</v>
      </c>
      <c r="H574" s="1">
        <v>46349</v>
      </c>
      <c r="I574" s="1">
        <v>46362</v>
      </c>
      <c r="J574" s="13" t="s">
        <v>24</v>
      </c>
      <c r="L574" s="2">
        <v>7500</v>
      </c>
      <c r="M574" s="2">
        <v>37314.31</v>
      </c>
      <c r="N574" s="2">
        <v>18657.16</v>
      </c>
      <c r="O574" s="2">
        <v>55971.47</v>
      </c>
      <c r="P574" s="3">
        <v>0.5</v>
      </c>
      <c r="Q574" s="3"/>
      <c r="R574" s="2">
        <v>0</v>
      </c>
      <c r="S574" s="3">
        <v>0</v>
      </c>
      <c r="T574" s="2">
        <v>0</v>
      </c>
      <c r="U574" t="s">
        <v>465</v>
      </c>
      <c r="V574" s="13" t="str">
        <f t="shared" si="57"/>
        <v>No</v>
      </c>
      <c r="W574" s="13" t="str">
        <f t="shared" si="57"/>
        <v>No</v>
      </c>
      <c r="X574" s="13" t="str">
        <f t="shared" si="57"/>
        <v>No</v>
      </c>
      <c r="Y574" s="13" t="str">
        <f t="shared" si="57"/>
        <v>No</v>
      </c>
      <c r="Z574" s="13" t="str">
        <f t="shared" si="57"/>
        <v>No</v>
      </c>
      <c r="AA574" s="71" t="e">
        <f>+(Table1[[#This Row],[Everyday price]]-Table1[[#This Row],[Promo Price]])/Table1[[#This Row],[Everyday price]]</f>
        <v>#DIV/0!</v>
      </c>
      <c r="AC574" s="69"/>
      <c r="AD574" s="13"/>
      <c r="AH574" s="6"/>
      <c r="AJ574" s="116" t="str">
        <f>IF(AND(ISNUMBER(Table1[[#This Row],[Lift  ]]),ISNUMBER(Table1[[#This Row],[Plan lift, %]]),Table1[[#This Row],[Plan lift, %]]&lt;&gt;0),Table1[[#This Row],[Lift  ]]-Table1[[#This Row],[Plan lift, %]],"")</f>
        <v/>
      </c>
      <c r="AK574" s="116"/>
    </row>
    <row r="575" spans="1:39" x14ac:dyDescent="0.35">
      <c r="A575" t="s">
        <v>506</v>
      </c>
      <c r="B575" s="12" t="s">
        <v>1734</v>
      </c>
      <c r="C575" s="21" t="s">
        <v>269</v>
      </c>
      <c r="D575" s="13" t="s">
        <v>1232</v>
      </c>
      <c r="F575" s="21" t="s">
        <v>507</v>
      </c>
      <c r="G575" t="s">
        <v>23</v>
      </c>
      <c r="H575" s="14">
        <v>46054</v>
      </c>
      <c r="I575" s="14">
        <v>46081</v>
      </c>
      <c r="J575" s="13" t="s">
        <v>24</v>
      </c>
      <c r="L575" s="2">
        <v>22332.240000000002</v>
      </c>
      <c r="M575" s="2">
        <v>35448</v>
      </c>
      <c r="N575" s="2">
        <v>14179.2</v>
      </c>
      <c r="O575" s="2">
        <v>49627.199999999997</v>
      </c>
      <c r="P575" s="3">
        <v>0.4</v>
      </c>
      <c r="Q575" s="3"/>
      <c r="R575" s="2">
        <v>1644.67</v>
      </c>
      <c r="S575" s="3">
        <v>0.03</v>
      </c>
      <c r="T575" s="2">
        <v>56966.43</v>
      </c>
      <c r="U575" s="13" t="s">
        <v>25</v>
      </c>
      <c r="V575" s="13" t="str">
        <f t="shared" si="57"/>
        <v>No</v>
      </c>
      <c r="W575" s="13" t="str">
        <f t="shared" si="57"/>
        <v>Yes</v>
      </c>
      <c r="X575" s="13" t="str">
        <f t="shared" si="57"/>
        <v>No</v>
      </c>
      <c r="Y575" s="13" t="str">
        <f t="shared" si="57"/>
        <v>No</v>
      </c>
      <c r="Z575" s="13" t="str">
        <f t="shared" si="57"/>
        <v>No</v>
      </c>
      <c r="AA575" s="71" t="e">
        <f>+(Table1[[#This Row],[Everyday price]]-Table1[[#This Row],[Promo Price]])/Table1[[#This Row],[Everyday price]]</f>
        <v>#DIV/0!</v>
      </c>
      <c r="AC575" s="69"/>
      <c r="AH575" s="6"/>
      <c r="AJ575" s="116" t="str">
        <f>IF(AND(ISNUMBER(Table1[[#This Row],[Lift  ]]),ISNUMBER(Table1[[#This Row],[Plan lift, %]]),Table1[[#This Row],[Plan lift, %]]&lt;&gt;0),Table1[[#This Row],[Lift  ]]-Table1[[#This Row],[Plan lift, %]],"")</f>
        <v/>
      </c>
      <c r="AK575" s="116"/>
    </row>
    <row r="576" spans="1:39" x14ac:dyDescent="0.35">
      <c r="A576" t="s">
        <v>506</v>
      </c>
      <c r="B576" s="12" t="s">
        <v>1735</v>
      </c>
      <c r="C576" s="21" t="s">
        <v>269</v>
      </c>
      <c r="D576" s="13" t="s">
        <v>1232</v>
      </c>
      <c r="F576" s="21" t="s">
        <v>507</v>
      </c>
      <c r="G576" t="s">
        <v>23</v>
      </c>
      <c r="H576" s="14">
        <v>46054</v>
      </c>
      <c r="I576" s="14">
        <v>46081</v>
      </c>
      <c r="J576" s="13" t="s">
        <v>151</v>
      </c>
      <c r="L576" s="2">
        <v>0</v>
      </c>
      <c r="M576" s="2">
        <v>4256.3999999999996</v>
      </c>
      <c r="N576" s="2">
        <v>1702.56</v>
      </c>
      <c r="O576" s="2">
        <v>5958.96</v>
      </c>
      <c r="P576" s="3">
        <v>0.4</v>
      </c>
      <c r="Q576" s="3"/>
      <c r="R576" s="2">
        <v>421.61</v>
      </c>
      <c r="S576" s="3">
        <v>0.08</v>
      </c>
      <c r="T576" s="2">
        <v>5541.4299999999994</v>
      </c>
      <c r="U576" s="13" t="s">
        <v>25</v>
      </c>
      <c r="V576" s="13" t="str">
        <f t="shared" si="57"/>
        <v>No</v>
      </c>
      <c r="W576" s="13" t="str">
        <f t="shared" si="57"/>
        <v>Yes</v>
      </c>
      <c r="X576" s="13" t="str">
        <f t="shared" si="57"/>
        <v>No</v>
      </c>
      <c r="Y576" s="13" t="str">
        <f t="shared" si="57"/>
        <v>No</v>
      </c>
      <c r="Z576" s="13" t="str">
        <f t="shared" si="57"/>
        <v>No</v>
      </c>
      <c r="AA576" s="71" t="e">
        <f>+(Table1[[#This Row],[Everyday price]]-Table1[[#This Row],[Promo Price]])/Table1[[#This Row],[Everyday price]]</f>
        <v>#DIV/0!</v>
      </c>
      <c r="AC576" s="69"/>
      <c r="AH576" s="6"/>
      <c r="AJ576" s="116" t="str">
        <f>IF(AND(ISNUMBER(Table1[[#This Row],[Lift  ]]),ISNUMBER(Table1[[#This Row],[Plan lift, %]]),Table1[[#This Row],[Plan lift, %]]&lt;&gt;0),Table1[[#This Row],[Lift  ]]-Table1[[#This Row],[Plan lift, %]],"")</f>
        <v/>
      </c>
      <c r="AK576" s="116"/>
    </row>
    <row r="577" spans="1:38" x14ac:dyDescent="0.35">
      <c r="A577" t="s">
        <v>268</v>
      </c>
      <c r="B577" s="12" t="s">
        <v>1736</v>
      </c>
      <c r="C577" s="21" t="s">
        <v>269</v>
      </c>
      <c r="D577" s="13" t="s">
        <v>1232</v>
      </c>
      <c r="F577" s="21" t="s">
        <v>270</v>
      </c>
      <c r="G577" t="s">
        <v>23</v>
      </c>
      <c r="H577" s="14">
        <v>46082</v>
      </c>
      <c r="I577" s="14">
        <v>46111</v>
      </c>
      <c r="J577" s="13" t="s">
        <v>24</v>
      </c>
      <c r="L577" s="2">
        <v>24738.799999999999</v>
      </c>
      <c r="M577" s="2">
        <v>42288.57</v>
      </c>
      <c r="N577" s="2">
        <v>12686.57</v>
      </c>
      <c r="O577" s="2">
        <v>54975.14</v>
      </c>
      <c r="P577" s="3">
        <v>0.3</v>
      </c>
      <c r="Q577" s="3"/>
      <c r="R577" s="2">
        <v>197.19</v>
      </c>
      <c r="S577" s="3">
        <v>0</v>
      </c>
      <c r="T577" s="2">
        <v>56216.420000000006</v>
      </c>
      <c r="U577" s="13" t="s">
        <v>25</v>
      </c>
      <c r="V577" s="13" t="str">
        <f t="shared" si="57"/>
        <v>No</v>
      </c>
      <c r="W577" s="13" t="str">
        <f t="shared" si="57"/>
        <v>Yes</v>
      </c>
      <c r="X577" s="13" t="str">
        <f t="shared" si="57"/>
        <v>No</v>
      </c>
      <c r="Y577" s="13" t="str">
        <f t="shared" si="57"/>
        <v>No</v>
      </c>
      <c r="Z577" s="13" t="str">
        <f t="shared" si="57"/>
        <v>No</v>
      </c>
      <c r="AA577" s="71" t="e">
        <f>+(Table1[[#This Row],[Everyday price]]-Table1[[#This Row],[Promo Price]])/Table1[[#This Row],[Everyday price]]</f>
        <v>#DIV/0!</v>
      </c>
      <c r="AC577" s="69"/>
      <c r="AH577" s="6"/>
      <c r="AJ577" s="116" t="str">
        <f>IF(AND(ISNUMBER(Table1[[#This Row],[Lift  ]]),ISNUMBER(Table1[[#This Row],[Plan lift, %]]),Table1[[#This Row],[Plan lift, %]]&lt;&gt;0),Table1[[#This Row],[Lift  ]]-Table1[[#This Row],[Plan lift, %]],"")</f>
        <v/>
      </c>
      <c r="AK577" s="116"/>
    </row>
    <row r="578" spans="1:38" x14ac:dyDescent="0.35">
      <c r="A578" t="s">
        <v>268</v>
      </c>
      <c r="B578" s="12" t="s">
        <v>1737</v>
      </c>
      <c r="C578" s="21" t="s">
        <v>269</v>
      </c>
      <c r="D578" s="13" t="s">
        <v>1232</v>
      </c>
      <c r="F578" s="21" t="s">
        <v>270</v>
      </c>
      <c r="G578" t="s">
        <v>23</v>
      </c>
      <c r="H578" s="14">
        <v>46082</v>
      </c>
      <c r="I578" s="14">
        <v>46111</v>
      </c>
      <c r="J578" s="13" t="s">
        <v>151</v>
      </c>
      <c r="L578" s="2">
        <v>0</v>
      </c>
      <c r="M578" s="2">
        <v>4580.2700000000004</v>
      </c>
      <c r="N578" s="2">
        <v>1374.08</v>
      </c>
      <c r="O578" s="2">
        <v>5954.35</v>
      </c>
      <c r="P578" s="3">
        <v>0.3</v>
      </c>
      <c r="Q578" s="3"/>
      <c r="R578" s="2">
        <v>15.12</v>
      </c>
      <c r="S578" s="3">
        <v>0</v>
      </c>
      <c r="T578" s="2">
        <v>6016.58</v>
      </c>
      <c r="U578" s="13" t="s">
        <v>25</v>
      </c>
      <c r="V578" s="13" t="str">
        <f t="shared" si="57"/>
        <v>No</v>
      </c>
      <c r="W578" s="13" t="str">
        <f t="shared" si="57"/>
        <v>Yes</v>
      </c>
      <c r="X578" s="13" t="str">
        <f t="shared" si="57"/>
        <v>No</v>
      </c>
      <c r="Y578" s="13" t="str">
        <f t="shared" si="57"/>
        <v>No</v>
      </c>
      <c r="Z578" s="13" t="str">
        <f t="shared" si="57"/>
        <v>No</v>
      </c>
      <c r="AA578" s="71" t="e">
        <f>+(Table1[[#This Row],[Everyday price]]-Table1[[#This Row],[Promo Price]])/Table1[[#This Row],[Everyday price]]</f>
        <v>#DIV/0!</v>
      </c>
      <c r="AC578" s="69"/>
      <c r="AH578" s="6"/>
      <c r="AJ578" s="116" t="str">
        <f>IF(AND(ISNUMBER(Table1[[#This Row],[Lift  ]]),ISNUMBER(Table1[[#This Row],[Plan lift, %]]),Table1[[#This Row],[Plan lift, %]]&lt;&gt;0),Table1[[#This Row],[Lift  ]]-Table1[[#This Row],[Plan lift, %]],"")</f>
        <v/>
      </c>
      <c r="AK578" s="116"/>
    </row>
    <row r="579" spans="1:38" x14ac:dyDescent="0.35">
      <c r="A579" t="s">
        <v>995</v>
      </c>
      <c r="B579" s="12">
        <v>1216</v>
      </c>
      <c r="C579" s="21" t="s">
        <v>811</v>
      </c>
      <c r="D579" s="13" t="s">
        <v>1232</v>
      </c>
      <c r="F579" s="21" t="s">
        <v>996</v>
      </c>
      <c r="G579" t="s">
        <v>60</v>
      </c>
      <c r="H579" s="14">
        <v>46162</v>
      </c>
      <c r="I579" s="14">
        <v>46265</v>
      </c>
      <c r="J579" s="13" t="s">
        <v>24</v>
      </c>
      <c r="L579" s="2">
        <v>5549.8</v>
      </c>
      <c r="M579" s="2">
        <v>7577.13</v>
      </c>
      <c r="N579" s="2">
        <v>1136.58</v>
      </c>
      <c r="O579" s="2">
        <v>8713.7099999999991</v>
      </c>
      <c r="P579" s="3">
        <v>0.15</v>
      </c>
      <c r="Q579" s="3"/>
      <c r="R579" s="2">
        <v>0</v>
      </c>
      <c r="S579" s="3">
        <v>0</v>
      </c>
      <c r="T579" s="2">
        <v>2938.51</v>
      </c>
      <c r="U579" s="13" t="s">
        <v>33</v>
      </c>
      <c r="V579" s="13" t="str">
        <f t="shared" si="57"/>
        <v>No</v>
      </c>
      <c r="W579" s="13" t="str">
        <f t="shared" si="57"/>
        <v>Yes</v>
      </c>
      <c r="X579" s="13" t="str">
        <f t="shared" si="57"/>
        <v>Yes</v>
      </c>
      <c r="Y579" s="13" t="str">
        <f t="shared" si="57"/>
        <v>No</v>
      </c>
      <c r="Z579" s="13" t="str">
        <f t="shared" si="57"/>
        <v>No</v>
      </c>
      <c r="AA579" s="71" t="e">
        <f>+(Table1[[#This Row],[Everyday price]]-Table1[[#This Row],[Promo Price]])/Table1[[#This Row],[Everyday price]]</f>
        <v>#DIV/0!</v>
      </c>
      <c r="AC579" s="69"/>
      <c r="AH579" s="6"/>
      <c r="AJ579" s="116" t="str">
        <f>IF(AND(ISNUMBER(Table1[[#This Row],[Lift  ]]),ISNUMBER(Table1[[#This Row],[Plan lift, %]]),Table1[[#This Row],[Plan lift, %]]&lt;&gt;0),Table1[[#This Row],[Lift  ]]-Table1[[#This Row],[Plan lift, %]],"")</f>
        <v/>
      </c>
      <c r="AK579" s="116"/>
    </row>
    <row r="580" spans="1:38" x14ac:dyDescent="0.35">
      <c r="A580" t="s">
        <v>810</v>
      </c>
      <c r="B580" s="12">
        <v>1217</v>
      </c>
      <c r="C580" s="21" t="s">
        <v>811</v>
      </c>
      <c r="D580" s="13" t="s">
        <v>1232</v>
      </c>
      <c r="F580" s="21" t="s">
        <v>812</v>
      </c>
      <c r="G580" t="s">
        <v>44</v>
      </c>
      <c r="H580" s="14">
        <v>46266</v>
      </c>
      <c r="I580" s="14">
        <v>46326</v>
      </c>
      <c r="J580" s="13" t="s">
        <v>24</v>
      </c>
      <c r="L580" s="2">
        <v>1652.73</v>
      </c>
      <c r="M580" s="2">
        <v>4444.29</v>
      </c>
      <c r="N580" s="2">
        <v>666.63</v>
      </c>
      <c r="O580" s="2">
        <v>5110.92</v>
      </c>
      <c r="P580" s="3">
        <v>0.15</v>
      </c>
      <c r="Q580" s="3"/>
      <c r="R580" s="2">
        <v>0</v>
      </c>
      <c r="S580" s="3">
        <v>0</v>
      </c>
      <c r="T580" s="2">
        <v>0</v>
      </c>
      <c r="U580" s="13" t="s">
        <v>33</v>
      </c>
      <c r="V580" s="13" t="str">
        <f t="shared" si="57"/>
        <v>No</v>
      </c>
      <c r="W580" s="13" t="str">
        <f t="shared" si="57"/>
        <v>Yes</v>
      </c>
      <c r="X580" s="13" t="str">
        <f t="shared" si="57"/>
        <v>Yes</v>
      </c>
      <c r="Y580" s="13" t="str">
        <f t="shared" si="57"/>
        <v>No</v>
      </c>
      <c r="Z580" s="13" t="str">
        <f t="shared" si="57"/>
        <v>No</v>
      </c>
      <c r="AA580" s="71" t="e">
        <f>+(Table1[[#This Row],[Everyday price]]-Table1[[#This Row],[Promo Price]])/Table1[[#This Row],[Everyday price]]</f>
        <v>#DIV/0!</v>
      </c>
      <c r="AC580" s="69"/>
      <c r="AH580" s="6"/>
      <c r="AJ580" s="116" t="str">
        <f>IF(AND(ISNUMBER(Table1[[#This Row],[Lift  ]]),ISNUMBER(Table1[[#This Row],[Plan lift, %]]),Table1[[#This Row],[Plan lift, %]]&lt;&gt;0),Table1[[#This Row],[Lift  ]]-Table1[[#This Row],[Plan lift, %]],"")</f>
        <v/>
      </c>
      <c r="AK580" s="116"/>
    </row>
    <row r="581" spans="1:38" x14ac:dyDescent="0.35">
      <c r="A581" t="s">
        <v>320</v>
      </c>
      <c r="B581" s="82">
        <v>1150</v>
      </c>
      <c r="C581" s="21" t="s">
        <v>86</v>
      </c>
      <c r="D581" s="13" t="s">
        <v>1232</v>
      </c>
      <c r="F581" s="21" t="s">
        <v>321</v>
      </c>
      <c r="G581" t="s">
        <v>23</v>
      </c>
      <c r="H581" s="14">
        <v>46023</v>
      </c>
      <c r="I581" s="14">
        <v>46053</v>
      </c>
      <c r="J581" s="13" t="s">
        <v>24</v>
      </c>
      <c r="L581" s="2">
        <v>1077.22</v>
      </c>
      <c r="M581" s="2">
        <v>4321.46</v>
      </c>
      <c r="N581" s="2">
        <v>1296.44</v>
      </c>
      <c r="O581" s="2">
        <v>5617.9</v>
      </c>
      <c r="P581" s="3">
        <v>0.3</v>
      </c>
      <c r="Q581" s="3"/>
      <c r="R581" s="2">
        <v>808.39</v>
      </c>
      <c r="S581" s="3">
        <v>0.3</v>
      </c>
      <c r="T581" s="2">
        <v>3536.4199999999996</v>
      </c>
      <c r="U581" s="13" t="s">
        <v>25</v>
      </c>
      <c r="V581" s="13" t="str">
        <f t="shared" si="57"/>
        <v>No</v>
      </c>
      <c r="W581" s="13" t="str">
        <f t="shared" si="57"/>
        <v>Yes</v>
      </c>
      <c r="X581" s="13" t="str">
        <f t="shared" si="57"/>
        <v>No</v>
      </c>
      <c r="Y581" s="13" t="str">
        <f t="shared" si="57"/>
        <v>No</v>
      </c>
      <c r="Z581" s="13" t="str">
        <f t="shared" si="57"/>
        <v>No</v>
      </c>
      <c r="AA581" s="71">
        <f>+(Table1[[#This Row],[Everyday price]]-Table1[[#This Row],[Promo Price]])/Table1[[#This Row],[Everyday price]]</f>
        <v>7.0631970260223026E-2</v>
      </c>
      <c r="AB581" s="69">
        <v>2.5</v>
      </c>
      <c r="AC581" s="69">
        <v>2.69</v>
      </c>
      <c r="AD581" s="41" t="s">
        <v>1257</v>
      </c>
      <c r="AE581" s="5">
        <v>46027</v>
      </c>
      <c r="AF581" s="5">
        <v>46047</v>
      </c>
      <c r="AG581" s="20">
        <v>1935</v>
      </c>
      <c r="AH581" s="6">
        <v>722</v>
      </c>
      <c r="AI581" s="11">
        <f>Table1[[#This Row],[Incremental Units]]/Table1[[#This Row],[Base Units]]</f>
        <v>0.37312661498708011</v>
      </c>
      <c r="AJ581" s="11">
        <f>IF(AND(ISNUMBER(Table1[[#This Row],[Lift  ]]),ISNUMBER(Table1[[#This Row],[Plan lift, %]]),Table1[[#This Row],[Plan lift, %]]&lt;&gt;0),Table1[[#This Row],[Lift  ]]-Table1[[#This Row],[Plan lift, %]],"")</f>
        <v>7.3126614987080119E-2</v>
      </c>
      <c r="AK581" s="116"/>
      <c r="AL581" s="13" t="s">
        <v>1400</v>
      </c>
    </row>
    <row r="582" spans="1:38" x14ac:dyDescent="0.35">
      <c r="A582" t="s">
        <v>331</v>
      </c>
      <c r="B582" s="131">
        <v>1149</v>
      </c>
      <c r="C582" s="21" t="s">
        <v>86</v>
      </c>
      <c r="D582" s="13" t="s">
        <v>1232</v>
      </c>
      <c r="F582" s="21" t="s">
        <v>332</v>
      </c>
      <c r="G582" t="s">
        <v>23</v>
      </c>
      <c r="H582" s="14">
        <v>46054</v>
      </c>
      <c r="I582" s="14">
        <v>46081</v>
      </c>
      <c r="J582" s="13" t="s">
        <v>29</v>
      </c>
      <c r="L582" s="2">
        <v>3087.13</v>
      </c>
      <c r="M582" s="2">
        <v>2058.09</v>
      </c>
      <c r="N582" s="2">
        <v>514.52</v>
      </c>
      <c r="O582" s="2">
        <v>2572.61</v>
      </c>
      <c r="P582" s="3">
        <v>0.25</v>
      </c>
      <c r="Q582" s="3"/>
      <c r="R582" s="2">
        <v>0.84</v>
      </c>
      <c r="S582" s="3">
        <v>0</v>
      </c>
      <c r="T582" s="2">
        <v>3724.85</v>
      </c>
      <c r="U582" s="13" t="s">
        <v>25</v>
      </c>
      <c r="V582" s="13" t="str">
        <f t="shared" ref="V582:Z591" si="58">IF(ISNUMBER(SEARCH(V$1,$U582)),"Yes","No")</f>
        <v>No</v>
      </c>
      <c r="W582" s="13" t="str">
        <f t="shared" si="58"/>
        <v>Yes</v>
      </c>
      <c r="X582" s="13" t="str">
        <f t="shared" si="58"/>
        <v>No</v>
      </c>
      <c r="Y582" s="13" t="str">
        <f t="shared" si="58"/>
        <v>No</v>
      </c>
      <c r="Z582" s="13" t="str">
        <f t="shared" si="58"/>
        <v>No</v>
      </c>
      <c r="AA582" s="71" t="e">
        <f>+(Table1[[#This Row],[Everyday price]]-Table1[[#This Row],[Promo Price]])/Table1[[#This Row],[Everyday price]]</f>
        <v>#DIV/0!</v>
      </c>
      <c r="AC582" s="69"/>
      <c r="AH582" s="6"/>
      <c r="AJ582" s="116" t="str">
        <f>IF(AND(ISNUMBER(Table1[[#This Row],[Lift  ]]),ISNUMBER(Table1[[#This Row],[Plan lift, %]]),Table1[[#This Row],[Plan lift, %]]&lt;&gt;0),Table1[[#This Row],[Lift  ]]-Table1[[#This Row],[Plan lift, %]],"")</f>
        <v/>
      </c>
      <c r="AK582" s="116"/>
    </row>
    <row r="583" spans="1:38" x14ac:dyDescent="0.35">
      <c r="A583" t="s">
        <v>790</v>
      </c>
      <c r="B583" s="131">
        <v>1147</v>
      </c>
      <c r="C583" s="21" t="s">
        <v>86</v>
      </c>
      <c r="D583" s="13" t="s">
        <v>1232</v>
      </c>
      <c r="F583" s="21" t="s">
        <v>791</v>
      </c>
      <c r="G583" t="s">
        <v>23</v>
      </c>
      <c r="H583" s="14">
        <v>46113</v>
      </c>
      <c r="I583" s="14">
        <v>46142</v>
      </c>
      <c r="J583" s="13" t="s">
        <v>24</v>
      </c>
      <c r="L583" s="2">
        <v>519.16</v>
      </c>
      <c r="M583" s="2">
        <v>4512.46</v>
      </c>
      <c r="N583" s="2">
        <v>902.49</v>
      </c>
      <c r="O583" s="2">
        <v>5414.95</v>
      </c>
      <c r="P583" s="3">
        <v>0.2</v>
      </c>
      <c r="Q583" s="3"/>
      <c r="R583" s="2">
        <v>1.07</v>
      </c>
      <c r="S583" s="3">
        <v>0</v>
      </c>
      <c r="T583" s="2">
        <v>2823.14</v>
      </c>
      <c r="U583" s="13" t="s">
        <v>25</v>
      </c>
      <c r="V583" s="13" t="str">
        <f t="shared" si="58"/>
        <v>No</v>
      </c>
      <c r="W583" s="13" t="str">
        <f t="shared" si="58"/>
        <v>Yes</v>
      </c>
      <c r="X583" s="13" t="str">
        <f t="shared" si="58"/>
        <v>No</v>
      </c>
      <c r="Y583" s="13" t="str">
        <f t="shared" si="58"/>
        <v>No</v>
      </c>
      <c r="Z583" s="13" t="str">
        <f t="shared" si="58"/>
        <v>No</v>
      </c>
      <c r="AA583" s="71" t="e">
        <f>+(Table1[[#This Row],[Everyday price]]-Table1[[#This Row],[Promo Price]])/Table1[[#This Row],[Everyday price]]</f>
        <v>#DIV/0!</v>
      </c>
      <c r="AC583" s="69"/>
      <c r="AH583" s="6"/>
      <c r="AJ583" s="116" t="str">
        <f>IF(AND(ISNUMBER(Table1[[#This Row],[Lift  ]]),ISNUMBER(Table1[[#This Row],[Plan lift, %]]),Table1[[#This Row],[Plan lift, %]]&lt;&gt;0),Table1[[#This Row],[Lift  ]]-Table1[[#This Row],[Plan lift, %]],"")</f>
        <v/>
      </c>
      <c r="AK583" s="116"/>
    </row>
    <row r="584" spans="1:38" x14ac:dyDescent="0.35">
      <c r="A584" t="s">
        <v>1032</v>
      </c>
      <c r="B584" s="82">
        <v>1152</v>
      </c>
      <c r="C584" s="21" t="s">
        <v>86</v>
      </c>
      <c r="D584" s="13" t="s">
        <v>1232</v>
      </c>
      <c r="F584" s="21" t="s">
        <v>1033</v>
      </c>
      <c r="G584" t="s">
        <v>23</v>
      </c>
      <c r="H584" s="14">
        <v>46143</v>
      </c>
      <c r="I584" s="14">
        <v>46172</v>
      </c>
      <c r="J584" s="13" t="s">
        <v>29</v>
      </c>
      <c r="L584" s="2">
        <v>1818.22</v>
      </c>
      <c r="M584" s="2">
        <v>2424.29</v>
      </c>
      <c r="N584" s="2">
        <v>606.08000000000004</v>
      </c>
      <c r="O584" s="2">
        <v>3030.37</v>
      </c>
      <c r="P584" s="3">
        <v>0.25</v>
      </c>
      <c r="Q584" s="3"/>
      <c r="R584" s="2">
        <v>2.0299999999999998</v>
      </c>
      <c r="S584" s="3">
        <v>0</v>
      </c>
      <c r="T584" s="2">
        <v>3842.4399999999996</v>
      </c>
      <c r="U584" s="13" t="s">
        <v>25</v>
      </c>
      <c r="V584" s="13" t="str">
        <f t="shared" si="58"/>
        <v>No</v>
      </c>
      <c r="W584" s="13" t="str">
        <f t="shared" si="58"/>
        <v>Yes</v>
      </c>
      <c r="X584" s="13" t="str">
        <f t="shared" si="58"/>
        <v>No</v>
      </c>
      <c r="Y584" s="13" t="str">
        <f t="shared" si="58"/>
        <v>No</v>
      </c>
      <c r="Z584" s="13" t="str">
        <f t="shared" si="58"/>
        <v>No</v>
      </c>
      <c r="AA584" s="71">
        <f>+(Table1[[#This Row],[Everyday price]]-Table1[[#This Row],[Promo Price]])/Table1[[#This Row],[Everyday price]]</f>
        <v>9.2092092092092084E-2</v>
      </c>
      <c r="AB584" s="69">
        <v>9.07</v>
      </c>
      <c r="AC584" s="69">
        <v>9.99</v>
      </c>
      <c r="AD584" s="41" t="s">
        <v>1257</v>
      </c>
      <c r="AE584" s="5">
        <v>46111</v>
      </c>
      <c r="AF584" s="5">
        <v>46138</v>
      </c>
      <c r="AG584" s="20">
        <v>3509</v>
      </c>
      <c r="AH584" s="6">
        <v>1198</v>
      </c>
      <c r="AI584" s="11">
        <f>Table1[[#This Row],[Incremental Units]]/Table1[[#This Row],[Base Units]]</f>
        <v>0.34140780849244801</v>
      </c>
      <c r="AJ584" s="11">
        <f>IF(AND(ISNUMBER(Table1[[#This Row],[Lift  ]]),ISNUMBER(Table1[[#This Row],[Plan lift, %]]),Table1[[#This Row],[Plan lift, %]]&lt;&gt;0),Table1[[#This Row],[Lift  ]]-Table1[[#This Row],[Plan lift, %]],"")</f>
        <v>9.1407808492448006E-2</v>
      </c>
      <c r="AK584" s="116"/>
      <c r="AL584" s="15" t="s">
        <v>1434</v>
      </c>
    </row>
    <row r="585" spans="1:38" x14ac:dyDescent="0.35">
      <c r="A585" t="s">
        <v>458</v>
      </c>
      <c r="B585" s="12">
        <v>1151</v>
      </c>
      <c r="C585" s="21" t="s">
        <v>86</v>
      </c>
      <c r="D585" s="13" t="s">
        <v>1232</v>
      </c>
      <c r="F585" s="21" t="s">
        <v>459</v>
      </c>
      <c r="G585" t="s">
        <v>23</v>
      </c>
      <c r="H585" s="14">
        <v>46204</v>
      </c>
      <c r="I585" s="14">
        <v>46234</v>
      </c>
      <c r="J585" s="13" t="s">
        <v>24</v>
      </c>
      <c r="L585" s="2">
        <v>1191.76</v>
      </c>
      <c r="M585" s="2">
        <v>4780.97</v>
      </c>
      <c r="N585" s="2">
        <v>1434.29</v>
      </c>
      <c r="O585" s="2">
        <v>6215.26</v>
      </c>
      <c r="P585" s="3">
        <v>0.3</v>
      </c>
      <c r="Q585" s="3"/>
      <c r="R585" s="2">
        <v>-0.01</v>
      </c>
      <c r="S585" s="3">
        <v>0</v>
      </c>
      <c r="T585" s="2">
        <v>756.57</v>
      </c>
      <c r="U585" s="13" t="s">
        <v>25</v>
      </c>
      <c r="V585" s="13" t="str">
        <f t="shared" si="58"/>
        <v>No</v>
      </c>
      <c r="W585" s="13" t="str">
        <f t="shared" si="58"/>
        <v>Yes</v>
      </c>
      <c r="X585" s="13" t="str">
        <f t="shared" si="58"/>
        <v>No</v>
      </c>
      <c r="Y585" s="13" t="str">
        <f t="shared" si="58"/>
        <v>No</v>
      </c>
      <c r="Z585" s="13" t="str">
        <f t="shared" si="58"/>
        <v>No</v>
      </c>
      <c r="AA585" s="71" t="e">
        <f>+(Table1[[#This Row],[Everyday price]]-Table1[[#This Row],[Promo Price]])/Table1[[#This Row],[Everyday price]]</f>
        <v>#DIV/0!</v>
      </c>
      <c r="AC585" s="69"/>
      <c r="AH585" s="6"/>
      <c r="AJ585" s="116" t="str">
        <f>IF(AND(ISNUMBER(Table1[[#This Row],[Lift  ]]),ISNUMBER(Table1[[#This Row],[Plan lift, %]]),Table1[[#This Row],[Plan lift, %]]&lt;&gt;0),Table1[[#This Row],[Lift  ]]-Table1[[#This Row],[Plan lift, %]],"")</f>
        <v/>
      </c>
      <c r="AK585" s="116"/>
    </row>
    <row r="586" spans="1:38" x14ac:dyDescent="0.35">
      <c r="A586" t="s">
        <v>1022</v>
      </c>
      <c r="B586" s="12">
        <v>1148</v>
      </c>
      <c r="C586" s="21" t="s">
        <v>86</v>
      </c>
      <c r="D586" s="13" t="s">
        <v>1232</v>
      </c>
      <c r="F586" s="21" t="s">
        <v>1023</v>
      </c>
      <c r="G586" t="s">
        <v>60</v>
      </c>
      <c r="H586" s="14">
        <v>46235</v>
      </c>
      <c r="I586" s="14">
        <v>46265</v>
      </c>
      <c r="J586" s="13" t="s">
        <v>29</v>
      </c>
      <c r="L586" s="2">
        <v>1796.32</v>
      </c>
      <c r="M586" s="2">
        <v>2494.9</v>
      </c>
      <c r="N586" s="2">
        <v>498.98</v>
      </c>
      <c r="O586" s="2">
        <v>2993.88</v>
      </c>
      <c r="P586" s="3">
        <v>0.2</v>
      </c>
      <c r="Q586" s="3"/>
      <c r="R586" s="2">
        <v>0</v>
      </c>
      <c r="S586" s="3">
        <v>0</v>
      </c>
      <c r="T586" s="2">
        <v>0</v>
      </c>
      <c r="U586" s="13" t="s">
        <v>25</v>
      </c>
      <c r="V586" s="13" t="str">
        <f t="shared" si="58"/>
        <v>No</v>
      </c>
      <c r="W586" s="13" t="str">
        <f t="shared" si="58"/>
        <v>Yes</v>
      </c>
      <c r="X586" s="13" t="str">
        <f t="shared" si="58"/>
        <v>No</v>
      </c>
      <c r="Y586" s="13" t="str">
        <f t="shared" si="58"/>
        <v>No</v>
      </c>
      <c r="Z586" s="13" t="str">
        <f t="shared" si="58"/>
        <v>No</v>
      </c>
      <c r="AA586" s="71" t="e">
        <f>+(Table1[[#This Row],[Everyday price]]-Table1[[#This Row],[Promo Price]])/Table1[[#This Row],[Everyday price]]</f>
        <v>#DIV/0!</v>
      </c>
      <c r="AC586" s="69"/>
      <c r="AH586" s="6"/>
      <c r="AJ586" s="116" t="str">
        <f>IF(AND(ISNUMBER(Table1[[#This Row],[Lift  ]]),ISNUMBER(Table1[[#This Row],[Plan lift, %]]),Table1[[#This Row],[Plan lift, %]]&lt;&gt;0),Table1[[#This Row],[Lift  ]]-Table1[[#This Row],[Plan lift, %]],"")</f>
        <v/>
      </c>
      <c r="AK586" s="116"/>
    </row>
    <row r="587" spans="1:38" x14ac:dyDescent="0.35">
      <c r="A587" t="s">
        <v>85</v>
      </c>
      <c r="B587" s="12" t="s">
        <v>1738</v>
      </c>
      <c r="C587" s="21" t="s">
        <v>86</v>
      </c>
      <c r="D587" s="13" t="s">
        <v>1232</v>
      </c>
      <c r="F587" s="21" t="s">
        <v>87</v>
      </c>
      <c r="G587" t="s">
        <v>44</v>
      </c>
      <c r="H587" s="14">
        <v>46266</v>
      </c>
      <c r="I587" s="14">
        <v>46295</v>
      </c>
      <c r="J587" s="13" t="s">
        <v>24</v>
      </c>
      <c r="L587" s="2">
        <v>445.5</v>
      </c>
      <c r="M587" s="2">
        <v>3717.38</v>
      </c>
      <c r="N587" s="2">
        <v>929.35</v>
      </c>
      <c r="O587" s="2">
        <v>4646.7299999999996</v>
      </c>
      <c r="P587" s="3">
        <v>0.25</v>
      </c>
      <c r="Q587" s="3"/>
      <c r="R587" s="2">
        <v>0</v>
      </c>
      <c r="S587" s="3">
        <v>0</v>
      </c>
      <c r="T587" s="2">
        <v>0</v>
      </c>
      <c r="U587" s="13" t="s">
        <v>25</v>
      </c>
      <c r="V587" s="13" t="str">
        <f t="shared" si="58"/>
        <v>No</v>
      </c>
      <c r="W587" s="13" t="str">
        <f t="shared" si="58"/>
        <v>Yes</v>
      </c>
      <c r="X587" s="13" t="str">
        <f t="shared" si="58"/>
        <v>No</v>
      </c>
      <c r="Y587" s="13" t="str">
        <f t="shared" si="58"/>
        <v>No</v>
      </c>
      <c r="Z587" s="13" t="str">
        <f t="shared" si="58"/>
        <v>No</v>
      </c>
      <c r="AA587" s="71" t="e">
        <f>+(Table1[[#This Row],[Everyday price]]-Table1[[#This Row],[Promo Price]])/Table1[[#This Row],[Everyday price]]</f>
        <v>#DIV/0!</v>
      </c>
      <c r="AC587" s="69"/>
      <c r="AH587" s="6"/>
      <c r="AJ587" s="116" t="str">
        <f>IF(AND(ISNUMBER(Table1[[#This Row],[Lift  ]]),ISNUMBER(Table1[[#This Row],[Plan lift, %]]),Table1[[#This Row],[Plan lift, %]]&lt;&gt;0),Table1[[#This Row],[Lift  ]]-Table1[[#This Row],[Plan lift, %]],"")</f>
        <v/>
      </c>
      <c r="AK587" s="116"/>
    </row>
    <row r="588" spans="1:38" x14ac:dyDescent="0.35">
      <c r="A588" t="s">
        <v>85</v>
      </c>
      <c r="B588" s="12" t="s">
        <v>1739</v>
      </c>
      <c r="C588" s="21" t="s">
        <v>86</v>
      </c>
      <c r="D588" s="13" t="s">
        <v>1232</v>
      </c>
      <c r="F588" s="21" t="s">
        <v>87</v>
      </c>
      <c r="G588" t="s">
        <v>44</v>
      </c>
      <c r="H588" s="14">
        <v>46266</v>
      </c>
      <c r="I588" s="14">
        <v>46295</v>
      </c>
      <c r="J588" s="13" t="s">
        <v>88</v>
      </c>
      <c r="L588" s="2">
        <v>0</v>
      </c>
      <c r="M588" s="2">
        <v>0</v>
      </c>
      <c r="N588" s="2">
        <v>0</v>
      </c>
      <c r="O588" s="2">
        <v>0</v>
      </c>
      <c r="P588" s="3">
        <v>0.25</v>
      </c>
      <c r="Q588" s="3"/>
      <c r="R588" s="2">
        <v>0</v>
      </c>
      <c r="S588" s="3">
        <v>0</v>
      </c>
      <c r="T588" s="2">
        <v>0</v>
      </c>
      <c r="U588" s="13" t="s">
        <v>25</v>
      </c>
      <c r="V588" s="13" t="str">
        <f t="shared" si="58"/>
        <v>No</v>
      </c>
      <c r="W588" s="13" t="str">
        <f t="shared" si="58"/>
        <v>Yes</v>
      </c>
      <c r="X588" s="13" t="str">
        <f t="shared" si="58"/>
        <v>No</v>
      </c>
      <c r="Y588" s="13" t="str">
        <f t="shared" si="58"/>
        <v>No</v>
      </c>
      <c r="Z588" s="13" t="str">
        <f t="shared" si="58"/>
        <v>No</v>
      </c>
      <c r="AA588" s="71" t="e">
        <f>+(Table1[[#This Row],[Everyday price]]-Table1[[#This Row],[Promo Price]])/Table1[[#This Row],[Everyday price]]</f>
        <v>#DIV/0!</v>
      </c>
      <c r="AC588" s="69"/>
      <c r="AH588" s="6"/>
      <c r="AJ588" s="116" t="str">
        <f>IF(AND(ISNUMBER(Table1[[#This Row],[Lift  ]]),ISNUMBER(Table1[[#This Row],[Plan lift, %]]),Table1[[#This Row],[Plan lift, %]]&lt;&gt;0),Table1[[#This Row],[Lift  ]]-Table1[[#This Row],[Plan lift, %]],"")</f>
        <v/>
      </c>
      <c r="AK588" s="116"/>
    </row>
    <row r="589" spans="1:38" x14ac:dyDescent="0.35">
      <c r="A589" t="s">
        <v>168</v>
      </c>
      <c r="B589" s="12">
        <v>1153</v>
      </c>
      <c r="C589" s="21" t="s">
        <v>86</v>
      </c>
      <c r="D589" s="13" t="s">
        <v>1232</v>
      </c>
      <c r="F589" s="21" t="s">
        <v>169</v>
      </c>
      <c r="G589" t="s">
        <v>44</v>
      </c>
      <c r="H589" s="14">
        <v>46296</v>
      </c>
      <c r="I589" s="14">
        <v>46326</v>
      </c>
      <c r="J589" s="13" t="s">
        <v>29</v>
      </c>
      <c r="L589" s="2">
        <v>1756.78</v>
      </c>
      <c r="M589" s="2">
        <v>2439.9699999999998</v>
      </c>
      <c r="N589" s="2">
        <v>487.99</v>
      </c>
      <c r="O589" s="2">
        <v>2927.96</v>
      </c>
      <c r="P589" s="3">
        <v>0.2</v>
      </c>
      <c r="Q589" s="3"/>
      <c r="R589" s="2">
        <v>0</v>
      </c>
      <c r="S589" s="3">
        <v>0</v>
      </c>
      <c r="T589" s="2">
        <v>0</v>
      </c>
      <c r="U589" s="13" t="s">
        <v>25</v>
      </c>
      <c r="V589" s="13" t="str">
        <f t="shared" si="58"/>
        <v>No</v>
      </c>
      <c r="W589" s="13" t="str">
        <f t="shared" si="58"/>
        <v>Yes</v>
      </c>
      <c r="X589" s="13" t="str">
        <f t="shared" si="58"/>
        <v>No</v>
      </c>
      <c r="Y589" s="13" t="str">
        <f t="shared" si="58"/>
        <v>No</v>
      </c>
      <c r="Z589" s="13" t="str">
        <f t="shared" si="58"/>
        <v>No</v>
      </c>
      <c r="AA589" s="71" t="e">
        <f>+(Table1[[#This Row],[Everyday price]]-Table1[[#This Row],[Promo Price]])/Table1[[#This Row],[Everyday price]]</f>
        <v>#DIV/0!</v>
      </c>
      <c r="AC589" s="69"/>
      <c r="AH589" s="6"/>
      <c r="AJ589" s="116" t="str">
        <f>IF(AND(ISNUMBER(Table1[[#This Row],[Lift  ]]),ISNUMBER(Table1[[#This Row],[Plan lift, %]]),Table1[[#This Row],[Plan lift, %]]&lt;&gt;0),Table1[[#This Row],[Lift  ]]-Table1[[#This Row],[Plan lift, %]],"")</f>
        <v/>
      </c>
      <c r="AK589" s="116"/>
    </row>
    <row r="590" spans="1:38" x14ac:dyDescent="0.35">
      <c r="A590" t="s">
        <v>717</v>
      </c>
      <c r="B590" s="12">
        <v>1020</v>
      </c>
      <c r="C590" s="21" t="s">
        <v>471</v>
      </c>
      <c r="D590" s="13" t="s">
        <v>1232</v>
      </c>
      <c r="E590" t="s">
        <v>472</v>
      </c>
      <c r="F590" s="21" t="s">
        <v>718</v>
      </c>
      <c r="G590" t="s">
        <v>23</v>
      </c>
      <c r="H590" s="14">
        <v>46012</v>
      </c>
      <c r="I590" s="14">
        <v>46039</v>
      </c>
      <c r="J590" s="13" t="s">
        <v>24</v>
      </c>
      <c r="L590" s="2">
        <v>38623.949999999997</v>
      </c>
      <c r="M590" s="2">
        <v>140450.72</v>
      </c>
      <c r="N590" s="2">
        <v>210676.08</v>
      </c>
      <c r="O590" s="2">
        <v>351126.8</v>
      </c>
      <c r="P590" s="3">
        <v>1.5</v>
      </c>
      <c r="Q590" s="3"/>
      <c r="R590" s="2">
        <v>-88336.44</v>
      </c>
      <c r="S590" s="3">
        <v>-0.64</v>
      </c>
      <c r="T590" s="2">
        <v>49680</v>
      </c>
      <c r="U590" s="13" t="s">
        <v>25</v>
      </c>
      <c r="V590" s="13" t="str">
        <f t="shared" si="58"/>
        <v>No</v>
      </c>
      <c r="W590" s="13" t="str">
        <f t="shared" si="58"/>
        <v>Yes</v>
      </c>
      <c r="X590" s="13" t="str">
        <f t="shared" si="58"/>
        <v>No</v>
      </c>
      <c r="Y590" s="13" t="str">
        <f t="shared" si="58"/>
        <v>No</v>
      </c>
      <c r="Z590" s="13" t="str">
        <f t="shared" si="58"/>
        <v>No</v>
      </c>
      <c r="AA590" s="71" t="e">
        <f>+(Table1[[#This Row],[Everyday price]]-Table1[[#This Row],[Promo Price]])/Table1[[#This Row],[Everyday price]]</f>
        <v>#DIV/0!</v>
      </c>
      <c r="AC590" s="69"/>
      <c r="AH590" s="6"/>
      <c r="AJ590" s="116" t="str">
        <f>IF(AND(ISNUMBER(Table1[[#This Row],[Lift  ]]),ISNUMBER(Table1[[#This Row],[Plan lift, %]]),Table1[[#This Row],[Plan lift, %]]&lt;&gt;0),Table1[[#This Row],[Lift  ]]-Table1[[#This Row],[Plan lift, %]],"")</f>
        <v/>
      </c>
      <c r="AK590" s="116"/>
    </row>
    <row r="591" spans="1:38" x14ac:dyDescent="0.35">
      <c r="A591" t="s">
        <v>693</v>
      </c>
      <c r="B591" s="12">
        <v>1021</v>
      </c>
      <c r="C591" s="21" t="s">
        <v>471</v>
      </c>
      <c r="D591" s="13" t="s">
        <v>1232</v>
      </c>
      <c r="E591" t="s">
        <v>472</v>
      </c>
      <c r="F591" s="21" t="s">
        <v>694</v>
      </c>
      <c r="G591" t="s">
        <v>23</v>
      </c>
      <c r="H591" s="14">
        <v>46082</v>
      </c>
      <c r="I591" s="14">
        <v>46112</v>
      </c>
      <c r="J591" s="13" t="s">
        <v>24</v>
      </c>
      <c r="L591" s="2">
        <v>37144.92</v>
      </c>
      <c r="M591" s="2">
        <v>135072.42000000001</v>
      </c>
      <c r="N591" s="2">
        <v>202608.64000000001</v>
      </c>
      <c r="O591" s="2">
        <v>337681.06</v>
      </c>
      <c r="P591" s="3">
        <v>1.5</v>
      </c>
      <c r="Q591" s="3"/>
      <c r="R591" s="2">
        <v>-118512.43</v>
      </c>
      <c r="S591" s="3">
        <v>-0.88</v>
      </c>
      <c r="T591" s="2">
        <v>16560</v>
      </c>
      <c r="U591" s="13" t="s">
        <v>25</v>
      </c>
      <c r="V591" s="13" t="str">
        <f t="shared" si="58"/>
        <v>No</v>
      </c>
      <c r="W591" s="13" t="str">
        <f t="shared" si="58"/>
        <v>Yes</v>
      </c>
      <c r="X591" s="13" t="str">
        <f t="shared" si="58"/>
        <v>No</v>
      </c>
      <c r="Y591" s="13" t="str">
        <f t="shared" si="58"/>
        <v>No</v>
      </c>
      <c r="Z591" s="13" t="str">
        <f t="shared" si="58"/>
        <v>No</v>
      </c>
      <c r="AA591" s="71" t="e">
        <f>+(Table1[[#This Row],[Everyday price]]-Table1[[#This Row],[Promo Price]])/Table1[[#This Row],[Everyday price]]</f>
        <v>#DIV/0!</v>
      </c>
      <c r="AC591" s="69"/>
      <c r="AH591" s="6"/>
      <c r="AJ591" s="116" t="str">
        <f>IF(AND(ISNUMBER(Table1[[#This Row],[Lift  ]]),ISNUMBER(Table1[[#This Row],[Plan lift, %]]),Table1[[#This Row],[Plan lift, %]]&lt;&gt;0),Table1[[#This Row],[Lift  ]]-Table1[[#This Row],[Plan lift, %]],"")</f>
        <v/>
      </c>
      <c r="AK591" s="116"/>
    </row>
    <row r="592" spans="1:38" x14ac:dyDescent="0.35">
      <c r="A592" t="s">
        <v>880</v>
      </c>
      <c r="B592" s="12">
        <v>1022</v>
      </c>
      <c r="C592" s="21" t="s">
        <v>471</v>
      </c>
      <c r="D592" s="13" t="s">
        <v>1232</v>
      </c>
      <c r="E592" t="s">
        <v>472</v>
      </c>
      <c r="F592" s="21" t="s">
        <v>881</v>
      </c>
      <c r="G592" t="s">
        <v>23</v>
      </c>
      <c r="H592" s="14">
        <v>46174</v>
      </c>
      <c r="I592" s="14">
        <v>46203</v>
      </c>
      <c r="J592" s="13" t="s">
        <v>24</v>
      </c>
      <c r="L592" s="2">
        <v>27714.33</v>
      </c>
      <c r="M592" s="2">
        <v>125974.29</v>
      </c>
      <c r="N592" s="2">
        <v>125974.29</v>
      </c>
      <c r="O592" s="2">
        <v>251948.58</v>
      </c>
      <c r="P592" s="3">
        <v>1</v>
      </c>
      <c r="Q592" s="3"/>
      <c r="R592" s="2">
        <v>44521.72</v>
      </c>
      <c r="S592" s="3">
        <v>0.35</v>
      </c>
      <c r="T592" s="2">
        <v>170496</v>
      </c>
      <c r="U592" s="13" t="s">
        <v>25</v>
      </c>
      <c r="V592" s="13" t="str">
        <f t="shared" ref="V592:Z597" si="59">IF(ISNUMBER(SEARCH(V$1,$U592)),"Yes","No")</f>
        <v>No</v>
      </c>
      <c r="W592" s="13" t="str">
        <f t="shared" si="59"/>
        <v>Yes</v>
      </c>
      <c r="X592" s="13" t="str">
        <f t="shared" si="59"/>
        <v>No</v>
      </c>
      <c r="Y592" s="13" t="str">
        <f t="shared" si="59"/>
        <v>No</v>
      </c>
      <c r="Z592" s="13" t="str">
        <f t="shared" si="59"/>
        <v>No</v>
      </c>
      <c r="AA592" s="71" t="e">
        <f>+(Table1[[#This Row],[Everyday price]]-Table1[[#This Row],[Promo Price]])/Table1[[#This Row],[Everyday price]]</f>
        <v>#DIV/0!</v>
      </c>
      <c r="AC592" s="69"/>
      <c r="AH592" s="6"/>
      <c r="AJ592" s="116" t="str">
        <f>IF(AND(ISNUMBER(Table1[[#This Row],[Lift  ]]),ISNUMBER(Table1[[#This Row],[Plan lift, %]]),Table1[[#This Row],[Plan lift, %]]&lt;&gt;0),Table1[[#This Row],[Lift  ]]-Table1[[#This Row],[Plan lift, %]],"")</f>
        <v/>
      </c>
      <c r="AK592" s="116"/>
    </row>
    <row r="593" spans="1:37" x14ac:dyDescent="0.35">
      <c r="A593" t="s">
        <v>470</v>
      </c>
      <c r="B593" s="12">
        <v>1023</v>
      </c>
      <c r="C593" s="21" t="s">
        <v>471</v>
      </c>
      <c r="D593" s="13" t="s">
        <v>1232</v>
      </c>
      <c r="E593" t="s">
        <v>472</v>
      </c>
      <c r="F593" s="21" t="s">
        <v>473</v>
      </c>
      <c r="G593" t="s">
        <v>60</v>
      </c>
      <c r="H593" s="14">
        <v>46235</v>
      </c>
      <c r="I593" s="14">
        <v>46265</v>
      </c>
      <c r="J593" s="13" t="s">
        <v>24</v>
      </c>
      <c r="L593" s="2">
        <v>36721.519999999997</v>
      </c>
      <c r="M593" s="2">
        <v>166916.01</v>
      </c>
      <c r="N593" s="2">
        <v>166916.01</v>
      </c>
      <c r="O593" s="2">
        <v>333832.02</v>
      </c>
      <c r="P593" s="3">
        <v>1</v>
      </c>
      <c r="Q593" s="3"/>
      <c r="R593" s="2">
        <v>0</v>
      </c>
      <c r="S593" s="3">
        <v>0</v>
      </c>
      <c r="T593" s="2">
        <v>0</v>
      </c>
      <c r="U593" s="13" t="s">
        <v>25</v>
      </c>
      <c r="V593" s="13" t="str">
        <f t="shared" si="59"/>
        <v>No</v>
      </c>
      <c r="W593" s="13" t="str">
        <f t="shared" si="59"/>
        <v>Yes</v>
      </c>
      <c r="X593" s="13" t="str">
        <f t="shared" si="59"/>
        <v>No</v>
      </c>
      <c r="Y593" s="13" t="str">
        <f t="shared" si="59"/>
        <v>No</v>
      </c>
      <c r="Z593" s="13" t="str">
        <f t="shared" si="59"/>
        <v>No</v>
      </c>
      <c r="AA593" s="71" t="e">
        <f>+(Table1[[#This Row],[Everyday price]]-Table1[[#This Row],[Promo Price]])/Table1[[#This Row],[Everyday price]]</f>
        <v>#DIV/0!</v>
      </c>
      <c r="AC593" s="69"/>
      <c r="AH593" s="6"/>
      <c r="AJ593" s="116" t="str">
        <f>IF(AND(ISNUMBER(Table1[[#This Row],[Lift  ]]),ISNUMBER(Table1[[#This Row],[Plan lift, %]]),Table1[[#This Row],[Plan lift, %]]&lt;&gt;0),Table1[[#This Row],[Lift  ]]-Table1[[#This Row],[Plan lift, %]],"")</f>
        <v/>
      </c>
      <c r="AK593" s="116"/>
    </row>
    <row r="594" spans="1:37" x14ac:dyDescent="0.35">
      <c r="A594" t="s">
        <v>389</v>
      </c>
      <c r="B594" s="12">
        <v>1028</v>
      </c>
      <c r="C594" s="21" t="s">
        <v>390</v>
      </c>
      <c r="D594" s="13" t="s">
        <v>1230</v>
      </c>
      <c r="F594" t="s">
        <v>391</v>
      </c>
      <c r="G594" t="s">
        <v>23</v>
      </c>
      <c r="H594" s="1">
        <v>46054</v>
      </c>
      <c r="I594" s="1">
        <v>46081</v>
      </c>
      <c r="J594" s="13" t="s">
        <v>24</v>
      </c>
      <c r="L594" s="2">
        <v>2314.56</v>
      </c>
      <c r="M594" s="2">
        <v>2432</v>
      </c>
      <c r="N594" s="2">
        <v>1216</v>
      </c>
      <c r="O594" s="2">
        <v>3648</v>
      </c>
      <c r="P594" s="3">
        <v>0.5</v>
      </c>
      <c r="Q594" s="3"/>
      <c r="R594" s="2">
        <v>0</v>
      </c>
      <c r="S594" s="3">
        <v>0</v>
      </c>
      <c r="T594" s="2">
        <v>0</v>
      </c>
      <c r="U594" t="s">
        <v>33</v>
      </c>
      <c r="V594" s="13" t="str">
        <f t="shared" si="59"/>
        <v>No</v>
      </c>
      <c r="W594" s="13" t="str">
        <f t="shared" si="59"/>
        <v>Yes</v>
      </c>
      <c r="X594" s="13" t="str">
        <f t="shared" si="59"/>
        <v>Yes</v>
      </c>
      <c r="Y594" s="13" t="str">
        <f t="shared" si="59"/>
        <v>No</v>
      </c>
      <c r="Z594" s="13" t="str">
        <f t="shared" si="59"/>
        <v>No</v>
      </c>
      <c r="AA594" s="71" t="e">
        <f>+(Table1[[#This Row],[Everyday price]]-Table1[[#This Row],[Promo Price]])/Table1[[#This Row],[Everyday price]]</f>
        <v>#DIV/0!</v>
      </c>
      <c r="AC594" s="69"/>
      <c r="AD594" s="13"/>
      <c r="AH594" s="6"/>
      <c r="AJ594" s="116" t="str">
        <f>IF(AND(ISNUMBER(Table1[[#This Row],[Lift  ]]),ISNUMBER(Table1[[#This Row],[Plan lift, %]]),Table1[[#This Row],[Plan lift, %]]&lt;&gt;0),Table1[[#This Row],[Lift  ]]-Table1[[#This Row],[Plan lift, %]],"")</f>
        <v/>
      </c>
      <c r="AK594" s="116"/>
    </row>
    <row r="595" spans="1:37" x14ac:dyDescent="0.35">
      <c r="A595" t="s">
        <v>1113</v>
      </c>
      <c r="B595" s="12">
        <v>1029</v>
      </c>
      <c r="C595" s="21" t="s">
        <v>390</v>
      </c>
      <c r="D595" s="13" t="s">
        <v>1230</v>
      </c>
      <c r="F595" t="s">
        <v>1114</v>
      </c>
      <c r="G595" t="s">
        <v>23</v>
      </c>
      <c r="H595" s="1">
        <v>46143</v>
      </c>
      <c r="I595" s="1">
        <v>46173</v>
      </c>
      <c r="J595" s="13" t="s">
        <v>24</v>
      </c>
      <c r="L595" s="2">
        <v>1998.26</v>
      </c>
      <c r="M595" s="2">
        <v>2692.57</v>
      </c>
      <c r="N595" s="2">
        <v>1346.29</v>
      </c>
      <c r="O595" s="2">
        <v>4038.86</v>
      </c>
      <c r="P595" s="3">
        <v>0.5</v>
      </c>
      <c r="Q595" s="3"/>
      <c r="R595" s="2">
        <v>0</v>
      </c>
      <c r="S595" s="3">
        <v>0</v>
      </c>
      <c r="T595" s="2">
        <v>0</v>
      </c>
      <c r="U595" t="s">
        <v>33</v>
      </c>
      <c r="V595" s="13" t="str">
        <f t="shared" si="59"/>
        <v>No</v>
      </c>
      <c r="W595" s="13" t="str">
        <f t="shared" si="59"/>
        <v>Yes</v>
      </c>
      <c r="X595" s="13" t="str">
        <f t="shared" si="59"/>
        <v>Yes</v>
      </c>
      <c r="Y595" s="13" t="str">
        <f t="shared" si="59"/>
        <v>No</v>
      </c>
      <c r="Z595" s="13" t="str">
        <f t="shared" si="59"/>
        <v>No</v>
      </c>
      <c r="AA595" s="71" t="e">
        <f>+(Table1[[#This Row],[Everyday price]]-Table1[[#This Row],[Promo Price]])/Table1[[#This Row],[Everyday price]]</f>
        <v>#DIV/0!</v>
      </c>
      <c r="AC595" s="69"/>
      <c r="AD595" s="13"/>
      <c r="AH595" s="6"/>
      <c r="AJ595" s="116" t="str">
        <f>IF(AND(ISNUMBER(Table1[[#This Row],[Lift  ]]),ISNUMBER(Table1[[#This Row],[Plan lift, %]]),Table1[[#This Row],[Plan lift, %]]&lt;&gt;0),Table1[[#This Row],[Lift  ]]-Table1[[#This Row],[Plan lift, %]],"")</f>
        <v/>
      </c>
      <c r="AK595" s="116"/>
    </row>
    <row r="596" spans="1:37" x14ac:dyDescent="0.35">
      <c r="A596" t="s">
        <v>1121</v>
      </c>
      <c r="B596" s="12">
        <v>1030</v>
      </c>
      <c r="C596" s="21" t="s">
        <v>390</v>
      </c>
      <c r="D596" s="13" t="s">
        <v>1230</v>
      </c>
      <c r="F596" t="s">
        <v>1122</v>
      </c>
      <c r="G596" t="s">
        <v>60</v>
      </c>
      <c r="H596" s="1">
        <v>46235</v>
      </c>
      <c r="I596" s="1">
        <v>46265</v>
      </c>
      <c r="J596" s="13" t="s">
        <v>24</v>
      </c>
      <c r="L596" s="2">
        <v>2498.2600000000002</v>
      </c>
      <c r="M596" s="2">
        <v>2692.57</v>
      </c>
      <c r="N596" s="2">
        <v>1346.29</v>
      </c>
      <c r="O596" s="2">
        <v>4038.86</v>
      </c>
      <c r="P596" s="3">
        <v>0.5</v>
      </c>
      <c r="Q596" s="3"/>
      <c r="R596" s="2">
        <v>0</v>
      </c>
      <c r="S596" s="3">
        <v>0</v>
      </c>
      <c r="T596" s="2">
        <v>0</v>
      </c>
      <c r="U596" t="s">
        <v>33</v>
      </c>
      <c r="V596" s="13" t="str">
        <f t="shared" si="59"/>
        <v>No</v>
      </c>
      <c r="W596" s="13" t="str">
        <f t="shared" si="59"/>
        <v>Yes</v>
      </c>
      <c r="X596" s="13" t="str">
        <f t="shared" si="59"/>
        <v>Yes</v>
      </c>
      <c r="Y596" s="13" t="str">
        <f t="shared" si="59"/>
        <v>No</v>
      </c>
      <c r="Z596" s="13" t="str">
        <f t="shared" si="59"/>
        <v>No</v>
      </c>
      <c r="AA596" s="71" t="e">
        <f>+(Table1[[#This Row],[Everyday price]]-Table1[[#This Row],[Promo Price]])/Table1[[#This Row],[Everyday price]]</f>
        <v>#DIV/0!</v>
      </c>
      <c r="AC596" s="69"/>
      <c r="AD596" s="13"/>
      <c r="AH596" s="6"/>
      <c r="AJ596" s="116" t="str">
        <f>IF(AND(ISNUMBER(Table1[[#This Row],[Lift  ]]),ISNUMBER(Table1[[#This Row],[Plan lift, %]]),Table1[[#This Row],[Plan lift, %]]&lt;&gt;0),Table1[[#This Row],[Lift  ]]-Table1[[#This Row],[Plan lift, %]],"")</f>
        <v/>
      </c>
      <c r="AK596" s="116"/>
    </row>
    <row r="597" spans="1:37" x14ac:dyDescent="0.35">
      <c r="A597" t="s">
        <v>528</v>
      </c>
      <c r="B597" s="12">
        <v>1031</v>
      </c>
      <c r="C597" s="21" t="s">
        <v>390</v>
      </c>
      <c r="D597" s="13" t="s">
        <v>1230</v>
      </c>
      <c r="F597" t="s">
        <v>529</v>
      </c>
      <c r="G597" t="s">
        <v>44</v>
      </c>
      <c r="H597" s="1">
        <v>46296</v>
      </c>
      <c r="I597" s="1">
        <v>46296</v>
      </c>
      <c r="J597" s="13" t="s">
        <v>24</v>
      </c>
      <c r="L597" s="2">
        <v>161.22999999999999</v>
      </c>
      <c r="M597" s="2">
        <v>86.86</v>
      </c>
      <c r="N597" s="2">
        <v>43.42</v>
      </c>
      <c r="O597" s="2">
        <v>130.28</v>
      </c>
      <c r="P597" s="3">
        <v>0.5</v>
      </c>
      <c r="Q597" s="3"/>
      <c r="R597" s="2">
        <v>0</v>
      </c>
      <c r="S597" s="3">
        <v>0</v>
      </c>
      <c r="T597" s="2">
        <v>0</v>
      </c>
      <c r="U597" t="s">
        <v>33</v>
      </c>
      <c r="V597" s="13" t="str">
        <f t="shared" si="59"/>
        <v>No</v>
      </c>
      <c r="W597" s="13" t="str">
        <f t="shared" si="59"/>
        <v>Yes</v>
      </c>
      <c r="X597" s="13" t="str">
        <f t="shared" si="59"/>
        <v>Yes</v>
      </c>
      <c r="Y597" s="13" t="str">
        <f t="shared" si="59"/>
        <v>No</v>
      </c>
      <c r="Z597" s="13" t="str">
        <f t="shared" si="59"/>
        <v>No</v>
      </c>
      <c r="AA597" s="71" t="e">
        <f>+(Table1[[#This Row],[Everyday price]]-Table1[[#This Row],[Promo Price]])/Table1[[#This Row],[Everyday price]]</f>
        <v>#DIV/0!</v>
      </c>
      <c r="AC597" s="69"/>
      <c r="AD597" s="13"/>
      <c r="AH597" s="6"/>
      <c r="AJ597" s="116" t="str">
        <f>IF(AND(ISNUMBER(Table1[[#This Row],[Lift  ]]),ISNUMBER(Table1[[#This Row],[Plan lift, %]]),Table1[[#This Row],[Plan lift, %]]&lt;&gt;0),Table1[[#This Row],[Lift  ]]-Table1[[#This Row],[Plan lift, %]],"")</f>
        <v/>
      </c>
      <c r="AK597" s="116"/>
    </row>
  </sheetData>
  <phoneticPr fontId="1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83F97-9B27-4B99-9C2D-69E293B5F6C4}">
  <dimension ref="A1:AL1395"/>
  <sheetViews>
    <sheetView zoomScaleNormal="100" workbookViewId="0">
      <pane xSplit="1" ySplit="1" topLeftCell="B566" activePane="bottomRight" state="frozen"/>
      <selection pane="topRight" activeCell="B1" sqref="B1"/>
      <selection pane="bottomLeft" activeCell="A2" sqref="A2"/>
      <selection pane="bottomRight" activeCell="A597" sqref="A597"/>
    </sheetView>
  </sheetViews>
  <sheetFormatPr defaultRowHeight="14.5" x14ac:dyDescent="0.35"/>
  <cols>
    <col min="1" max="1" width="32.453125" bestFit="1" customWidth="1"/>
    <col min="2" max="29" width="14.1796875" customWidth="1"/>
    <col min="30" max="30" width="10.90625" customWidth="1"/>
    <col min="31" max="32" width="11.81640625" customWidth="1"/>
  </cols>
  <sheetData>
    <row r="1" spans="1:29" x14ac:dyDescent="0.35">
      <c r="A1">
        <v>1367</v>
      </c>
    </row>
    <row r="2" spans="1:29" x14ac:dyDescent="0.35">
      <c r="A2" s="4" t="s">
        <v>1239</v>
      </c>
      <c r="B2" t="s">
        <v>1253</v>
      </c>
    </row>
    <row r="3" spans="1:29" x14ac:dyDescent="0.35">
      <c r="A3" t="s">
        <v>1240</v>
      </c>
      <c r="B3" s="5">
        <v>46026</v>
      </c>
      <c r="C3" s="5">
        <v>46033</v>
      </c>
      <c r="D3" s="5">
        <v>46040</v>
      </c>
      <c r="E3" s="5">
        <v>46047</v>
      </c>
      <c r="F3" s="5">
        <v>46054</v>
      </c>
      <c r="G3" s="5">
        <v>46061</v>
      </c>
      <c r="H3" s="5">
        <v>46068</v>
      </c>
      <c r="I3" s="5">
        <v>46075</v>
      </c>
      <c r="J3" s="5">
        <v>46082</v>
      </c>
      <c r="K3" s="5">
        <v>46089</v>
      </c>
      <c r="L3" s="5">
        <v>46096</v>
      </c>
      <c r="M3" s="5">
        <v>46103</v>
      </c>
      <c r="N3" s="5">
        <v>46110</v>
      </c>
      <c r="O3" s="5">
        <v>46117</v>
      </c>
      <c r="P3" s="5">
        <v>46124</v>
      </c>
      <c r="Q3" s="5">
        <v>46131</v>
      </c>
      <c r="R3" s="5">
        <v>46138</v>
      </c>
      <c r="S3" s="5">
        <v>46145</v>
      </c>
      <c r="T3" s="5">
        <v>46152</v>
      </c>
      <c r="U3" s="5">
        <v>46159</v>
      </c>
      <c r="V3" s="5">
        <v>46166</v>
      </c>
      <c r="W3" s="5">
        <v>46173</v>
      </c>
      <c r="X3" s="5">
        <v>46180</v>
      </c>
      <c r="Y3" s="5">
        <v>46187</v>
      </c>
      <c r="Z3" s="5">
        <v>46194</v>
      </c>
      <c r="AA3" s="5">
        <v>46201</v>
      </c>
      <c r="AB3" s="5">
        <v>46208</v>
      </c>
      <c r="AC3" s="5">
        <v>46215</v>
      </c>
    </row>
    <row r="4" spans="1:29" x14ac:dyDescent="0.35">
      <c r="A4" t="s">
        <v>1241</v>
      </c>
      <c r="B4" s="6">
        <v>7403</v>
      </c>
      <c r="C4" s="6">
        <v>8798</v>
      </c>
      <c r="D4" s="6">
        <v>9531</v>
      </c>
      <c r="E4" s="6">
        <v>9027</v>
      </c>
      <c r="F4" s="6">
        <v>9108</v>
      </c>
      <c r="G4" s="6">
        <v>8551</v>
      </c>
      <c r="H4" s="6">
        <v>8421</v>
      </c>
      <c r="I4" s="6">
        <v>8549</v>
      </c>
      <c r="J4" s="6">
        <v>6978</v>
      </c>
      <c r="K4" s="6">
        <v>7379</v>
      </c>
      <c r="L4" s="6">
        <v>5710</v>
      </c>
      <c r="M4" s="6">
        <v>6080</v>
      </c>
      <c r="N4" s="6">
        <v>6686</v>
      </c>
      <c r="O4" s="6">
        <v>5074</v>
      </c>
      <c r="P4" s="6">
        <v>5239</v>
      </c>
      <c r="Q4" s="6">
        <v>5241</v>
      </c>
      <c r="R4" s="6">
        <v>5566</v>
      </c>
      <c r="S4" s="6">
        <v>5944</v>
      </c>
      <c r="T4" s="6">
        <v>5757</v>
      </c>
      <c r="U4" s="6">
        <v>5625</v>
      </c>
      <c r="V4" s="6">
        <v>4988</v>
      </c>
      <c r="W4" s="6">
        <v>4846</v>
      </c>
      <c r="X4" s="6">
        <v>5209</v>
      </c>
      <c r="Y4" s="6">
        <v>4735</v>
      </c>
      <c r="Z4" s="6">
        <v>5044</v>
      </c>
      <c r="AA4" s="6">
        <v>4683</v>
      </c>
      <c r="AB4" s="6">
        <v>4583</v>
      </c>
      <c r="AC4" s="6">
        <v>4714</v>
      </c>
    </row>
    <row r="5" spans="1:29" x14ac:dyDescent="0.35">
      <c r="A5" t="s">
        <v>1242</v>
      </c>
      <c r="B5" s="3">
        <v>0.79600000000000004</v>
      </c>
      <c r="C5" s="3">
        <v>0.91900000000000004</v>
      </c>
      <c r="D5" s="3">
        <v>0.73299999999999998</v>
      </c>
      <c r="E5" s="3">
        <v>0.71199999999999997</v>
      </c>
      <c r="F5" s="3">
        <v>0.70799999999999996</v>
      </c>
      <c r="G5" s="3">
        <v>0.64100000000000001</v>
      </c>
      <c r="H5" s="3">
        <v>0.64500000000000002</v>
      </c>
      <c r="I5" s="3">
        <v>0.64100000000000001</v>
      </c>
      <c r="J5" s="3">
        <v>0.45200000000000001</v>
      </c>
      <c r="K5" s="3">
        <v>0.56100000000000005</v>
      </c>
      <c r="L5" s="3">
        <v>0.29599999999999999</v>
      </c>
      <c r="M5" s="3">
        <v>0.315</v>
      </c>
      <c r="N5" s="3">
        <v>0.49399999999999999</v>
      </c>
      <c r="O5" s="3">
        <v>8.7999999999999995E-2</v>
      </c>
      <c r="P5" s="3">
        <v>0.26500000000000001</v>
      </c>
      <c r="Q5" s="3">
        <v>0.22900000000000001</v>
      </c>
      <c r="R5" s="3">
        <v>0.33100000000000002</v>
      </c>
      <c r="S5" s="3">
        <v>0.315</v>
      </c>
      <c r="T5" s="3">
        <v>0.252</v>
      </c>
      <c r="U5" s="3">
        <v>0.32800000000000001</v>
      </c>
      <c r="V5" s="3">
        <v>0.27200000000000002</v>
      </c>
      <c r="W5" s="3">
        <v>0.18099999999999999</v>
      </c>
      <c r="X5" s="3">
        <v>0.17100000000000001</v>
      </c>
      <c r="Y5" s="3">
        <v>0.14399999999999999</v>
      </c>
      <c r="Z5" s="3">
        <v>0.192</v>
      </c>
      <c r="AA5" s="3">
        <v>0.20899999999999999</v>
      </c>
      <c r="AB5" s="3">
        <v>0.28599999999999998</v>
      </c>
      <c r="AC5" s="3">
        <v>0.218</v>
      </c>
    </row>
    <row r="6" spans="1:29" x14ac:dyDescent="0.35">
      <c r="A6" t="s">
        <v>1243</v>
      </c>
      <c r="B6" s="9">
        <v>3281</v>
      </c>
      <c r="C6" s="9">
        <v>4214</v>
      </c>
      <c r="D6" s="9">
        <v>4030</v>
      </c>
      <c r="E6" s="9">
        <v>3755</v>
      </c>
      <c r="F6" s="6">
        <v>3775</v>
      </c>
      <c r="G6" s="6">
        <v>3341</v>
      </c>
      <c r="H6" s="6">
        <v>3303</v>
      </c>
      <c r="I6" s="6">
        <v>3340</v>
      </c>
      <c r="J6" s="6">
        <v>2174</v>
      </c>
      <c r="K6" s="6">
        <v>2650</v>
      </c>
      <c r="L6" s="6">
        <v>1306</v>
      </c>
      <c r="M6" s="6">
        <v>1457</v>
      </c>
      <c r="N6" s="6">
        <v>2211</v>
      </c>
      <c r="O6">
        <v>409</v>
      </c>
      <c r="P6" s="6">
        <v>1099</v>
      </c>
      <c r="Q6">
        <v>978</v>
      </c>
      <c r="R6" s="6">
        <v>1385</v>
      </c>
      <c r="S6" s="6">
        <v>1424</v>
      </c>
      <c r="T6" s="6">
        <v>1158</v>
      </c>
      <c r="U6" s="6">
        <v>1390</v>
      </c>
      <c r="V6" s="6">
        <v>1066</v>
      </c>
      <c r="W6">
        <v>742</v>
      </c>
      <c r="X6">
        <v>762</v>
      </c>
      <c r="Y6">
        <v>595</v>
      </c>
      <c r="Z6">
        <v>811</v>
      </c>
      <c r="AA6">
        <v>811</v>
      </c>
      <c r="AB6" s="6">
        <v>1020</v>
      </c>
      <c r="AC6">
        <v>844</v>
      </c>
    </row>
    <row r="7" spans="1:29" x14ac:dyDescent="0.35">
      <c r="A7" t="s">
        <v>1244</v>
      </c>
      <c r="B7" s="10">
        <v>4122</v>
      </c>
      <c r="C7" s="10">
        <v>4584</v>
      </c>
      <c r="D7" s="10">
        <v>5501</v>
      </c>
      <c r="E7" s="10">
        <v>5272</v>
      </c>
      <c r="F7" s="6">
        <v>5334</v>
      </c>
      <c r="G7" s="6">
        <v>5211</v>
      </c>
      <c r="H7" s="6">
        <v>5118</v>
      </c>
      <c r="I7" s="6">
        <v>5210</v>
      </c>
      <c r="J7" s="6">
        <v>4804</v>
      </c>
      <c r="K7" s="6">
        <v>4729</v>
      </c>
      <c r="L7" s="6">
        <v>4404</v>
      </c>
      <c r="M7" s="6">
        <v>4624</v>
      </c>
      <c r="N7" s="6">
        <v>4475</v>
      </c>
      <c r="O7" s="6">
        <v>4666</v>
      </c>
      <c r="P7" s="6">
        <v>4140</v>
      </c>
      <c r="Q7" s="6">
        <v>4263</v>
      </c>
      <c r="R7" s="6">
        <v>4181</v>
      </c>
      <c r="S7" s="6">
        <v>4520</v>
      </c>
      <c r="T7" s="6">
        <v>4599</v>
      </c>
      <c r="U7" s="6">
        <v>4235</v>
      </c>
      <c r="V7" s="6">
        <v>3922</v>
      </c>
      <c r="W7" s="6">
        <v>4104</v>
      </c>
      <c r="X7" s="6">
        <v>4447</v>
      </c>
      <c r="Y7" s="6">
        <v>4140</v>
      </c>
      <c r="Z7" s="6">
        <v>4233</v>
      </c>
      <c r="AA7" s="6">
        <v>3872</v>
      </c>
      <c r="AB7" s="6">
        <v>3564</v>
      </c>
      <c r="AC7" s="6">
        <v>3870</v>
      </c>
    </row>
    <row r="8" spans="1:29" x14ac:dyDescent="0.35">
      <c r="A8" t="s">
        <v>1245</v>
      </c>
      <c r="B8" s="7">
        <v>2.59</v>
      </c>
      <c r="C8" s="7">
        <v>2.58</v>
      </c>
      <c r="D8" s="7">
        <v>2.67</v>
      </c>
      <c r="E8" s="7">
        <v>2.68</v>
      </c>
      <c r="F8" s="7">
        <v>2.67</v>
      </c>
      <c r="G8" s="7">
        <v>2.65</v>
      </c>
      <c r="H8" s="7">
        <v>2.66</v>
      </c>
      <c r="I8" s="7">
        <v>2.65</v>
      </c>
      <c r="J8" s="7">
        <v>2.88</v>
      </c>
      <c r="K8" s="7">
        <v>2.84</v>
      </c>
      <c r="L8" s="7">
        <v>2.89</v>
      </c>
      <c r="M8" s="7">
        <v>2.87</v>
      </c>
      <c r="N8" s="7">
        <v>2.69</v>
      </c>
      <c r="O8" s="7">
        <v>2.88</v>
      </c>
      <c r="P8" s="7">
        <v>2.93</v>
      </c>
      <c r="Q8" s="7">
        <v>2.84</v>
      </c>
      <c r="R8" s="7">
        <v>2.63</v>
      </c>
      <c r="S8" s="7">
        <v>2.69</v>
      </c>
      <c r="T8" s="7">
        <v>2.75</v>
      </c>
      <c r="U8" s="7">
        <v>2.7</v>
      </c>
      <c r="V8" s="7">
        <v>2.89</v>
      </c>
      <c r="W8" s="7">
        <v>3.03</v>
      </c>
      <c r="X8" s="7">
        <v>3.06</v>
      </c>
      <c r="Y8" s="7">
        <v>3</v>
      </c>
      <c r="Z8" s="7">
        <v>2.88</v>
      </c>
      <c r="AA8" s="7">
        <v>2.96</v>
      </c>
      <c r="AB8" s="7">
        <v>2.84</v>
      </c>
      <c r="AC8" s="7">
        <v>2.92</v>
      </c>
    </row>
    <row r="9" spans="1:29" x14ac:dyDescent="0.35">
      <c r="B9" s="6">
        <f>SUM(B7:E7)</f>
        <v>19479</v>
      </c>
      <c r="C9" s="6">
        <f>SUM(B6:E6)</f>
        <v>15280</v>
      </c>
      <c r="D9" s="11">
        <f>C9/B9</f>
        <v>0.78443451922583296</v>
      </c>
    </row>
    <row r="12" spans="1:29" x14ac:dyDescent="0.35">
      <c r="A12" t="s">
        <v>1240</v>
      </c>
      <c r="B12" s="5">
        <v>46026</v>
      </c>
      <c r="C12" s="5">
        <v>46033</v>
      </c>
      <c r="D12" s="5">
        <v>46040</v>
      </c>
      <c r="E12" s="5">
        <v>46047</v>
      </c>
      <c r="F12" s="5">
        <v>46054</v>
      </c>
      <c r="G12" s="5">
        <v>46061</v>
      </c>
      <c r="H12" s="5">
        <v>46068</v>
      </c>
      <c r="I12" s="5">
        <v>46075</v>
      </c>
      <c r="J12" s="5">
        <v>46082</v>
      </c>
      <c r="K12" s="5">
        <v>46089</v>
      </c>
      <c r="L12" s="5">
        <v>46096</v>
      </c>
      <c r="M12" s="5">
        <v>46103</v>
      </c>
      <c r="N12" s="5">
        <v>46110</v>
      </c>
      <c r="O12" s="5">
        <v>46117</v>
      </c>
      <c r="P12" s="5">
        <v>46124</v>
      </c>
      <c r="Q12" s="5">
        <v>46131</v>
      </c>
      <c r="R12" s="5">
        <v>46138</v>
      </c>
      <c r="S12" s="5">
        <v>46145</v>
      </c>
      <c r="T12" s="5">
        <v>46152</v>
      </c>
      <c r="U12" s="5">
        <v>46159</v>
      </c>
      <c r="V12" s="5">
        <v>46166</v>
      </c>
      <c r="W12" s="5">
        <v>46173</v>
      </c>
      <c r="X12" s="5">
        <v>46180</v>
      </c>
      <c r="Y12" s="5">
        <v>46187</v>
      </c>
      <c r="Z12" s="5">
        <v>46194</v>
      </c>
      <c r="AA12" s="5">
        <v>46201</v>
      </c>
      <c r="AB12" s="5">
        <v>46208</v>
      </c>
      <c r="AC12" s="5">
        <v>46215</v>
      </c>
    </row>
    <row r="13" spans="1:29" x14ac:dyDescent="0.35">
      <c r="A13" t="s">
        <v>1242</v>
      </c>
      <c r="B13" s="3">
        <v>0.79600000000000004</v>
      </c>
      <c r="C13" s="3">
        <v>0.91900000000000004</v>
      </c>
      <c r="D13" s="3">
        <v>0.73299999999999998</v>
      </c>
      <c r="E13" s="3">
        <v>0.71199999999999997</v>
      </c>
      <c r="F13" s="3">
        <v>0.70799999999999996</v>
      </c>
      <c r="G13" s="3">
        <v>0.64100000000000001</v>
      </c>
      <c r="H13" s="3">
        <v>0.64500000000000002</v>
      </c>
      <c r="I13" s="3">
        <v>0.64100000000000001</v>
      </c>
      <c r="J13" s="3">
        <v>0.45200000000000001</v>
      </c>
      <c r="K13" s="3">
        <v>0.56100000000000005</v>
      </c>
      <c r="L13" s="3">
        <v>0.29599999999999999</v>
      </c>
      <c r="M13" s="3">
        <v>0.315</v>
      </c>
      <c r="N13" s="3">
        <v>0.49399999999999999</v>
      </c>
      <c r="O13" s="3">
        <v>8.7999999999999995E-2</v>
      </c>
      <c r="P13" s="3">
        <v>0.26500000000000001</v>
      </c>
      <c r="Q13" s="3">
        <v>0.22900000000000001</v>
      </c>
      <c r="R13" s="3">
        <v>0.33100000000000002</v>
      </c>
      <c r="S13" s="3">
        <v>0.315</v>
      </c>
      <c r="T13" s="3">
        <v>0.252</v>
      </c>
      <c r="U13" s="3">
        <v>0.32800000000000001</v>
      </c>
      <c r="V13" s="3">
        <v>0.27200000000000002</v>
      </c>
      <c r="W13" s="3">
        <v>0.18099999999999999</v>
      </c>
      <c r="X13" s="3">
        <v>0.17100000000000001</v>
      </c>
      <c r="Y13" s="3">
        <v>0.14399999999999999</v>
      </c>
      <c r="Z13" s="3">
        <v>0.192</v>
      </c>
      <c r="AA13" s="3">
        <v>0.20899999999999999</v>
      </c>
      <c r="AB13" s="3">
        <v>0.28599999999999998</v>
      </c>
      <c r="AC13" s="3">
        <v>0.218</v>
      </c>
    </row>
    <row r="14" spans="1:29" x14ac:dyDescent="0.35">
      <c r="A14" t="s">
        <v>1247</v>
      </c>
      <c r="B14" s="8">
        <v>0.159</v>
      </c>
      <c r="C14" s="8">
        <v>0.155</v>
      </c>
      <c r="D14" s="8">
        <v>0.13500000000000001</v>
      </c>
      <c r="E14" s="8">
        <v>0.112</v>
      </c>
      <c r="F14" s="3">
        <v>0.113</v>
      </c>
      <c r="G14" s="3">
        <v>0.10100000000000001</v>
      </c>
      <c r="H14" s="3">
        <v>9.6000000000000002E-2</v>
      </c>
      <c r="I14" s="3">
        <v>0.105</v>
      </c>
      <c r="J14" s="3">
        <v>0.02</v>
      </c>
      <c r="K14" s="3">
        <v>6.6000000000000003E-2</v>
      </c>
      <c r="L14" s="3">
        <v>7.2999999999999995E-2</v>
      </c>
      <c r="M14" s="3">
        <v>4.4999999999999998E-2</v>
      </c>
      <c r="N14" s="3">
        <v>0.11799999999999999</v>
      </c>
      <c r="O14" s="3">
        <v>0.155</v>
      </c>
      <c r="P14" s="3">
        <v>4.7E-2</v>
      </c>
      <c r="Q14" s="3">
        <v>6.9000000000000006E-2</v>
      </c>
      <c r="R14" s="3">
        <v>0.11700000000000001</v>
      </c>
      <c r="S14" s="3">
        <v>0.114</v>
      </c>
      <c r="T14" s="3">
        <v>0.104</v>
      </c>
      <c r="U14" s="3">
        <v>0.124</v>
      </c>
      <c r="V14" s="3">
        <v>9.1999999999999998E-2</v>
      </c>
      <c r="W14" s="3">
        <v>5.8999999999999997E-2</v>
      </c>
      <c r="X14" s="3">
        <v>5.6000000000000001E-2</v>
      </c>
      <c r="Y14" s="3">
        <v>4.8000000000000001E-2</v>
      </c>
      <c r="Z14" s="3">
        <v>8.7999999999999995E-2</v>
      </c>
      <c r="AA14" s="3">
        <v>7.0999999999999994E-2</v>
      </c>
      <c r="AB14" s="3">
        <v>0.125</v>
      </c>
      <c r="AC14" s="3">
        <v>0.14399999999999999</v>
      </c>
    </row>
    <row r="15" spans="1:29" x14ac:dyDescent="0.35">
      <c r="A15" t="s">
        <v>1248</v>
      </c>
      <c r="B15" s="7">
        <v>0.47</v>
      </c>
      <c r="C15" s="7">
        <v>0.46</v>
      </c>
      <c r="D15" s="7">
        <v>0.4</v>
      </c>
      <c r="E15" s="7">
        <v>0.33</v>
      </c>
      <c r="F15" s="7">
        <v>0.33</v>
      </c>
      <c r="G15" s="7">
        <v>0.3</v>
      </c>
      <c r="H15" s="7">
        <v>0.28000000000000003</v>
      </c>
      <c r="I15" s="7">
        <v>0.31</v>
      </c>
      <c r="J15" s="7">
        <v>0.06</v>
      </c>
      <c r="K15" s="7">
        <v>0.2</v>
      </c>
      <c r="L15" s="7">
        <v>0.22</v>
      </c>
      <c r="M15" s="7">
        <v>0.13</v>
      </c>
      <c r="N15" s="7">
        <v>0.34</v>
      </c>
      <c r="O15" s="7">
        <v>0.46</v>
      </c>
      <c r="P15" s="7">
        <v>0.14000000000000001</v>
      </c>
      <c r="Q15" s="7">
        <v>0.21</v>
      </c>
      <c r="R15" s="7">
        <v>0.34</v>
      </c>
      <c r="S15" s="7">
        <v>0.33</v>
      </c>
      <c r="T15" s="7">
        <v>0.3</v>
      </c>
      <c r="U15" s="7">
        <v>0.36</v>
      </c>
      <c r="V15" s="7">
        <v>0.28000000000000003</v>
      </c>
      <c r="W15" s="7">
        <v>0.18</v>
      </c>
      <c r="X15" s="7">
        <v>0.18</v>
      </c>
      <c r="Y15" s="7">
        <v>0.15</v>
      </c>
      <c r="Z15" s="7">
        <v>0.27</v>
      </c>
      <c r="AA15" s="7">
        <v>0.22</v>
      </c>
      <c r="AB15" s="7">
        <v>0.39</v>
      </c>
      <c r="AC15" s="7">
        <v>0.45</v>
      </c>
    </row>
    <row r="16" spans="1:29" x14ac:dyDescent="0.35">
      <c r="A16" t="s">
        <v>1249</v>
      </c>
      <c r="B16" s="7">
        <v>2.4900000000000002</v>
      </c>
      <c r="C16" s="7">
        <v>2.48</v>
      </c>
      <c r="D16" s="7">
        <v>2.58</v>
      </c>
      <c r="E16" s="7">
        <v>2.62</v>
      </c>
      <c r="F16" s="7">
        <v>2.62</v>
      </c>
      <c r="G16" s="7">
        <v>2.62</v>
      </c>
      <c r="H16" s="7">
        <v>2.64</v>
      </c>
      <c r="I16" s="7">
        <v>2.62</v>
      </c>
      <c r="J16" s="7">
        <v>2.88</v>
      </c>
      <c r="K16" s="7">
        <v>2.78</v>
      </c>
      <c r="L16" s="7">
        <v>2.78</v>
      </c>
      <c r="M16" s="7">
        <v>2.82</v>
      </c>
      <c r="N16" s="7">
        <v>2.57</v>
      </c>
      <c r="O16" s="7">
        <v>2.5099999999999998</v>
      </c>
      <c r="P16" s="7">
        <v>2.88</v>
      </c>
      <c r="Q16" s="7">
        <v>2.76</v>
      </c>
      <c r="R16" s="7">
        <v>2.56</v>
      </c>
      <c r="S16" s="7">
        <v>2.59</v>
      </c>
      <c r="T16" s="7">
        <v>2.63</v>
      </c>
      <c r="U16" s="7">
        <v>2.58</v>
      </c>
      <c r="V16" s="7">
        <v>2.77</v>
      </c>
      <c r="W16" s="7">
        <v>2.91</v>
      </c>
      <c r="X16" s="7">
        <v>2.93</v>
      </c>
      <c r="Y16" s="7">
        <v>2.91</v>
      </c>
      <c r="Z16" s="7">
        <v>2.74</v>
      </c>
      <c r="AA16" s="7">
        <v>2.85</v>
      </c>
      <c r="AB16" s="7">
        <v>2.69</v>
      </c>
      <c r="AC16" s="7">
        <v>2.67</v>
      </c>
    </row>
    <row r="17" spans="1:29" x14ac:dyDescent="0.35">
      <c r="A17" t="s">
        <v>1250</v>
      </c>
      <c r="B17" s="7">
        <v>2.96</v>
      </c>
      <c r="C17" s="7">
        <v>2.94</v>
      </c>
      <c r="D17" s="7">
        <v>2.98</v>
      </c>
      <c r="E17" s="7">
        <v>2.95</v>
      </c>
      <c r="F17" s="7">
        <v>2.96</v>
      </c>
      <c r="G17" s="7">
        <v>2.92</v>
      </c>
      <c r="H17" s="7">
        <v>2.92</v>
      </c>
      <c r="I17" s="7">
        <v>2.92</v>
      </c>
      <c r="J17" s="7">
        <v>2.94</v>
      </c>
      <c r="K17" s="7">
        <v>2.98</v>
      </c>
      <c r="L17" s="7">
        <v>3</v>
      </c>
      <c r="M17" s="7">
        <v>2.95</v>
      </c>
      <c r="N17" s="7">
        <v>2.91</v>
      </c>
      <c r="O17" s="7">
        <v>2.97</v>
      </c>
      <c r="P17" s="7">
        <v>3.03</v>
      </c>
      <c r="Q17" s="7">
        <v>2.97</v>
      </c>
      <c r="R17" s="7">
        <v>2.9</v>
      </c>
      <c r="S17" s="7">
        <v>2.92</v>
      </c>
      <c r="T17" s="7">
        <v>2.93</v>
      </c>
      <c r="U17" s="7">
        <v>2.94</v>
      </c>
      <c r="V17" s="7">
        <v>3.05</v>
      </c>
      <c r="W17" s="7">
        <v>3.09</v>
      </c>
      <c r="X17" s="7">
        <v>3.11</v>
      </c>
      <c r="Y17" s="7">
        <v>3.06</v>
      </c>
      <c r="Z17" s="7">
        <v>3</v>
      </c>
      <c r="AA17" s="7">
        <v>3.07</v>
      </c>
      <c r="AB17" s="7">
        <v>3.08</v>
      </c>
      <c r="AC17" s="7">
        <v>3.11</v>
      </c>
    </row>
    <row r="18" spans="1:29" x14ac:dyDescent="0.35">
      <c r="A18" t="s">
        <v>1245</v>
      </c>
      <c r="B18" s="7">
        <v>2.59</v>
      </c>
      <c r="C18" s="7">
        <v>2.58</v>
      </c>
      <c r="D18" s="7">
        <v>2.67</v>
      </c>
      <c r="E18" s="7">
        <v>2.68</v>
      </c>
      <c r="F18" s="7">
        <v>2.67</v>
      </c>
      <c r="G18" s="7">
        <v>2.65</v>
      </c>
      <c r="H18" s="7">
        <v>2.66</v>
      </c>
      <c r="I18" s="7">
        <v>2.65</v>
      </c>
      <c r="J18" s="7">
        <v>2.88</v>
      </c>
      <c r="K18" s="7">
        <v>2.84</v>
      </c>
      <c r="L18" s="7">
        <v>2.89</v>
      </c>
      <c r="M18" s="7">
        <v>2.87</v>
      </c>
      <c r="N18" s="7">
        <v>2.69</v>
      </c>
      <c r="O18" s="7">
        <v>2.88</v>
      </c>
      <c r="P18" s="7">
        <v>2.93</v>
      </c>
      <c r="Q18" s="7">
        <v>2.84</v>
      </c>
      <c r="R18" s="7">
        <v>2.63</v>
      </c>
      <c r="S18" s="7">
        <v>2.69</v>
      </c>
      <c r="T18" s="7">
        <v>2.75</v>
      </c>
      <c r="U18" s="7">
        <v>2.7</v>
      </c>
      <c r="V18" s="7">
        <v>2.89</v>
      </c>
      <c r="W18" s="7">
        <v>3.03</v>
      </c>
      <c r="X18" s="7">
        <v>3.06</v>
      </c>
      <c r="Y18" s="7">
        <v>3</v>
      </c>
      <c r="Z18" s="7">
        <v>2.88</v>
      </c>
      <c r="AA18" s="7">
        <v>2.96</v>
      </c>
      <c r="AB18" s="7">
        <v>2.84</v>
      </c>
      <c r="AC18" s="7">
        <v>2.92</v>
      </c>
    </row>
    <row r="19" spans="1:29" s="51" customFormat="1" x14ac:dyDescent="0.35">
      <c r="B19" s="27"/>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row>
    <row r="20" spans="1:29" x14ac:dyDescent="0.35">
      <c r="A20">
        <v>898</v>
      </c>
    </row>
    <row r="21" spans="1:29" x14ac:dyDescent="0.35">
      <c r="A21" t="s">
        <v>1239</v>
      </c>
      <c r="B21" t="s">
        <v>1255</v>
      </c>
    </row>
    <row r="22" spans="1:29" x14ac:dyDescent="0.35">
      <c r="A22" t="s">
        <v>1254</v>
      </c>
      <c r="B22" s="5">
        <v>46026</v>
      </c>
      <c r="C22" s="5">
        <v>46033</v>
      </c>
      <c r="D22" s="5">
        <v>46040</v>
      </c>
      <c r="E22" s="5">
        <v>46047</v>
      </c>
      <c r="F22" s="5">
        <v>46054</v>
      </c>
      <c r="G22" s="5">
        <v>46061</v>
      </c>
      <c r="H22" s="5">
        <v>46068</v>
      </c>
      <c r="I22" s="5">
        <v>46075</v>
      </c>
      <c r="J22" s="5">
        <v>46082</v>
      </c>
      <c r="K22" s="5">
        <v>46089</v>
      </c>
      <c r="L22" s="5">
        <v>46096</v>
      </c>
      <c r="M22" s="5">
        <v>46103</v>
      </c>
      <c r="N22" s="5">
        <v>46110</v>
      </c>
      <c r="O22" s="5">
        <v>46117</v>
      </c>
      <c r="P22" s="5">
        <v>46124</v>
      </c>
      <c r="Q22" s="5">
        <v>46131</v>
      </c>
      <c r="R22" s="5">
        <v>46138</v>
      </c>
      <c r="S22" s="5">
        <v>46145</v>
      </c>
      <c r="T22" s="5">
        <v>46152</v>
      </c>
      <c r="U22" s="5">
        <v>46159</v>
      </c>
      <c r="V22" s="5">
        <v>46166</v>
      </c>
      <c r="W22" s="5">
        <v>46173</v>
      </c>
      <c r="X22" s="5">
        <v>46180</v>
      </c>
      <c r="Y22" s="5">
        <v>46187</v>
      </c>
      <c r="Z22" s="5">
        <v>46194</v>
      </c>
      <c r="AA22" s="5">
        <v>46201</v>
      </c>
      <c r="AB22" s="5">
        <v>46208</v>
      </c>
      <c r="AC22" s="5">
        <v>46215</v>
      </c>
    </row>
    <row r="23" spans="1:29" x14ac:dyDescent="0.35">
      <c r="A23" t="s">
        <v>1241</v>
      </c>
      <c r="B23" s="6">
        <v>379311</v>
      </c>
      <c r="C23" s="6">
        <v>535640</v>
      </c>
      <c r="D23" s="6">
        <v>473648</v>
      </c>
      <c r="E23" s="6">
        <v>484800</v>
      </c>
      <c r="F23" s="6">
        <v>395065</v>
      </c>
      <c r="G23" s="6">
        <v>464481</v>
      </c>
      <c r="H23" s="6">
        <v>495002</v>
      </c>
      <c r="I23" s="6">
        <v>374060</v>
      </c>
      <c r="J23" s="6">
        <v>387206</v>
      </c>
      <c r="K23" s="6">
        <v>433419</v>
      </c>
      <c r="L23" s="6">
        <v>401183</v>
      </c>
      <c r="M23" s="6">
        <v>370342</v>
      </c>
      <c r="N23" s="25">
        <v>391506</v>
      </c>
      <c r="O23" s="6">
        <v>405167</v>
      </c>
      <c r="P23" s="6">
        <v>367096</v>
      </c>
      <c r="Q23" s="6">
        <v>374435</v>
      </c>
      <c r="R23" s="6">
        <v>366261</v>
      </c>
      <c r="S23" s="6">
        <v>367561</v>
      </c>
      <c r="T23" s="6">
        <v>382972</v>
      </c>
      <c r="U23" s="6">
        <v>390308</v>
      </c>
      <c r="V23" s="6">
        <v>365464</v>
      </c>
      <c r="W23" s="6">
        <v>357076</v>
      </c>
      <c r="X23" s="6">
        <v>403064</v>
      </c>
      <c r="Y23" s="6">
        <v>420324</v>
      </c>
      <c r="Z23" s="6">
        <v>389915</v>
      </c>
      <c r="AA23" s="6">
        <v>345446</v>
      </c>
      <c r="AB23" s="6">
        <v>336301</v>
      </c>
      <c r="AC23" s="6">
        <v>331980</v>
      </c>
    </row>
    <row r="24" spans="1:29" x14ac:dyDescent="0.35">
      <c r="A24" t="s">
        <v>1242</v>
      </c>
      <c r="B24" s="3">
        <v>0.53600000000000003</v>
      </c>
      <c r="C24" s="3">
        <v>0.81899999999999995</v>
      </c>
      <c r="D24" s="3">
        <v>0.45300000000000001</v>
      </c>
      <c r="E24" s="3">
        <v>0.38800000000000001</v>
      </c>
      <c r="F24" s="3">
        <v>0.30599999999999999</v>
      </c>
      <c r="G24" s="3">
        <v>0.36799999999999999</v>
      </c>
      <c r="H24" s="3">
        <v>0.44800000000000001</v>
      </c>
      <c r="I24" s="3">
        <v>0.14899999999999999</v>
      </c>
      <c r="J24" s="3">
        <v>0.13600000000000001</v>
      </c>
      <c r="K24" s="3">
        <v>0.19700000000000001</v>
      </c>
      <c r="L24" s="3">
        <v>0.122</v>
      </c>
      <c r="M24" s="3">
        <v>0.11600000000000001</v>
      </c>
      <c r="N24" s="26">
        <v>0.10199999999999999</v>
      </c>
      <c r="O24" s="3">
        <v>0.11799999999999999</v>
      </c>
      <c r="P24" s="3">
        <v>0.10299999999999999</v>
      </c>
      <c r="Q24" s="3">
        <v>8.7999999999999995E-2</v>
      </c>
      <c r="R24" s="3">
        <v>7.3999999999999996E-2</v>
      </c>
      <c r="S24" s="3">
        <v>8.2000000000000003E-2</v>
      </c>
      <c r="T24" s="3">
        <v>0.13400000000000001</v>
      </c>
      <c r="U24" s="3">
        <v>0.18099999999999999</v>
      </c>
      <c r="V24" s="3">
        <v>0.14199999999999999</v>
      </c>
      <c r="W24" s="3">
        <v>0.17299999999999999</v>
      </c>
      <c r="X24" s="3">
        <v>0.222</v>
      </c>
      <c r="Y24" s="3">
        <v>0.22800000000000001</v>
      </c>
      <c r="Z24" s="3">
        <v>0.152</v>
      </c>
      <c r="AA24" s="3">
        <v>0.14199999999999999</v>
      </c>
      <c r="AB24" s="3">
        <v>0.11</v>
      </c>
      <c r="AC24" s="3">
        <v>9.9000000000000005E-2</v>
      </c>
    </row>
    <row r="25" spans="1:29" x14ac:dyDescent="0.35">
      <c r="A25" t="s">
        <v>1243</v>
      </c>
      <c r="B25" s="6">
        <v>132312</v>
      </c>
      <c r="C25" s="6">
        <v>241139</v>
      </c>
      <c r="D25" s="6">
        <v>147637</v>
      </c>
      <c r="E25" s="6">
        <v>135583</v>
      </c>
      <c r="F25" s="6">
        <v>92544</v>
      </c>
      <c r="G25" s="16">
        <v>124838</v>
      </c>
      <c r="H25" s="16">
        <v>153124</v>
      </c>
      <c r="I25" s="6">
        <v>48481</v>
      </c>
      <c r="J25" s="6">
        <v>46346</v>
      </c>
      <c r="K25" s="16">
        <v>71475</v>
      </c>
      <c r="L25" s="16">
        <v>43582</v>
      </c>
      <c r="M25" s="16">
        <v>38359</v>
      </c>
      <c r="N25" s="25">
        <v>36246</v>
      </c>
      <c r="O25" s="6">
        <v>42645</v>
      </c>
      <c r="P25" s="6">
        <v>34324</v>
      </c>
      <c r="Q25" s="6">
        <v>30408</v>
      </c>
      <c r="R25" s="6">
        <v>25199</v>
      </c>
      <c r="S25" s="6">
        <v>27806</v>
      </c>
      <c r="T25" s="6">
        <v>45339</v>
      </c>
      <c r="U25" s="6">
        <v>59938</v>
      </c>
      <c r="V25" s="6">
        <v>45370</v>
      </c>
      <c r="W25" s="6">
        <v>52673</v>
      </c>
      <c r="X25" s="6">
        <v>73208</v>
      </c>
      <c r="Y25" s="6">
        <v>78179</v>
      </c>
      <c r="Z25" s="6">
        <v>51316</v>
      </c>
      <c r="AA25" s="6">
        <v>42864</v>
      </c>
      <c r="AB25" s="6">
        <v>33305</v>
      </c>
      <c r="AC25" s="6">
        <v>29821</v>
      </c>
    </row>
    <row r="26" spans="1:29" x14ac:dyDescent="0.35">
      <c r="A26" t="s">
        <v>1244</v>
      </c>
      <c r="B26" s="6">
        <v>247000</v>
      </c>
      <c r="C26" s="6">
        <v>294501</v>
      </c>
      <c r="D26" s="6">
        <v>326011</v>
      </c>
      <c r="E26" s="6">
        <v>349217</v>
      </c>
      <c r="F26" s="6">
        <v>302521</v>
      </c>
      <c r="G26" s="6">
        <v>339643</v>
      </c>
      <c r="H26" s="6">
        <v>341878</v>
      </c>
      <c r="I26" s="6">
        <v>325579</v>
      </c>
      <c r="J26" s="6">
        <v>340860</v>
      </c>
      <c r="K26" s="6">
        <v>361944</v>
      </c>
      <c r="L26" s="6">
        <v>357601</v>
      </c>
      <c r="M26" s="6">
        <v>331983</v>
      </c>
      <c r="N26" s="25">
        <v>355260</v>
      </c>
      <c r="O26" s="6">
        <v>362522</v>
      </c>
      <c r="P26" s="6">
        <v>332772</v>
      </c>
      <c r="Q26" s="6">
        <v>344027</v>
      </c>
      <c r="R26" s="6">
        <v>341063</v>
      </c>
      <c r="S26" s="6">
        <v>339755</v>
      </c>
      <c r="T26" s="6">
        <v>337633</v>
      </c>
      <c r="U26" s="6">
        <v>330369</v>
      </c>
      <c r="V26" s="6">
        <v>320095</v>
      </c>
      <c r="W26" s="6">
        <v>304403</v>
      </c>
      <c r="X26" s="6">
        <v>329857</v>
      </c>
      <c r="Y26" s="6">
        <v>342145</v>
      </c>
      <c r="Z26" s="6">
        <v>338599</v>
      </c>
      <c r="AA26" s="6">
        <v>302583</v>
      </c>
      <c r="AB26" s="6">
        <v>302996</v>
      </c>
      <c r="AC26" s="6">
        <v>302159</v>
      </c>
    </row>
    <row r="27" spans="1:29" x14ac:dyDescent="0.35">
      <c r="A27" t="s">
        <v>1245</v>
      </c>
      <c r="B27" s="7">
        <v>8.6999999999999993</v>
      </c>
      <c r="C27" s="7">
        <v>8.36</v>
      </c>
      <c r="D27" s="7">
        <v>8.86</v>
      </c>
      <c r="E27" s="7">
        <v>8.9</v>
      </c>
      <c r="F27" s="7">
        <v>8.9600000000000009</v>
      </c>
      <c r="G27" s="7">
        <v>8.8699999999999992</v>
      </c>
      <c r="H27" s="7">
        <v>8.85</v>
      </c>
      <c r="I27" s="7">
        <v>9.1199999999999992</v>
      </c>
      <c r="J27" s="7">
        <v>9.11</v>
      </c>
      <c r="K27" s="7">
        <v>8.8800000000000008</v>
      </c>
      <c r="L27" s="7">
        <v>9.09</v>
      </c>
      <c r="M27" s="7">
        <v>9.07</v>
      </c>
      <c r="N27" s="27">
        <v>9.31</v>
      </c>
      <c r="O27" s="7">
        <v>9.1999999999999993</v>
      </c>
      <c r="P27" s="7">
        <v>9.2100000000000009</v>
      </c>
      <c r="Q27" s="7">
        <v>9.26</v>
      </c>
      <c r="R27" s="7">
        <v>9.2799999999999994</v>
      </c>
      <c r="S27" s="7">
        <v>9.27</v>
      </c>
      <c r="T27" s="7">
        <v>9.02</v>
      </c>
      <c r="U27" s="7">
        <v>8.93</v>
      </c>
      <c r="V27" s="7">
        <v>9</v>
      </c>
      <c r="W27" s="7">
        <v>9.01</v>
      </c>
      <c r="X27" s="7">
        <v>8.94</v>
      </c>
      <c r="Y27" s="7">
        <v>8.9600000000000009</v>
      </c>
      <c r="Z27" s="7">
        <v>9.19</v>
      </c>
      <c r="AA27" s="7">
        <v>9.1300000000000008</v>
      </c>
      <c r="AB27" s="7">
        <v>9.2200000000000006</v>
      </c>
      <c r="AC27" s="7">
        <v>9.3000000000000007</v>
      </c>
    </row>
    <row r="28" spans="1:29" x14ac:dyDescent="0.35">
      <c r="G28" s="6">
        <f>SUM(G26:H26)</f>
        <v>681521</v>
      </c>
      <c r="K28" s="25">
        <f>SUM(K26:M26)</f>
        <v>1051528</v>
      </c>
      <c r="L28" s="25">
        <f>SUM(K25:M25)</f>
        <v>153416</v>
      </c>
      <c r="M28" s="24">
        <f>L28/K28</f>
        <v>0.14589815963055666</v>
      </c>
    </row>
    <row r="29" spans="1:29" x14ac:dyDescent="0.35">
      <c r="G29" s="6">
        <f>SUM(G25:H25)</f>
        <v>277962</v>
      </c>
      <c r="H29">
        <f>G29/G28</f>
        <v>0.40785537056084847</v>
      </c>
    </row>
    <row r="30" spans="1:29" x14ac:dyDescent="0.35">
      <c r="A30" t="s">
        <v>1254</v>
      </c>
      <c r="B30" s="5">
        <v>46026</v>
      </c>
      <c r="C30" s="5">
        <v>46033</v>
      </c>
      <c r="D30" s="5">
        <v>46040</v>
      </c>
      <c r="E30" s="5">
        <v>46047</v>
      </c>
      <c r="F30" s="5">
        <v>46054</v>
      </c>
      <c r="G30" s="5">
        <v>46061</v>
      </c>
      <c r="H30" s="5">
        <v>46068</v>
      </c>
      <c r="I30" s="5">
        <v>46075</v>
      </c>
      <c r="J30" s="5">
        <v>46082</v>
      </c>
      <c r="K30" s="5">
        <v>46089</v>
      </c>
      <c r="L30" s="5">
        <v>46096</v>
      </c>
      <c r="M30" s="5">
        <v>46103</v>
      </c>
      <c r="N30" s="5">
        <v>46110</v>
      </c>
      <c r="O30" s="5">
        <v>46117</v>
      </c>
      <c r="P30" s="5">
        <v>46124</v>
      </c>
      <c r="Q30" s="5">
        <v>46131</v>
      </c>
      <c r="R30" s="5">
        <v>46138</v>
      </c>
      <c r="S30" s="5">
        <v>46145</v>
      </c>
      <c r="T30" s="5">
        <v>46152</v>
      </c>
      <c r="U30" s="5">
        <v>46159</v>
      </c>
      <c r="V30" s="5">
        <v>46166</v>
      </c>
      <c r="W30" s="5">
        <v>46173</v>
      </c>
      <c r="X30" s="5">
        <v>46180</v>
      </c>
      <c r="Y30" s="5">
        <v>46187</v>
      </c>
      <c r="Z30" s="5">
        <v>46194</v>
      </c>
      <c r="AA30" s="5">
        <v>46201</v>
      </c>
      <c r="AB30" s="5">
        <v>46208</v>
      </c>
      <c r="AC30" s="5">
        <v>46215</v>
      </c>
    </row>
    <row r="31" spans="1:29" x14ac:dyDescent="0.35">
      <c r="A31" t="s">
        <v>1242</v>
      </c>
      <c r="B31" s="3">
        <v>0.53600000000000003</v>
      </c>
      <c r="C31" s="3">
        <v>0.81899999999999995</v>
      </c>
      <c r="D31" s="3">
        <v>0.45300000000000001</v>
      </c>
      <c r="E31" s="3">
        <v>0.38800000000000001</v>
      </c>
      <c r="F31" s="3">
        <v>0.30599999999999999</v>
      </c>
      <c r="G31" s="3">
        <v>0.36799999999999999</v>
      </c>
      <c r="H31" s="3">
        <v>0.44800000000000001</v>
      </c>
      <c r="I31" s="3">
        <v>0.14899999999999999</v>
      </c>
      <c r="J31" s="3">
        <v>0.13600000000000001</v>
      </c>
      <c r="K31" s="3">
        <v>0.19700000000000001</v>
      </c>
      <c r="L31" s="3">
        <v>0.122</v>
      </c>
      <c r="M31" s="3">
        <v>0.11600000000000001</v>
      </c>
      <c r="N31" s="26">
        <v>0.10199999999999999</v>
      </c>
      <c r="O31" s="3">
        <v>0.11799999999999999</v>
      </c>
      <c r="P31" s="3">
        <v>0.10299999999999999</v>
      </c>
      <c r="Q31" s="3">
        <v>8.7999999999999995E-2</v>
      </c>
      <c r="R31" s="3">
        <v>7.3999999999999996E-2</v>
      </c>
      <c r="S31" s="3">
        <v>8.2000000000000003E-2</v>
      </c>
      <c r="T31" s="3">
        <v>0.13400000000000001</v>
      </c>
      <c r="U31" s="3">
        <v>0.18099999999999999</v>
      </c>
      <c r="V31" s="3">
        <v>0.14199999999999999</v>
      </c>
      <c r="W31" s="3">
        <v>0.17299999999999999</v>
      </c>
      <c r="X31" s="3">
        <v>0.222</v>
      </c>
      <c r="Y31" s="3">
        <v>0.22800000000000001</v>
      </c>
      <c r="Z31" s="3">
        <v>0.152</v>
      </c>
      <c r="AA31" s="3">
        <v>0.14199999999999999</v>
      </c>
      <c r="AB31" s="3">
        <v>0.11</v>
      </c>
      <c r="AC31" s="3">
        <v>9.9000000000000005E-2</v>
      </c>
    </row>
    <row r="32" spans="1:29" x14ac:dyDescent="0.35">
      <c r="A32" t="s">
        <v>1247</v>
      </c>
      <c r="B32" s="3">
        <v>0.08</v>
      </c>
      <c r="C32" s="3">
        <v>0.115</v>
      </c>
      <c r="D32" s="3">
        <v>0.06</v>
      </c>
      <c r="E32" s="3">
        <v>5.0999999999999997E-2</v>
      </c>
      <c r="F32" s="3">
        <v>5.6000000000000001E-2</v>
      </c>
      <c r="G32" s="3">
        <v>5.8999999999999997E-2</v>
      </c>
      <c r="H32" s="3">
        <v>5.8000000000000003E-2</v>
      </c>
      <c r="I32" s="3">
        <v>3.4000000000000002E-2</v>
      </c>
      <c r="J32" s="3">
        <v>2.9000000000000001E-2</v>
      </c>
      <c r="K32" s="23">
        <v>4.4999999999999998E-2</v>
      </c>
      <c r="L32" s="23">
        <v>1.9E-2</v>
      </c>
      <c r="M32" s="23">
        <v>4.2000000000000003E-2</v>
      </c>
      <c r="N32" s="26">
        <v>8.0000000000000002E-3</v>
      </c>
      <c r="O32" s="3">
        <v>3.3000000000000002E-2</v>
      </c>
      <c r="P32" s="3">
        <v>4.3999999999999997E-2</v>
      </c>
      <c r="Q32" s="3">
        <v>4.2999999999999997E-2</v>
      </c>
      <c r="R32" s="3">
        <v>4.7E-2</v>
      </c>
      <c r="S32" s="3">
        <v>0.04</v>
      </c>
      <c r="T32" s="3">
        <v>7.8E-2</v>
      </c>
      <c r="U32" s="3">
        <v>6.6000000000000003E-2</v>
      </c>
      <c r="V32" s="3">
        <v>8.1000000000000003E-2</v>
      </c>
      <c r="W32" s="3">
        <v>7.1999999999999995E-2</v>
      </c>
      <c r="X32" s="3">
        <v>0.09</v>
      </c>
      <c r="Y32" s="3">
        <v>6.8000000000000005E-2</v>
      </c>
      <c r="Z32" s="3">
        <v>5.0999999999999997E-2</v>
      </c>
      <c r="AA32" s="3">
        <v>6.8000000000000005E-2</v>
      </c>
      <c r="AB32" s="3">
        <v>3.5000000000000003E-2</v>
      </c>
      <c r="AC32" s="3">
        <v>4.5999999999999999E-2</v>
      </c>
    </row>
    <row r="33" spans="1:29" x14ac:dyDescent="0.35">
      <c r="A33" t="s">
        <v>1248</v>
      </c>
      <c r="B33" s="7">
        <v>0.73</v>
      </c>
      <c r="C33" s="7">
        <v>1.05</v>
      </c>
      <c r="D33" s="7">
        <v>0.55000000000000004</v>
      </c>
      <c r="E33" s="7">
        <v>0.47</v>
      </c>
      <c r="F33" s="7">
        <v>0.51</v>
      </c>
      <c r="G33" s="17">
        <v>0.54</v>
      </c>
      <c r="H33" s="17">
        <v>0.53</v>
      </c>
      <c r="I33" s="7">
        <v>0.32</v>
      </c>
      <c r="J33" s="7">
        <v>0.27</v>
      </c>
      <c r="K33" s="7">
        <v>0.41</v>
      </c>
      <c r="L33" s="7">
        <v>0.17</v>
      </c>
      <c r="M33" s="7">
        <v>0.39</v>
      </c>
      <c r="N33" s="27">
        <v>7.0000000000000007E-2</v>
      </c>
      <c r="O33" s="7">
        <v>0.31</v>
      </c>
      <c r="P33" s="7">
        <v>0.41</v>
      </c>
      <c r="Q33" s="7">
        <v>0.4</v>
      </c>
      <c r="R33" s="7">
        <v>0.44</v>
      </c>
      <c r="S33" s="7">
        <v>0.38</v>
      </c>
      <c r="T33" s="7">
        <v>0.72</v>
      </c>
      <c r="U33" s="7">
        <v>0.61</v>
      </c>
      <c r="V33" s="7">
        <v>0.75</v>
      </c>
      <c r="W33" s="7">
        <v>0.67</v>
      </c>
      <c r="X33" s="7">
        <v>0.84</v>
      </c>
      <c r="Y33" s="7">
        <v>0.63</v>
      </c>
      <c r="Z33" s="7">
        <v>0.47</v>
      </c>
      <c r="AA33" s="7">
        <v>0.63</v>
      </c>
      <c r="AB33" s="7">
        <v>0.33</v>
      </c>
      <c r="AC33" s="7">
        <v>0.44</v>
      </c>
    </row>
    <row r="34" spans="1:29" x14ac:dyDescent="0.35">
      <c r="A34" t="s">
        <v>1249</v>
      </c>
      <c r="B34" s="7">
        <v>8.41</v>
      </c>
      <c r="C34" s="7">
        <v>8.1</v>
      </c>
      <c r="D34" s="7">
        <v>8.61</v>
      </c>
      <c r="E34" s="7">
        <v>8.67</v>
      </c>
      <c r="F34" s="7">
        <v>8.68</v>
      </c>
      <c r="G34" s="17">
        <v>8.61</v>
      </c>
      <c r="H34" s="17">
        <v>8.6199999999999992</v>
      </c>
      <c r="I34" s="7">
        <v>8.91</v>
      </c>
      <c r="J34" s="7">
        <v>8.9499999999999993</v>
      </c>
      <c r="K34" s="7">
        <v>8.74</v>
      </c>
      <c r="L34" s="7">
        <v>8.99</v>
      </c>
      <c r="M34" s="7">
        <v>8.82</v>
      </c>
      <c r="N34" s="27">
        <v>9.2899999999999991</v>
      </c>
      <c r="O34" s="7">
        <v>9</v>
      </c>
      <c r="P34" s="7">
        <v>8.9</v>
      </c>
      <c r="Q34" s="7">
        <v>8.94</v>
      </c>
      <c r="R34" s="7">
        <v>8.9</v>
      </c>
      <c r="S34" s="7">
        <v>8.9700000000000006</v>
      </c>
      <c r="T34" s="7">
        <v>8.5299999999999994</v>
      </c>
      <c r="U34" s="7">
        <v>8.6</v>
      </c>
      <c r="V34" s="7">
        <v>8.49</v>
      </c>
      <c r="W34" s="7">
        <v>8.61</v>
      </c>
      <c r="X34" s="7">
        <v>8.4700000000000006</v>
      </c>
      <c r="Y34" s="7">
        <v>8.6300000000000008</v>
      </c>
      <c r="Z34" s="7">
        <v>8.89</v>
      </c>
      <c r="AA34" s="7">
        <v>8.74</v>
      </c>
      <c r="AB34" s="7">
        <v>9.02</v>
      </c>
      <c r="AC34" s="7">
        <v>8.9700000000000006</v>
      </c>
    </row>
    <row r="35" spans="1:29" x14ac:dyDescent="0.35">
      <c r="A35" t="s">
        <v>1250</v>
      </c>
      <c r="B35" s="7">
        <v>9.14</v>
      </c>
      <c r="C35" s="7">
        <v>9.15</v>
      </c>
      <c r="D35" s="7">
        <v>9.16</v>
      </c>
      <c r="E35" s="7">
        <v>9.14</v>
      </c>
      <c r="F35" s="7">
        <v>9.19</v>
      </c>
      <c r="G35" s="7">
        <v>9.15</v>
      </c>
      <c r="H35" s="7">
        <v>9.14</v>
      </c>
      <c r="I35" s="7">
        <v>9.23</v>
      </c>
      <c r="J35" s="7">
        <v>9.2200000000000006</v>
      </c>
      <c r="K35" s="7">
        <v>9.15</v>
      </c>
      <c r="L35" s="7">
        <v>9.16</v>
      </c>
      <c r="M35" s="7">
        <v>9.2100000000000009</v>
      </c>
      <c r="N35" s="7">
        <v>9.36</v>
      </c>
      <c r="O35" s="7">
        <v>9.31</v>
      </c>
      <c r="P35" s="7">
        <v>9.31</v>
      </c>
      <c r="Q35" s="7">
        <v>9.34</v>
      </c>
      <c r="R35" s="7">
        <v>9.34</v>
      </c>
      <c r="S35" s="7">
        <v>9.34</v>
      </c>
      <c r="T35" s="7">
        <v>9.25</v>
      </c>
      <c r="U35" s="7">
        <v>9.2100000000000009</v>
      </c>
      <c r="V35" s="7">
        <v>9.24</v>
      </c>
      <c r="W35" s="7">
        <v>9.27</v>
      </c>
      <c r="X35" s="7">
        <v>9.3000000000000007</v>
      </c>
      <c r="Y35" s="7">
        <v>9.26</v>
      </c>
      <c r="Z35" s="7">
        <v>9.3699999999999992</v>
      </c>
      <c r="AA35" s="7">
        <v>9.3699999999999992</v>
      </c>
      <c r="AB35" s="7">
        <v>9.35</v>
      </c>
      <c r="AC35" s="7">
        <v>9.4</v>
      </c>
    </row>
    <row r="36" spans="1:29" x14ac:dyDescent="0.35">
      <c r="A36" t="s">
        <v>1245</v>
      </c>
      <c r="B36" s="7">
        <v>8.6999999999999993</v>
      </c>
      <c r="C36" s="7">
        <v>8.36</v>
      </c>
      <c r="D36" s="7">
        <v>8.86</v>
      </c>
      <c r="E36" s="7">
        <v>8.9</v>
      </c>
      <c r="F36" s="7">
        <v>8.9600000000000009</v>
      </c>
      <c r="G36" s="7">
        <v>8.8699999999999992</v>
      </c>
      <c r="H36" s="7">
        <v>8.85</v>
      </c>
      <c r="I36" s="7">
        <v>9.1199999999999992</v>
      </c>
      <c r="J36" s="7">
        <v>9.11</v>
      </c>
      <c r="K36" s="7">
        <v>8.8800000000000008</v>
      </c>
      <c r="L36" s="7">
        <v>9.09</v>
      </c>
      <c r="M36" s="7">
        <v>9.07</v>
      </c>
      <c r="N36" s="7">
        <v>9.31</v>
      </c>
      <c r="O36" s="7">
        <v>9.1999999999999993</v>
      </c>
      <c r="P36" s="7">
        <v>9.2100000000000009</v>
      </c>
      <c r="Q36" s="7">
        <v>9.26</v>
      </c>
      <c r="R36" s="7">
        <v>9.2799999999999994</v>
      </c>
      <c r="S36" s="7">
        <v>9.27</v>
      </c>
      <c r="T36" s="7">
        <v>9.02</v>
      </c>
      <c r="U36" s="7">
        <v>8.93</v>
      </c>
      <c r="V36" s="7">
        <v>9</v>
      </c>
      <c r="W36" s="7">
        <v>9.01</v>
      </c>
      <c r="X36" s="7">
        <v>8.94</v>
      </c>
      <c r="Y36" s="7">
        <v>8.9600000000000009</v>
      </c>
      <c r="Z36" s="7">
        <v>9.19</v>
      </c>
      <c r="AA36" s="7">
        <v>9.1300000000000008</v>
      </c>
      <c r="AB36" s="7">
        <v>9.2200000000000006</v>
      </c>
      <c r="AC36" s="7">
        <v>9.3000000000000007</v>
      </c>
    </row>
    <row r="38" spans="1:29" x14ac:dyDescent="0.35">
      <c r="A38" s="22">
        <v>899</v>
      </c>
    </row>
    <row r="39" spans="1:29" x14ac:dyDescent="0.35">
      <c r="A39" t="s">
        <v>1258</v>
      </c>
    </row>
    <row r="41" spans="1:29" x14ac:dyDescent="0.35">
      <c r="A41" s="28">
        <v>1422</v>
      </c>
      <c r="I41" s="42">
        <v>1422</v>
      </c>
      <c r="J41" s="42">
        <v>1434</v>
      </c>
      <c r="K41" s="43">
        <v>1435</v>
      </c>
    </row>
    <row r="42" spans="1:29" x14ac:dyDescent="0.35">
      <c r="A42" t="s">
        <v>1259</v>
      </c>
    </row>
    <row r="43" spans="1:29" x14ac:dyDescent="0.35">
      <c r="A43" t="s">
        <v>1254</v>
      </c>
      <c r="B43" s="5">
        <v>46026</v>
      </c>
      <c r="C43" s="5">
        <v>46033</v>
      </c>
      <c r="D43" s="5">
        <v>46040</v>
      </c>
      <c r="E43" s="5">
        <v>46047</v>
      </c>
      <c r="F43" s="5">
        <v>46054</v>
      </c>
      <c r="G43" s="5">
        <v>46061</v>
      </c>
      <c r="H43" s="5">
        <v>46068</v>
      </c>
      <c r="I43" s="5">
        <v>46075</v>
      </c>
      <c r="J43" s="5">
        <v>46082</v>
      </c>
      <c r="K43" s="5">
        <v>46089</v>
      </c>
      <c r="L43" s="5">
        <v>46096</v>
      </c>
      <c r="M43" s="5">
        <v>46103</v>
      </c>
      <c r="N43" s="5">
        <v>46110</v>
      </c>
      <c r="O43" s="5">
        <v>46117</v>
      </c>
      <c r="P43" s="5">
        <v>46124</v>
      </c>
      <c r="Q43" s="5">
        <v>46131</v>
      </c>
      <c r="R43" s="5">
        <v>46138</v>
      </c>
      <c r="S43" s="5">
        <v>46145</v>
      </c>
      <c r="T43" s="5">
        <v>46152</v>
      </c>
      <c r="U43" s="5">
        <v>46159</v>
      </c>
      <c r="V43" s="5">
        <v>46166</v>
      </c>
      <c r="W43" s="5">
        <v>46173</v>
      </c>
      <c r="X43" s="5">
        <v>46180</v>
      </c>
      <c r="Y43" s="5">
        <v>46187</v>
      </c>
      <c r="Z43" s="5">
        <v>46194</v>
      </c>
      <c r="AA43" s="5">
        <v>46201</v>
      </c>
      <c r="AB43" s="5">
        <v>46208</v>
      </c>
      <c r="AC43" s="5">
        <v>46215</v>
      </c>
    </row>
    <row r="44" spans="1:29" x14ac:dyDescent="0.35">
      <c r="A44" t="s">
        <v>1241</v>
      </c>
      <c r="B44">
        <v>980</v>
      </c>
      <c r="C44">
        <v>972</v>
      </c>
      <c r="D44" s="6">
        <v>1089</v>
      </c>
      <c r="E44" s="6">
        <v>1008</v>
      </c>
      <c r="F44">
        <v>932</v>
      </c>
      <c r="G44" s="6">
        <v>1082</v>
      </c>
      <c r="H44" s="6">
        <v>1180</v>
      </c>
      <c r="I44" s="6">
        <v>1069</v>
      </c>
      <c r="J44" s="6">
        <v>1093</v>
      </c>
      <c r="K44">
        <v>972</v>
      </c>
      <c r="L44">
        <v>836</v>
      </c>
      <c r="M44">
        <v>790</v>
      </c>
      <c r="N44">
        <v>864</v>
      </c>
      <c r="O44">
        <v>708</v>
      </c>
      <c r="P44">
        <v>844</v>
      </c>
      <c r="Q44">
        <v>823</v>
      </c>
      <c r="R44">
        <v>901</v>
      </c>
      <c r="S44" s="6">
        <v>1386</v>
      </c>
      <c r="T44" s="6">
        <v>1244</v>
      </c>
      <c r="U44" s="6">
        <v>1200</v>
      </c>
      <c r="V44" s="6">
        <v>1041</v>
      </c>
      <c r="W44">
        <v>741</v>
      </c>
      <c r="X44">
        <v>749</v>
      </c>
      <c r="Y44">
        <v>768</v>
      </c>
      <c r="Z44">
        <v>720</v>
      </c>
      <c r="AA44">
        <v>856</v>
      </c>
      <c r="AB44">
        <v>724</v>
      </c>
      <c r="AC44">
        <v>811</v>
      </c>
    </row>
    <row r="45" spans="1:29" x14ac:dyDescent="0.35">
      <c r="A45" t="s">
        <v>1242</v>
      </c>
      <c r="B45" s="3">
        <v>0.12</v>
      </c>
      <c r="C45" s="3">
        <v>8.8999999999999996E-2</v>
      </c>
      <c r="D45" s="3">
        <v>0.18</v>
      </c>
      <c r="E45" s="3">
        <v>6.2E-2</v>
      </c>
      <c r="F45" s="3">
        <v>0.20699999999999999</v>
      </c>
      <c r="G45" s="3">
        <v>0.28199999999999997</v>
      </c>
      <c r="H45" s="3">
        <v>0.28000000000000003</v>
      </c>
      <c r="I45" s="3">
        <v>0.25700000000000001</v>
      </c>
      <c r="J45" s="3">
        <v>0.26200000000000001</v>
      </c>
      <c r="K45" s="3">
        <v>0.34</v>
      </c>
      <c r="L45" s="3">
        <v>0.14000000000000001</v>
      </c>
      <c r="M45" s="3">
        <v>0.219</v>
      </c>
      <c r="N45" s="3">
        <v>0.308</v>
      </c>
      <c r="O45" s="3">
        <v>8.7999999999999995E-2</v>
      </c>
      <c r="P45" s="3">
        <v>3.1E-2</v>
      </c>
      <c r="Q45" s="3">
        <v>8.0000000000000002E-3</v>
      </c>
      <c r="R45" s="3">
        <v>2.7E-2</v>
      </c>
      <c r="S45" s="3">
        <v>0.57499999999999996</v>
      </c>
      <c r="T45" s="3">
        <v>0.51900000000000002</v>
      </c>
      <c r="U45" s="3">
        <v>0.53</v>
      </c>
      <c r="V45" s="3">
        <v>0.38</v>
      </c>
      <c r="W45" s="3">
        <v>0.02</v>
      </c>
      <c r="X45" s="3">
        <v>2.3E-2</v>
      </c>
      <c r="Y45" s="3">
        <v>1.2999999999999999E-2</v>
      </c>
      <c r="Z45" s="3">
        <v>2.1000000000000001E-2</v>
      </c>
      <c r="AA45" s="3">
        <v>0.29699999999999999</v>
      </c>
      <c r="AB45" s="3">
        <v>0.24399999999999999</v>
      </c>
      <c r="AC45" s="3">
        <v>0.32300000000000001</v>
      </c>
    </row>
    <row r="46" spans="1:29" x14ac:dyDescent="0.35">
      <c r="A46" t="s">
        <v>1243</v>
      </c>
      <c r="B46">
        <v>105</v>
      </c>
      <c r="C46">
        <v>79</v>
      </c>
      <c r="D46">
        <v>166</v>
      </c>
      <c r="E46">
        <v>59</v>
      </c>
      <c r="F46">
        <v>160</v>
      </c>
      <c r="G46" s="29">
        <v>238</v>
      </c>
      <c r="H46" s="29">
        <v>258</v>
      </c>
      <c r="I46" s="29">
        <v>219</v>
      </c>
      <c r="J46" s="29">
        <v>227</v>
      </c>
      <c r="K46" s="30">
        <v>247</v>
      </c>
      <c r="L46" s="30">
        <v>102</v>
      </c>
      <c r="M46" s="30">
        <v>142</v>
      </c>
      <c r="N46" s="30">
        <v>203</v>
      </c>
      <c r="O46" s="33">
        <v>58</v>
      </c>
      <c r="P46" s="33">
        <v>25</v>
      </c>
      <c r="Q46" s="36">
        <v>6</v>
      </c>
      <c r="R46" s="36">
        <v>24</v>
      </c>
      <c r="S46" s="30">
        <v>506</v>
      </c>
      <c r="T46" s="30">
        <v>425</v>
      </c>
      <c r="U46" s="30">
        <v>416</v>
      </c>
      <c r="V46" s="30">
        <v>287</v>
      </c>
      <c r="W46">
        <v>15</v>
      </c>
      <c r="X46">
        <v>17</v>
      </c>
      <c r="Y46">
        <v>10</v>
      </c>
      <c r="Z46">
        <v>15</v>
      </c>
      <c r="AA46">
        <v>196</v>
      </c>
      <c r="AB46">
        <v>142</v>
      </c>
      <c r="AC46">
        <v>198</v>
      </c>
    </row>
    <row r="47" spans="1:29" x14ac:dyDescent="0.35">
      <c r="A47" t="s">
        <v>1244</v>
      </c>
      <c r="B47">
        <v>875</v>
      </c>
      <c r="C47">
        <v>893</v>
      </c>
      <c r="D47">
        <v>923</v>
      </c>
      <c r="E47">
        <v>949</v>
      </c>
      <c r="F47">
        <v>772</v>
      </c>
      <c r="G47">
        <v>844</v>
      </c>
      <c r="H47">
        <v>922</v>
      </c>
      <c r="I47">
        <v>850</v>
      </c>
      <c r="J47">
        <v>866</v>
      </c>
      <c r="K47">
        <v>725</v>
      </c>
      <c r="L47">
        <v>734</v>
      </c>
      <c r="M47">
        <v>648</v>
      </c>
      <c r="N47">
        <v>661</v>
      </c>
      <c r="O47">
        <v>651</v>
      </c>
      <c r="P47">
        <v>819</v>
      </c>
      <c r="Q47">
        <v>817</v>
      </c>
      <c r="R47">
        <v>877</v>
      </c>
      <c r="S47">
        <v>880</v>
      </c>
      <c r="T47">
        <v>819</v>
      </c>
      <c r="U47">
        <v>784</v>
      </c>
      <c r="V47">
        <v>754</v>
      </c>
      <c r="W47">
        <v>727</v>
      </c>
      <c r="X47">
        <v>732</v>
      </c>
      <c r="Y47">
        <v>758</v>
      </c>
      <c r="Z47">
        <v>706</v>
      </c>
      <c r="AA47">
        <v>660</v>
      </c>
      <c r="AB47">
        <v>582</v>
      </c>
      <c r="AC47">
        <v>613</v>
      </c>
    </row>
    <row r="48" spans="1:29" x14ac:dyDescent="0.35">
      <c r="A48" t="s">
        <v>1245</v>
      </c>
      <c r="B48" s="7">
        <v>10.28</v>
      </c>
      <c r="C48" s="7">
        <v>10.28</v>
      </c>
      <c r="D48" s="7">
        <v>10.14</v>
      </c>
      <c r="E48" s="7">
        <v>10.49</v>
      </c>
      <c r="F48" s="7">
        <v>10</v>
      </c>
      <c r="G48" s="7">
        <v>10</v>
      </c>
      <c r="H48" s="7">
        <v>9.66</v>
      </c>
      <c r="I48" s="7">
        <v>9.6999999999999993</v>
      </c>
      <c r="J48" s="7">
        <v>9.6</v>
      </c>
      <c r="K48" s="7">
        <v>9.93</v>
      </c>
      <c r="L48" s="7">
        <v>9.93</v>
      </c>
      <c r="M48" s="7">
        <v>9.7899999999999991</v>
      </c>
      <c r="N48" s="7">
        <v>9.66</v>
      </c>
      <c r="O48" s="7">
        <v>10.25</v>
      </c>
      <c r="P48" s="7">
        <v>10.6</v>
      </c>
      <c r="Q48" s="7">
        <v>10.64</v>
      </c>
      <c r="R48" s="7">
        <v>10.73</v>
      </c>
      <c r="S48" s="7">
        <v>8.6999999999999993</v>
      </c>
      <c r="T48" s="7">
        <v>8.75</v>
      </c>
      <c r="U48" s="7">
        <v>8.7799999999999994</v>
      </c>
      <c r="V48" s="7">
        <v>8.82</v>
      </c>
      <c r="W48" s="7">
        <v>10.85</v>
      </c>
      <c r="X48" s="7">
        <v>10.83</v>
      </c>
      <c r="Y48" s="7">
        <v>10.98</v>
      </c>
      <c r="Z48" s="7">
        <v>10.91</v>
      </c>
      <c r="AA48" s="7">
        <v>9.81</v>
      </c>
      <c r="AB48" s="7">
        <v>10.029999999999999</v>
      </c>
      <c r="AC48" s="7">
        <v>9.9700000000000006</v>
      </c>
    </row>
    <row r="49" spans="1:29" x14ac:dyDescent="0.35">
      <c r="G49">
        <f>SUM(G47:J47)</f>
        <v>3482</v>
      </c>
      <c r="H49">
        <f>SUM(G46:J46)</f>
        <v>942</v>
      </c>
      <c r="I49" s="11">
        <f>H49/G49</f>
        <v>0.27053417576105687</v>
      </c>
      <c r="K49">
        <f>SUM(K47:N47)</f>
        <v>2768</v>
      </c>
      <c r="L49">
        <f>SUM(K46:N46)</f>
        <v>694</v>
      </c>
      <c r="M49" s="11">
        <f>L49/K49</f>
        <v>0.25072254335260113</v>
      </c>
      <c r="O49">
        <f>SUM(O47:P47)</f>
        <v>1470</v>
      </c>
      <c r="P49">
        <f>SUM(O46:P46)</f>
        <v>83</v>
      </c>
      <c r="S49">
        <f>SUM(S47:V47)</f>
        <v>3237</v>
      </c>
      <c r="T49">
        <f>SUM(S46:V46)</f>
        <v>1634</v>
      </c>
    </row>
    <row r="50" spans="1:29" x14ac:dyDescent="0.35">
      <c r="A50" t="s">
        <v>1254</v>
      </c>
      <c r="B50" s="5">
        <v>46026</v>
      </c>
      <c r="C50" s="5">
        <v>46033</v>
      </c>
      <c r="D50" s="5">
        <v>46040</v>
      </c>
      <c r="E50" s="5">
        <v>46047</v>
      </c>
      <c r="F50" s="5">
        <v>46054</v>
      </c>
      <c r="G50" s="5">
        <v>46061</v>
      </c>
      <c r="H50" s="5">
        <v>46068</v>
      </c>
      <c r="I50" s="5">
        <v>46075</v>
      </c>
      <c r="J50" s="5">
        <v>46082</v>
      </c>
      <c r="K50" s="5">
        <v>46089</v>
      </c>
      <c r="L50" s="5">
        <v>46096</v>
      </c>
      <c r="M50" s="5">
        <v>46103</v>
      </c>
      <c r="N50" s="5">
        <v>46110</v>
      </c>
      <c r="O50" s="5">
        <v>46117</v>
      </c>
      <c r="P50" s="5">
        <f>SUM(O46:P46)</f>
        <v>83</v>
      </c>
      <c r="Q50" s="5">
        <v>46131</v>
      </c>
      <c r="R50" s="5">
        <v>46138</v>
      </c>
      <c r="S50" s="5">
        <v>46145</v>
      </c>
      <c r="T50" s="5">
        <v>46152</v>
      </c>
      <c r="U50" s="5">
        <v>46159</v>
      </c>
      <c r="V50" s="5">
        <v>46166</v>
      </c>
      <c r="W50" s="5">
        <v>46173</v>
      </c>
      <c r="X50" s="5">
        <v>46180</v>
      </c>
      <c r="Y50" s="5">
        <v>46187</v>
      </c>
      <c r="Z50" s="5">
        <v>46194</v>
      </c>
      <c r="AA50" s="5">
        <v>46201</v>
      </c>
      <c r="AB50" s="5">
        <v>46208</v>
      </c>
      <c r="AC50" s="5">
        <v>46215</v>
      </c>
    </row>
    <row r="51" spans="1:29" x14ac:dyDescent="0.35">
      <c r="A51" t="s">
        <v>1242</v>
      </c>
      <c r="B51" s="3">
        <v>0.12</v>
      </c>
      <c r="C51" s="3">
        <v>8.8999999999999996E-2</v>
      </c>
      <c r="D51" s="3">
        <v>0.18</v>
      </c>
      <c r="E51" s="3">
        <v>6.2E-2</v>
      </c>
      <c r="F51" s="3">
        <v>0.20699999999999999</v>
      </c>
      <c r="G51" s="3">
        <v>0.28199999999999997</v>
      </c>
      <c r="H51" s="3">
        <v>0.28000000000000003</v>
      </c>
      <c r="I51" s="3">
        <v>0.25700000000000001</v>
      </c>
      <c r="J51" s="3">
        <v>0.26200000000000001</v>
      </c>
      <c r="K51" s="3">
        <v>0.34</v>
      </c>
      <c r="L51" s="3">
        <v>0.14000000000000001</v>
      </c>
      <c r="M51" s="3">
        <v>0.219</v>
      </c>
      <c r="N51" s="3">
        <v>0.308</v>
      </c>
      <c r="O51" s="3">
        <v>8.7999999999999995E-2</v>
      </c>
      <c r="P51" s="3">
        <v>3.1E-2</v>
      </c>
      <c r="Q51" s="3">
        <v>8.0000000000000002E-3</v>
      </c>
      <c r="R51" s="3">
        <v>2.7E-2</v>
      </c>
      <c r="S51" s="3">
        <v>0.57499999999999996</v>
      </c>
      <c r="T51" s="3">
        <v>0.51900000000000002</v>
      </c>
      <c r="U51" s="3">
        <v>0.53</v>
      </c>
      <c r="V51" s="3">
        <v>0.38</v>
      </c>
      <c r="W51" s="3">
        <v>0.02</v>
      </c>
      <c r="X51" s="3">
        <v>2.3E-2</v>
      </c>
      <c r="Y51" s="3">
        <v>1.2999999999999999E-2</v>
      </c>
      <c r="Z51" s="3">
        <v>2.1000000000000001E-2</v>
      </c>
      <c r="AA51" s="3">
        <v>0.29699999999999999</v>
      </c>
      <c r="AB51" s="3">
        <v>0.24399999999999999</v>
      </c>
      <c r="AC51" s="3">
        <v>0.32300000000000001</v>
      </c>
    </row>
    <row r="52" spans="1:29" x14ac:dyDescent="0.35">
      <c r="A52" t="s">
        <v>1247</v>
      </c>
      <c r="B52" s="3">
        <v>0.17100000000000001</v>
      </c>
      <c r="C52" s="3">
        <v>0.26700000000000002</v>
      </c>
      <c r="D52" s="3">
        <v>0.20100000000000001</v>
      </c>
      <c r="E52" s="3">
        <v>0.26200000000000001</v>
      </c>
      <c r="F52" s="3">
        <v>6.9000000000000006E-2</v>
      </c>
      <c r="G52" s="23">
        <v>6.4000000000000001E-2</v>
      </c>
      <c r="H52" s="23">
        <v>3.6999999999999998E-2</v>
      </c>
      <c r="I52" s="23">
        <v>5.6000000000000001E-2</v>
      </c>
      <c r="J52" s="23">
        <v>6.3E-2</v>
      </c>
      <c r="K52" s="31">
        <v>4.2999999999999997E-2</v>
      </c>
      <c r="L52" s="31">
        <v>3.3000000000000002E-2</v>
      </c>
      <c r="M52" s="31">
        <v>0.01</v>
      </c>
      <c r="N52" s="31">
        <v>5.0999999999999997E-2</v>
      </c>
      <c r="O52" s="34">
        <v>0.27100000000000002</v>
      </c>
      <c r="P52" s="34">
        <v>0.17299999999999999</v>
      </c>
      <c r="Q52" s="37">
        <v>5.0999999999999997E-2</v>
      </c>
      <c r="R52" s="37">
        <v>4.2999999999999997E-2</v>
      </c>
      <c r="S52" s="3">
        <v>0.13800000000000001</v>
      </c>
      <c r="T52" s="3">
        <v>0.126</v>
      </c>
      <c r="U52" s="3">
        <v>0.123</v>
      </c>
      <c r="V52" s="3">
        <v>9.9000000000000005E-2</v>
      </c>
      <c r="W52" s="3">
        <v>0.16300000000000001</v>
      </c>
      <c r="X52" s="3">
        <v>0.218</v>
      </c>
      <c r="Y52" s="3">
        <v>0</v>
      </c>
      <c r="Z52" s="3">
        <v>0.128</v>
      </c>
      <c r="AA52" s="3">
        <v>7.1999999999999995E-2</v>
      </c>
      <c r="AB52" s="3">
        <v>4.8000000000000001E-2</v>
      </c>
      <c r="AC52" s="3">
        <v>5.0999999999999997E-2</v>
      </c>
    </row>
    <row r="53" spans="1:29" x14ac:dyDescent="0.35">
      <c r="A53" t="s">
        <v>1248</v>
      </c>
      <c r="B53" s="7">
        <v>1.82</v>
      </c>
      <c r="C53" s="7">
        <v>2.86</v>
      </c>
      <c r="D53" s="7">
        <v>2.17</v>
      </c>
      <c r="E53" s="7">
        <v>2.85</v>
      </c>
      <c r="F53" s="7">
        <v>0.73</v>
      </c>
      <c r="G53" s="7">
        <v>0.67</v>
      </c>
      <c r="H53" s="7">
        <v>0.37</v>
      </c>
      <c r="I53" s="7">
        <v>0.56999999999999995</v>
      </c>
      <c r="J53" s="7">
        <v>0.64</v>
      </c>
      <c r="K53" s="7">
        <v>0.45</v>
      </c>
      <c r="L53" s="7">
        <v>0.34</v>
      </c>
      <c r="M53" s="7">
        <v>0.1</v>
      </c>
      <c r="N53" s="7">
        <v>0.52</v>
      </c>
      <c r="O53" s="7">
        <v>2.9</v>
      </c>
      <c r="P53" s="7">
        <v>1.86</v>
      </c>
      <c r="Q53" s="38">
        <v>0.54</v>
      </c>
      <c r="R53" s="38">
        <v>0.46</v>
      </c>
      <c r="S53" s="7">
        <v>1.39</v>
      </c>
      <c r="T53" s="7">
        <v>1.26</v>
      </c>
      <c r="U53" s="7">
        <v>1.23</v>
      </c>
      <c r="V53" s="7">
        <v>0.97</v>
      </c>
      <c r="W53" s="7">
        <v>1.79</v>
      </c>
      <c r="X53" s="7">
        <v>2.39</v>
      </c>
      <c r="Y53" s="7">
        <v>0</v>
      </c>
      <c r="Z53" s="7">
        <v>1.4</v>
      </c>
      <c r="AA53" s="7">
        <v>0.76</v>
      </c>
      <c r="AB53" s="7">
        <v>0.5</v>
      </c>
      <c r="AC53" s="7">
        <v>0.53</v>
      </c>
    </row>
    <row r="54" spans="1:29" x14ac:dyDescent="0.35">
      <c r="A54" t="s">
        <v>1249</v>
      </c>
      <c r="B54" s="7">
        <v>8.82</v>
      </c>
      <c r="C54" s="7">
        <v>7.87</v>
      </c>
      <c r="D54" s="7">
        <v>8.64</v>
      </c>
      <c r="E54" s="7">
        <v>8.02</v>
      </c>
      <c r="F54" s="7">
        <v>9.7799999999999994</v>
      </c>
      <c r="G54" s="17">
        <v>9.8000000000000007</v>
      </c>
      <c r="H54" s="17">
        <v>9.74</v>
      </c>
      <c r="I54" s="17">
        <v>9.64</v>
      </c>
      <c r="J54" s="17">
        <v>9.52</v>
      </c>
      <c r="K54" s="32">
        <v>9.9</v>
      </c>
      <c r="L54" s="32">
        <v>9.83</v>
      </c>
      <c r="M54" s="32">
        <v>9.91</v>
      </c>
      <c r="N54" s="32">
        <v>9.65</v>
      </c>
      <c r="O54" s="35">
        <v>7.8</v>
      </c>
      <c r="P54" s="35">
        <v>8.89</v>
      </c>
      <c r="Q54" s="38">
        <v>10.1</v>
      </c>
      <c r="R54" s="38">
        <v>10.3</v>
      </c>
      <c r="S54" s="32">
        <v>8.6999999999999993</v>
      </c>
      <c r="T54" s="32">
        <v>8.76</v>
      </c>
      <c r="U54" s="32">
        <v>8.7799999999999994</v>
      </c>
      <c r="V54" s="32">
        <v>8.7899999999999991</v>
      </c>
      <c r="W54" s="7">
        <v>9.17</v>
      </c>
      <c r="X54" s="7">
        <v>8.58</v>
      </c>
      <c r="Y54" s="7">
        <v>10.99</v>
      </c>
      <c r="Z54" s="7">
        <v>9.57</v>
      </c>
      <c r="AA54" s="7">
        <v>9.75</v>
      </c>
      <c r="AB54" s="7">
        <v>9.9700000000000006</v>
      </c>
      <c r="AC54" s="7">
        <v>9.92</v>
      </c>
    </row>
    <row r="55" spans="1:29" x14ac:dyDescent="0.35">
      <c r="A55" t="s">
        <v>1250</v>
      </c>
      <c r="B55" s="7">
        <v>10.64</v>
      </c>
      <c r="C55" s="7">
        <v>10.72</v>
      </c>
      <c r="D55" s="7">
        <v>10.81</v>
      </c>
      <c r="E55" s="7">
        <v>10.88</v>
      </c>
      <c r="F55" s="7">
        <v>10.51</v>
      </c>
      <c r="G55" s="7">
        <v>10.46</v>
      </c>
      <c r="H55" s="7">
        <v>10.11</v>
      </c>
      <c r="I55" s="7">
        <v>10.210000000000001</v>
      </c>
      <c r="J55" s="7">
        <v>10.17</v>
      </c>
      <c r="K55" s="7">
        <v>10.35</v>
      </c>
      <c r="L55" s="7">
        <v>10.17</v>
      </c>
      <c r="M55" s="7">
        <v>10.01</v>
      </c>
      <c r="N55" s="7">
        <v>10.17</v>
      </c>
      <c r="O55" s="7">
        <v>10.71</v>
      </c>
      <c r="P55" s="7">
        <v>10.76</v>
      </c>
      <c r="Q55" s="38">
        <v>10.64</v>
      </c>
      <c r="R55" s="38">
        <v>10.76</v>
      </c>
      <c r="S55" s="32">
        <v>10.1</v>
      </c>
      <c r="T55" s="32">
        <v>10.029999999999999</v>
      </c>
      <c r="U55" s="32">
        <v>10.01</v>
      </c>
      <c r="V55" s="32">
        <v>9.76</v>
      </c>
      <c r="W55" s="7">
        <v>10.96</v>
      </c>
      <c r="X55" s="7">
        <v>10.97</v>
      </c>
      <c r="Y55" s="7">
        <v>10.99</v>
      </c>
      <c r="Z55" s="7">
        <v>10.97</v>
      </c>
      <c r="AA55" s="7">
        <v>10.51</v>
      </c>
      <c r="AB55" s="7">
        <v>10.48</v>
      </c>
      <c r="AC55" s="7">
        <v>10.45</v>
      </c>
    </row>
    <row r="56" spans="1:29" x14ac:dyDescent="0.35">
      <c r="A56" t="s">
        <v>1245</v>
      </c>
      <c r="B56" s="7">
        <v>10.28</v>
      </c>
      <c r="C56" s="7">
        <v>10.28</v>
      </c>
      <c r="D56" s="7">
        <v>10.14</v>
      </c>
      <c r="E56" s="7">
        <v>10.49</v>
      </c>
      <c r="F56" s="7">
        <v>10</v>
      </c>
      <c r="G56" s="7">
        <v>10</v>
      </c>
      <c r="H56" s="7">
        <v>9.66</v>
      </c>
      <c r="I56" s="7">
        <v>9.6999999999999993</v>
      </c>
      <c r="J56" s="7">
        <v>9.6</v>
      </c>
      <c r="K56" s="7">
        <v>9.93</v>
      </c>
      <c r="L56" s="7">
        <v>9.93</v>
      </c>
      <c r="M56" s="7">
        <v>9.7899999999999991</v>
      </c>
      <c r="N56" s="7">
        <v>9.66</v>
      </c>
      <c r="O56" s="7">
        <v>10.25</v>
      </c>
      <c r="P56" s="7">
        <v>10.6</v>
      </c>
      <c r="Q56" s="38">
        <v>10.64</v>
      </c>
      <c r="R56" s="38">
        <v>10.73</v>
      </c>
      <c r="S56" s="7">
        <v>8.6999999999999993</v>
      </c>
      <c r="T56" s="7">
        <v>8.75</v>
      </c>
      <c r="U56" s="7">
        <v>8.7799999999999994</v>
      </c>
      <c r="V56" s="7">
        <v>8.82</v>
      </c>
      <c r="W56" s="7">
        <v>10.85</v>
      </c>
      <c r="X56" s="7">
        <v>10.83</v>
      </c>
      <c r="Y56" s="7">
        <v>10.98</v>
      </c>
      <c r="Z56" s="7">
        <v>10.91</v>
      </c>
      <c r="AA56" s="7">
        <v>9.81</v>
      </c>
      <c r="AB56" s="7">
        <v>10.029999999999999</v>
      </c>
      <c r="AC56" s="7">
        <v>9.9700000000000006</v>
      </c>
    </row>
    <row r="57" spans="1:29" x14ac:dyDescent="0.35">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row>
    <row r="58" spans="1:29" x14ac:dyDescent="0.35">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row>
    <row r="59" spans="1:29" x14ac:dyDescent="0.35">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row>
    <row r="60" spans="1:29" x14ac:dyDescent="0.35">
      <c r="A60" s="49" t="s">
        <v>1279</v>
      </c>
      <c r="B60" s="61">
        <v>1394</v>
      </c>
      <c r="C60" s="61">
        <v>1396</v>
      </c>
      <c r="D60" s="7"/>
      <c r="E60" s="7"/>
      <c r="F60" s="7"/>
      <c r="G60" s="7"/>
      <c r="H60" s="7"/>
      <c r="I60" s="7"/>
      <c r="J60" s="7"/>
      <c r="K60" s="7"/>
      <c r="L60" s="7"/>
      <c r="M60" s="7"/>
      <c r="N60" s="7"/>
      <c r="O60" s="7"/>
      <c r="P60" s="7"/>
      <c r="Q60" s="7"/>
      <c r="R60" s="7"/>
      <c r="S60" s="7"/>
      <c r="T60" s="7"/>
      <c r="U60" s="7"/>
      <c r="V60" s="7"/>
      <c r="W60" s="7"/>
      <c r="X60" s="7"/>
      <c r="Y60" s="7"/>
      <c r="Z60" s="7"/>
      <c r="AA60" s="7"/>
      <c r="AB60" s="7"/>
      <c r="AC60" s="7"/>
    </row>
    <row r="61" spans="1:29" x14ac:dyDescent="0.35">
      <c r="A61" t="s">
        <v>1240</v>
      </c>
      <c r="B61" s="5">
        <v>46026</v>
      </c>
      <c r="C61" s="5">
        <v>46033</v>
      </c>
      <c r="D61" s="5">
        <v>46040</v>
      </c>
      <c r="E61" s="5">
        <v>46047</v>
      </c>
      <c r="F61" s="5">
        <v>46054</v>
      </c>
      <c r="G61" s="5">
        <v>46061</v>
      </c>
      <c r="H61" s="5">
        <v>46068</v>
      </c>
      <c r="I61" s="5">
        <v>46075</v>
      </c>
      <c r="J61" s="5">
        <v>46082</v>
      </c>
      <c r="K61" s="5">
        <v>46089</v>
      </c>
      <c r="L61" s="5">
        <v>46096</v>
      </c>
      <c r="M61" s="5">
        <v>46103</v>
      </c>
      <c r="N61" s="5">
        <v>46110</v>
      </c>
      <c r="O61" s="5">
        <v>46117</v>
      </c>
      <c r="P61" s="5">
        <v>46124</v>
      </c>
      <c r="Q61" s="5">
        <v>46131</v>
      </c>
      <c r="R61" s="5">
        <v>46138</v>
      </c>
      <c r="S61" s="5">
        <v>46145</v>
      </c>
      <c r="T61" s="5">
        <v>46152</v>
      </c>
      <c r="U61" s="5">
        <v>46159</v>
      </c>
      <c r="V61" s="5">
        <v>46166</v>
      </c>
      <c r="W61" s="5">
        <v>46173</v>
      </c>
      <c r="X61" s="5">
        <v>46180</v>
      </c>
      <c r="Y61" s="5">
        <v>46187</v>
      </c>
      <c r="Z61" s="5">
        <v>46194</v>
      </c>
      <c r="AA61" s="5">
        <v>46201</v>
      </c>
      <c r="AB61" s="5">
        <v>46208</v>
      </c>
      <c r="AC61" s="5">
        <v>46215</v>
      </c>
    </row>
    <row r="62" spans="1:29" s="20" customFormat="1" x14ac:dyDescent="0.35">
      <c r="A62" s="20" t="s">
        <v>1241</v>
      </c>
      <c r="B62" s="20">
        <v>257</v>
      </c>
      <c r="C62" s="20">
        <v>220</v>
      </c>
      <c r="D62" s="20">
        <v>287</v>
      </c>
      <c r="E62" s="20">
        <v>240</v>
      </c>
      <c r="F62" s="20">
        <v>173</v>
      </c>
      <c r="G62" s="20">
        <v>240</v>
      </c>
      <c r="H62" s="20">
        <v>236</v>
      </c>
      <c r="I62" s="20">
        <v>250</v>
      </c>
      <c r="J62" s="20">
        <v>286</v>
      </c>
      <c r="K62" s="20">
        <v>249</v>
      </c>
      <c r="L62" s="20">
        <v>152</v>
      </c>
      <c r="M62" s="20">
        <v>297</v>
      </c>
      <c r="N62" s="20">
        <v>303</v>
      </c>
      <c r="O62" s="20">
        <v>216</v>
      </c>
      <c r="P62" s="20">
        <v>90</v>
      </c>
      <c r="Q62" s="20">
        <v>69</v>
      </c>
      <c r="R62" s="20">
        <v>86</v>
      </c>
      <c r="S62" s="20">
        <v>275</v>
      </c>
      <c r="T62" s="20">
        <v>306</v>
      </c>
      <c r="U62" s="20">
        <v>339</v>
      </c>
      <c r="V62" s="20">
        <v>257</v>
      </c>
      <c r="W62" s="20">
        <v>371</v>
      </c>
      <c r="X62" s="20">
        <v>327</v>
      </c>
      <c r="Y62" s="20">
        <v>179</v>
      </c>
      <c r="Z62" s="20">
        <v>369</v>
      </c>
      <c r="AA62" s="20">
        <v>317</v>
      </c>
      <c r="AB62" s="20">
        <v>389</v>
      </c>
      <c r="AC62" s="20">
        <v>321</v>
      </c>
    </row>
    <row r="63" spans="1:29" x14ac:dyDescent="0.35">
      <c r="A63" t="s">
        <v>1242</v>
      </c>
      <c r="B63" s="3">
        <v>8.3000000000000004E-2</v>
      </c>
      <c r="C63" s="3">
        <v>0.33900000000000002</v>
      </c>
      <c r="D63" s="3">
        <v>0.17899999999999999</v>
      </c>
      <c r="E63" s="3">
        <v>0.254</v>
      </c>
      <c r="F63" s="3">
        <v>0.42</v>
      </c>
      <c r="G63" s="3">
        <v>0.46400000000000002</v>
      </c>
      <c r="H63" s="60">
        <v>1.0449999999999999</v>
      </c>
      <c r="I63" s="60">
        <v>1.575</v>
      </c>
      <c r="J63" s="60">
        <v>0.33400000000000002</v>
      </c>
      <c r="K63" s="60">
        <v>0.59699999999999998</v>
      </c>
      <c r="L63" s="3">
        <v>0.33200000000000002</v>
      </c>
      <c r="M63" s="3">
        <v>4.3999999999999997E-2</v>
      </c>
      <c r="N63" s="3">
        <v>0.36699999999999999</v>
      </c>
      <c r="O63" s="3">
        <v>0.21299999999999999</v>
      </c>
      <c r="P63" s="3">
        <v>1.2E-2</v>
      </c>
      <c r="Q63" s="3">
        <v>2.7E-2</v>
      </c>
      <c r="R63" s="3">
        <v>4.5999999999999999E-2</v>
      </c>
      <c r="S63" s="26">
        <v>0.17299999999999999</v>
      </c>
      <c r="T63" s="26">
        <v>0.151</v>
      </c>
      <c r="U63" s="26">
        <v>0.107</v>
      </c>
      <c r="V63" s="26">
        <v>0.14699999999999999</v>
      </c>
      <c r="W63" s="60">
        <v>0.20300000000000001</v>
      </c>
      <c r="X63" s="60">
        <v>0.17100000000000001</v>
      </c>
      <c r="Y63" s="3">
        <v>3.9E-2</v>
      </c>
      <c r="Z63" s="3">
        <v>5.8999999999999997E-2</v>
      </c>
      <c r="AA63" s="3">
        <v>4.2999999999999997E-2</v>
      </c>
      <c r="AB63" s="3">
        <v>0.51800000000000002</v>
      </c>
      <c r="AC63" s="3">
        <v>9.1999999999999998E-2</v>
      </c>
    </row>
    <row r="64" spans="1:29" s="20" customFormat="1" x14ac:dyDescent="0.35">
      <c r="A64" s="20" t="s">
        <v>1243</v>
      </c>
      <c r="B64" s="20">
        <v>20</v>
      </c>
      <c r="C64" s="20">
        <v>56</v>
      </c>
      <c r="D64" s="20">
        <v>44</v>
      </c>
      <c r="E64" s="20">
        <v>49</v>
      </c>
      <c r="F64" s="20">
        <v>51</v>
      </c>
      <c r="G64" s="20">
        <v>76</v>
      </c>
      <c r="H64" s="62">
        <v>121</v>
      </c>
      <c r="I64" s="62">
        <v>153</v>
      </c>
      <c r="J64" s="62">
        <v>72</v>
      </c>
      <c r="K64" s="62">
        <v>93</v>
      </c>
      <c r="L64" s="20">
        <v>38</v>
      </c>
      <c r="M64" s="20">
        <v>13</v>
      </c>
      <c r="N64" s="20">
        <v>81</v>
      </c>
      <c r="O64" s="20">
        <v>38</v>
      </c>
      <c r="P64" s="20">
        <v>1</v>
      </c>
      <c r="Q64" s="20">
        <v>2</v>
      </c>
      <c r="R64" s="20">
        <v>4</v>
      </c>
      <c r="S64" s="20">
        <v>41</v>
      </c>
      <c r="T64" s="20">
        <v>40</v>
      </c>
      <c r="U64" s="20">
        <v>33</v>
      </c>
      <c r="V64" s="20">
        <v>33</v>
      </c>
      <c r="W64" s="20">
        <v>63</v>
      </c>
      <c r="X64" s="20">
        <v>48</v>
      </c>
      <c r="Y64" s="20">
        <v>7</v>
      </c>
      <c r="Z64" s="20">
        <v>20</v>
      </c>
      <c r="AA64" s="20">
        <v>13</v>
      </c>
      <c r="AB64" s="20">
        <v>133</v>
      </c>
      <c r="AC64" s="20">
        <v>27</v>
      </c>
    </row>
    <row r="65" spans="1:29" s="20" customFormat="1" x14ac:dyDescent="0.35">
      <c r="A65" s="20" t="s">
        <v>1244</v>
      </c>
      <c r="B65" s="20">
        <v>237</v>
      </c>
      <c r="C65" s="20">
        <v>164</v>
      </c>
      <c r="D65" s="20">
        <v>244</v>
      </c>
      <c r="E65" s="20">
        <v>191</v>
      </c>
      <c r="F65" s="20">
        <v>122</v>
      </c>
      <c r="G65" s="20">
        <v>164</v>
      </c>
      <c r="H65" s="20">
        <v>115</v>
      </c>
      <c r="I65" s="20">
        <v>97</v>
      </c>
      <c r="J65" s="20">
        <v>214</v>
      </c>
      <c r="K65" s="20">
        <v>156</v>
      </c>
      <c r="L65" s="20">
        <v>114</v>
      </c>
      <c r="M65" s="20">
        <v>284</v>
      </c>
      <c r="N65" s="20">
        <v>222</v>
      </c>
      <c r="O65" s="20">
        <v>178</v>
      </c>
      <c r="P65" s="20">
        <v>89</v>
      </c>
      <c r="Q65" s="20">
        <v>67</v>
      </c>
      <c r="R65" s="20">
        <v>82</v>
      </c>
      <c r="S65" s="20">
        <v>234</v>
      </c>
      <c r="T65" s="20">
        <v>266</v>
      </c>
      <c r="U65" s="20">
        <v>306</v>
      </c>
      <c r="V65" s="20">
        <v>224</v>
      </c>
      <c r="W65" s="20">
        <v>309</v>
      </c>
      <c r="X65" s="20">
        <v>279</v>
      </c>
      <c r="Y65" s="20">
        <v>172</v>
      </c>
      <c r="Z65" s="20">
        <v>349</v>
      </c>
      <c r="AA65" s="20">
        <v>304</v>
      </c>
      <c r="AB65" s="20">
        <v>256</v>
      </c>
      <c r="AC65" s="20">
        <v>294</v>
      </c>
    </row>
    <row r="66" spans="1:29" x14ac:dyDescent="0.35">
      <c r="A66" t="s">
        <v>1245</v>
      </c>
      <c r="B66" s="7">
        <v>2.93</v>
      </c>
      <c r="C66" s="7">
        <v>2.67</v>
      </c>
      <c r="D66" s="7">
        <v>2.46</v>
      </c>
      <c r="E66" s="7">
        <v>2.17</v>
      </c>
      <c r="F66" s="7">
        <v>2.19</v>
      </c>
      <c r="G66" s="7">
        <v>1.96</v>
      </c>
      <c r="H66" s="7">
        <v>2.17</v>
      </c>
      <c r="I66" s="7">
        <v>1.76</v>
      </c>
      <c r="J66" s="7">
        <v>1.62</v>
      </c>
      <c r="K66" s="7">
        <v>2.23</v>
      </c>
      <c r="L66" s="7">
        <v>2.33</v>
      </c>
      <c r="M66" s="7">
        <v>2</v>
      </c>
      <c r="N66" s="7">
        <v>1.45</v>
      </c>
      <c r="O66" s="7">
        <v>2</v>
      </c>
      <c r="P66" s="7">
        <v>3.14</v>
      </c>
      <c r="Q66" s="7">
        <v>3.21</v>
      </c>
      <c r="R66" s="7">
        <v>2.75</v>
      </c>
      <c r="S66" s="7">
        <v>3</v>
      </c>
      <c r="T66" s="7">
        <v>2.93</v>
      </c>
      <c r="U66" s="7">
        <v>2.99</v>
      </c>
      <c r="V66" s="7">
        <v>2.99</v>
      </c>
      <c r="W66" s="7">
        <v>2.91</v>
      </c>
      <c r="X66" s="7">
        <v>2.91</v>
      </c>
      <c r="Y66" s="7">
        <v>3.26</v>
      </c>
      <c r="Z66" s="7">
        <v>2.5</v>
      </c>
      <c r="AA66" s="7">
        <v>3.18</v>
      </c>
      <c r="AB66" s="7">
        <v>2.78</v>
      </c>
      <c r="AC66" s="7">
        <v>3.12</v>
      </c>
    </row>
    <row r="67" spans="1:29" x14ac:dyDescent="0.35">
      <c r="B67" s="7"/>
      <c r="C67" s="7"/>
      <c r="D67" s="7"/>
      <c r="E67" s="7"/>
      <c r="F67" s="7"/>
      <c r="G67" s="7"/>
      <c r="H67" s="63">
        <f>SUM(H65:K65)</f>
        <v>582</v>
      </c>
      <c r="I67" s="63">
        <f>SUM(H64:K64)</f>
        <v>439</v>
      </c>
      <c r="J67" s="7">
        <f>I67/H67</f>
        <v>0.75429553264604809</v>
      </c>
      <c r="K67" s="7"/>
      <c r="L67" s="7"/>
      <c r="M67" s="7"/>
      <c r="N67" s="7"/>
      <c r="O67" s="7"/>
      <c r="P67" s="7"/>
      <c r="Q67" s="7"/>
      <c r="R67" s="7"/>
      <c r="S67" s="7"/>
      <c r="T67" s="7"/>
      <c r="U67" s="7"/>
      <c r="V67" s="7"/>
      <c r="W67" s="63">
        <f>SUM(W65:X65)</f>
        <v>588</v>
      </c>
      <c r="X67" s="63">
        <f>SUM(W64:X64)</f>
        <v>111</v>
      </c>
      <c r="Y67" s="7"/>
      <c r="Z67" s="7"/>
      <c r="AA67" s="7"/>
      <c r="AB67" s="7"/>
      <c r="AC67" s="7"/>
    </row>
    <row r="68" spans="1:29" x14ac:dyDescent="0.35">
      <c r="A68" t="s">
        <v>1240</v>
      </c>
      <c r="B68" s="5">
        <v>46026</v>
      </c>
      <c r="C68" s="5">
        <v>46033</v>
      </c>
      <c r="D68" s="5">
        <v>46040</v>
      </c>
      <c r="E68" s="5">
        <v>46047</v>
      </c>
      <c r="F68" s="5">
        <v>46054</v>
      </c>
      <c r="G68" s="5">
        <v>46061</v>
      </c>
      <c r="H68" s="5">
        <v>46068</v>
      </c>
      <c r="I68" s="5">
        <v>46075</v>
      </c>
      <c r="J68" s="5">
        <v>46082</v>
      </c>
      <c r="K68" s="5">
        <v>46089</v>
      </c>
      <c r="L68" s="5">
        <v>46096</v>
      </c>
      <c r="M68" s="5">
        <v>46103</v>
      </c>
      <c r="N68" s="5">
        <v>46110</v>
      </c>
      <c r="O68" s="5">
        <v>46117</v>
      </c>
      <c r="P68" s="5">
        <v>46124</v>
      </c>
      <c r="Q68" s="5">
        <v>46131</v>
      </c>
      <c r="R68" s="5">
        <v>46138</v>
      </c>
      <c r="S68" s="5">
        <v>46145</v>
      </c>
      <c r="T68" s="5">
        <v>46152</v>
      </c>
      <c r="U68" s="5">
        <v>46159</v>
      </c>
      <c r="V68" s="5">
        <v>46166</v>
      </c>
      <c r="W68" s="5">
        <v>46173</v>
      </c>
      <c r="X68" s="5">
        <v>46180</v>
      </c>
      <c r="Y68" s="5">
        <v>46187</v>
      </c>
      <c r="Z68" s="5">
        <v>46194</v>
      </c>
      <c r="AA68" s="5">
        <v>46201</v>
      </c>
      <c r="AB68" s="5">
        <v>46208</v>
      </c>
      <c r="AC68" s="5">
        <v>46215</v>
      </c>
    </row>
    <row r="69" spans="1:29" x14ac:dyDescent="0.35">
      <c r="A69" t="s">
        <v>1242</v>
      </c>
      <c r="B69" s="3">
        <v>8.3000000000000004E-2</v>
      </c>
      <c r="C69" s="3">
        <v>0.33900000000000002</v>
      </c>
      <c r="D69" s="3">
        <v>0.17899999999999999</v>
      </c>
      <c r="E69" s="3">
        <v>0.254</v>
      </c>
      <c r="F69" s="3">
        <v>0.42</v>
      </c>
      <c r="G69" s="3">
        <v>0.46400000000000002</v>
      </c>
      <c r="H69" s="3">
        <v>1.0449999999999999</v>
      </c>
      <c r="I69" s="3">
        <v>1.575</v>
      </c>
      <c r="J69" s="3">
        <v>0.33400000000000002</v>
      </c>
      <c r="K69" s="3">
        <v>0.59699999999999998</v>
      </c>
      <c r="L69" s="3">
        <v>0.33200000000000002</v>
      </c>
      <c r="M69" s="3">
        <v>4.3999999999999997E-2</v>
      </c>
      <c r="N69" s="3">
        <v>0.36699999999999999</v>
      </c>
      <c r="O69" s="3">
        <v>0.21299999999999999</v>
      </c>
      <c r="P69" s="3">
        <v>1.2E-2</v>
      </c>
      <c r="Q69" s="3">
        <v>2.7E-2</v>
      </c>
      <c r="R69" s="3">
        <v>4.5999999999999999E-2</v>
      </c>
      <c r="S69" s="3">
        <v>0.17299999999999999</v>
      </c>
      <c r="T69" s="3">
        <v>0.151</v>
      </c>
      <c r="U69" s="3">
        <v>0.107</v>
      </c>
      <c r="V69" s="3">
        <v>0.14699999999999999</v>
      </c>
      <c r="W69" s="3">
        <v>0.20300000000000001</v>
      </c>
      <c r="X69" s="3">
        <v>0.17100000000000001</v>
      </c>
      <c r="Y69" s="3">
        <v>3.9E-2</v>
      </c>
      <c r="Z69" s="3">
        <v>5.8999999999999997E-2</v>
      </c>
      <c r="AA69" s="3">
        <v>4.2999999999999997E-2</v>
      </c>
      <c r="AB69" s="3">
        <v>0.51800000000000002</v>
      </c>
      <c r="AC69" s="3">
        <v>9.1999999999999998E-2</v>
      </c>
    </row>
    <row r="70" spans="1:29" x14ac:dyDescent="0.35">
      <c r="A70" t="s">
        <v>1247</v>
      </c>
      <c r="B70" s="3">
        <v>0.22600000000000001</v>
      </c>
      <c r="C70" s="3">
        <v>0.37</v>
      </c>
      <c r="D70" s="3">
        <v>0.317</v>
      </c>
      <c r="E70" s="3">
        <v>0.21</v>
      </c>
      <c r="F70" s="3">
        <v>0.437</v>
      </c>
      <c r="G70" s="3">
        <v>0.56100000000000005</v>
      </c>
      <c r="H70" s="3">
        <v>0.40899999999999997</v>
      </c>
      <c r="I70" s="3">
        <v>0.55800000000000005</v>
      </c>
      <c r="J70" s="3">
        <v>0.33200000000000002</v>
      </c>
      <c r="K70" s="3">
        <v>0.38600000000000001</v>
      </c>
      <c r="L70" s="3">
        <v>0.46100000000000002</v>
      </c>
      <c r="M70" s="3">
        <v>0.16500000000000001</v>
      </c>
      <c r="N70" s="3">
        <v>0.55700000000000005</v>
      </c>
      <c r="O70" s="3">
        <v>0.61799999999999999</v>
      </c>
      <c r="P70" s="3">
        <v>0.48599999999999999</v>
      </c>
      <c r="Q70" s="3">
        <v>7.8E-2</v>
      </c>
      <c r="R70" s="3">
        <v>0.247</v>
      </c>
      <c r="S70" s="26">
        <v>1.6E-2</v>
      </c>
      <c r="T70" s="26">
        <v>8.3000000000000004E-2</v>
      </c>
      <c r="U70" s="26">
        <v>1.0999999999999999E-2</v>
      </c>
      <c r="V70" s="26">
        <v>1.2E-2</v>
      </c>
      <c r="W70" s="60">
        <v>0.45500000000000002</v>
      </c>
      <c r="X70" s="60">
        <v>0.45400000000000001</v>
      </c>
      <c r="Y70" s="3">
        <v>3.9E-2</v>
      </c>
      <c r="Z70" s="3">
        <v>-0.32200000000000001</v>
      </c>
      <c r="AA70" s="3">
        <v>7.0000000000000001E-3</v>
      </c>
      <c r="AB70" s="3">
        <v>0.20599999999999999</v>
      </c>
      <c r="AC70" s="3">
        <v>0.245</v>
      </c>
    </row>
    <row r="71" spans="1:29" x14ac:dyDescent="0.35">
      <c r="A71" t="s">
        <v>1248</v>
      </c>
      <c r="B71" s="7">
        <v>0.7</v>
      </c>
      <c r="C71" s="7">
        <v>1.1499999999999999</v>
      </c>
      <c r="D71" s="7">
        <v>0.89</v>
      </c>
      <c r="E71" s="7">
        <v>0.53</v>
      </c>
      <c r="F71" s="7">
        <v>1.27</v>
      </c>
      <c r="G71" s="7">
        <v>1.56</v>
      </c>
      <c r="H71" s="7">
        <v>1.28</v>
      </c>
      <c r="I71" s="7">
        <v>1.71</v>
      </c>
      <c r="J71" s="7">
        <v>0.64</v>
      </c>
      <c r="K71" s="7">
        <v>1.1000000000000001</v>
      </c>
      <c r="L71" s="7">
        <v>1.43</v>
      </c>
      <c r="M71" s="7">
        <v>0.35</v>
      </c>
      <c r="N71" s="7">
        <v>1.1299999999999999</v>
      </c>
      <c r="O71" s="7">
        <v>1.43</v>
      </c>
      <c r="P71" s="7">
        <v>1.55</v>
      </c>
      <c r="Q71" s="7">
        <v>0.25</v>
      </c>
      <c r="R71" s="7">
        <v>0.74</v>
      </c>
      <c r="S71" s="7">
        <v>0.05</v>
      </c>
      <c r="T71" s="7">
        <v>0.25</v>
      </c>
      <c r="U71" s="7">
        <v>0.03</v>
      </c>
      <c r="V71" s="7">
        <v>0.04</v>
      </c>
      <c r="W71" s="7">
        <v>1.48</v>
      </c>
      <c r="X71" s="7">
        <v>1.47</v>
      </c>
      <c r="Y71" s="7">
        <v>0.13</v>
      </c>
      <c r="Z71" s="7">
        <v>-0.79</v>
      </c>
      <c r="AA71" s="7">
        <v>0.02</v>
      </c>
      <c r="AB71" s="7">
        <v>0.66</v>
      </c>
      <c r="AC71" s="7">
        <v>0.78</v>
      </c>
    </row>
    <row r="72" spans="1:29" x14ac:dyDescent="0.35">
      <c r="A72" t="s">
        <v>1249</v>
      </c>
      <c r="B72" s="7">
        <v>2.39</v>
      </c>
      <c r="C72" s="7">
        <v>1.97</v>
      </c>
      <c r="D72" s="7">
        <v>1.92</v>
      </c>
      <c r="E72" s="7">
        <v>1.99</v>
      </c>
      <c r="F72" s="7">
        <v>1.63</v>
      </c>
      <c r="G72" s="7">
        <v>1.22</v>
      </c>
      <c r="H72" s="59">
        <v>1.85</v>
      </c>
      <c r="I72" s="59">
        <v>1.36</v>
      </c>
      <c r="J72" s="59">
        <v>1.29</v>
      </c>
      <c r="K72" s="59">
        <v>1.75</v>
      </c>
      <c r="L72" s="7">
        <v>1.67</v>
      </c>
      <c r="M72" s="7">
        <v>1.76</v>
      </c>
      <c r="N72" s="7">
        <v>0.9</v>
      </c>
      <c r="O72" s="7">
        <v>0.88</v>
      </c>
      <c r="P72" s="7">
        <v>1.64</v>
      </c>
      <c r="Q72" s="7">
        <v>2.97</v>
      </c>
      <c r="R72" s="7">
        <v>2.25</v>
      </c>
      <c r="S72" s="7">
        <v>2.99</v>
      </c>
      <c r="T72" s="7">
        <v>2.75</v>
      </c>
      <c r="U72" s="7">
        <v>2.99</v>
      </c>
      <c r="V72" s="7">
        <v>2.98</v>
      </c>
      <c r="W72" s="7">
        <v>1.77</v>
      </c>
      <c r="X72" s="7">
        <v>1.77</v>
      </c>
      <c r="Y72" s="7">
        <v>3.13</v>
      </c>
      <c r="Z72" s="7">
        <v>3.24</v>
      </c>
      <c r="AA72" s="7">
        <v>3.17</v>
      </c>
      <c r="AB72" s="7">
        <v>2.54</v>
      </c>
      <c r="AC72" s="7">
        <v>2.42</v>
      </c>
    </row>
    <row r="73" spans="1:29" x14ac:dyDescent="0.35">
      <c r="A73" t="s">
        <v>1250</v>
      </c>
      <c r="B73" s="7">
        <v>3.09</v>
      </c>
      <c r="C73" s="7">
        <v>3.12</v>
      </c>
      <c r="D73" s="7">
        <v>2.82</v>
      </c>
      <c r="E73" s="7">
        <v>2.5099999999999998</v>
      </c>
      <c r="F73" s="7">
        <v>2.9</v>
      </c>
      <c r="G73" s="7">
        <v>2.78</v>
      </c>
      <c r="H73" s="7">
        <v>3.14</v>
      </c>
      <c r="I73" s="7">
        <v>3.07</v>
      </c>
      <c r="J73" s="7">
        <v>1.93</v>
      </c>
      <c r="K73" s="7">
        <v>2.86</v>
      </c>
      <c r="L73" s="7">
        <v>3.1</v>
      </c>
      <c r="M73" s="7">
        <v>2.11</v>
      </c>
      <c r="N73" s="7">
        <v>2.0299999999999998</v>
      </c>
      <c r="O73" s="7">
        <v>2.31</v>
      </c>
      <c r="P73" s="7">
        <v>3.19</v>
      </c>
      <c r="Q73" s="7">
        <v>3.22</v>
      </c>
      <c r="R73" s="7">
        <v>2.99</v>
      </c>
      <c r="S73" s="7">
        <v>3.04</v>
      </c>
      <c r="T73" s="7">
        <v>3</v>
      </c>
      <c r="U73" s="7">
        <v>3.02</v>
      </c>
      <c r="V73" s="7">
        <v>3.02</v>
      </c>
      <c r="W73" s="7">
        <v>3.26</v>
      </c>
      <c r="X73" s="7">
        <v>3.25</v>
      </c>
      <c r="Y73" s="7">
        <v>3.25</v>
      </c>
      <c r="Z73" s="7">
        <v>2.4500000000000002</v>
      </c>
      <c r="AA73" s="7">
        <v>3.19</v>
      </c>
      <c r="AB73" s="7">
        <v>3.2</v>
      </c>
      <c r="AC73" s="7">
        <v>3.2</v>
      </c>
    </row>
    <row r="74" spans="1:29" x14ac:dyDescent="0.35">
      <c r="A74" t="s">
        <v>1245</v>
      </c>
      <c r="B74" s="7">
        <v>2.93</v>
      </c>
      <c r="C74" s="7">
        <v>2.67</v>
      </c>
      <c r="D74" s="7">
        <v>2.46</v>
      </c>
      <c r="E74" s="7">
        <v>2.17</v>
      </c>
      <c r="F74" s="7">
        <v>2.19</v>
      </c>
      <c r="G74" s="7">
        <v>1.96</v>
      </c>
      <c r="H74" s="7">
        <v>2.17</v>
      </c>
      <c r="I74" s="7">
        <v>1.76</v>
      </c>
      <c r="J74" s="7">
        <v>1.62</v>
      </c>
      <c r="K74" s="7">
        <v>2.23</v>
      </c>
      <c r="L74" s="7">
        <v>2.33</v>
      </c>
      <c r="M74" s="7">
        <v>2</v>
      </c>
      <c r="N74" s="7">
        <v>1.45</v>
      </c>
      <c r="O74" s="7">
        <v>2</v>
      </c>
      <c r="P74" s="7">
        <v>3.14</v>
      </c>
      <c r="Q74" s="7">
        <v>3.21</v>
      </c>
      <c r="R74" s="7">
        <v>2.75</v>
      </c>
      <c r="S74" s="7">
        <v>3</v>
      </c>
      <c r="T74" s="7">
        <v>2.93</v>
      </c>
      <c r="U74" s="7">
        <v>2.99</v>
      </c>
      <c r="V74" s="7">
        <v>2.99</v>
      </c>
      <c r="W74" s="7">
        <v>2.91</v>
      </c>
      <c r="X74" s="7">
        <v>2.91</v>
      </c>
      <c r="Y74" s="7">
        <v>3.26</v>
      </c>
      <c r="Z74" s="7">
        <v>2.5</v>
      </c>
      <c r="AA74" s="7">
        <v>3.18</v>
      </c>
      <c r="AB74" s="7">
        <v>2.78</v>
      </c>
      <c r="AC74" s="7">
        <v>3.12</v>
      </c>
    </row>
    <row r="75" spans="1:29" x14ac:dyDescent="0.35">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row>
    <row r="76" spans="1:29" x14ac:dyDescent="0.35">
      <c r="A76" s="49" t="s">
        <v>1282</v>
      </c>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row>
    <row r="77" spans="1:29" x14ac:dyDescent="0.35">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row>
    <row r="78" spans="1:29" x14ac:dyDescent="0.35">
      <c r="A78" t="s">
        <v>1254</v>
      </c>
      <c r="B78" s="5">
        <v>46026</v>
      </c>
      <c r="C78" s="5">
        <v>46033</v>
      </c>
      <c r="D78" s="5">
        <v>46040</v>
      </c>
      <c r="E78" s="5">
        <v>46047</v>
      </c>
      <c r="F78" s="5">
        <v>46054</v>
      </c>
      <c r="G78" s="5">
        <v>46061</v>
      </c>
      <c r="H78" s="5">
        <v>46068</v>
      </c>
      <c r="I78" s="5">
        <v>46075</v>
      </c>
      <c r="J78" s="5">
        <v>46082</v>
      </c>
      <c r="K78" s="5">
        <v>46089</v>
      </c>
      <c r="L78" s="5">
        <v>46096</v>
      </c>
      <c r="M78" s="5">
        <v>46103</v>
      </c>
      <c r="N78" s="5">
        <v>46110</v>
      </c>
      <c r="O78" s="5">
        <v>46117</v>
      </c>
      <c r="P78" s="5">
        <v>46124</v>
      </c>
      <c r="Q78" s="5">
        <v>46131</v>
      </c>
      <c r="R78" s="5">
        <v>46138</v>
      </c>
      <c r="S78" s="5">
        <v>46145</v>
      </c>
      <c r="T78" s="5">
        <v>46152</v>
      </c>
      <c r="U78" s="5">
        <v>46159</v>
      </c>
      <c r="V78" s="5">
        <v>46166</v>
      </c>
      <c r="W78" s="5">
        <v>46173</v>
      </c>
      <c r="X78" s="5">
        <v>46180</v>
      </c>
      <c r="Y78" s="5">
        <v>46187</v>
      </c>
      <c r="Z78" s="5">
        <v>46194</v>
      </c>
      <c r="AA78" s="5">
        <v>46201</v>
      </c>
      <c r="AB78" s="5">
        <v>46208</v>
      </c>
      <c r="AC78" s="5">
        <v>46215</v>
      </c>
    </row>
    <row r="79" spans="1:29" s="20" customFormat="1" x14ac:dyDescent="0.35">
      <c r="A79" s="20" t="s">
        <v>1241</v>
      </c>
      <c r="B79" s="20">
        <v>1171</v>
      </c>
      <c r="C79" s="20">
        <v>1349</v>
      </c>
      <c r="D79" s="20">
        <v>1238</v>
      </c>
      <c r="E79" s="20">
        <v>1247</v>
      </c>
      <c r="F79" s="20">
        <v>1900</v>
      </c>
      <c r="G79" s="20">
        <v>2030</v>
      </c>
      <c r="H79" s="20">
        <v>1869</v>
      </c>
      <c r="I79" s="20">
        <v>1968</v>
      </c>
      <c r="J79" s="20">
        <v>2226</v>
      </c>
      <c r="K79" s="20">
        <v>3343</v>
      </c>
      <c r="L79" s="20">
        <v>2130</v>
      </c>
      <c r="M79" s="20">
        <v>7268</v>
      </c>
      <c r="N79" s="20">
        <v>1002</v>
      </c>
      <c r="O79" s="20">
        <v>1067</v>
      </c>
      <c r="P79" s="20">
        <v>1382</v>
      </c>
      <c r="Q79" s="20">
        <v>1607</v>
      </c>
      <c r="R79" s="20">
        <v>1592</v>
      </c>
      <c r="S79" s="20">
        <v>2196</v>
      </c>
      <c r="T79" s="20">
        <v>1940</v>
      </c>
      <c r="U79" s="20">
        <v>2004</v>
      </c>
      <c r="V79" s="20">
        <v>1747</v>
      </c>
      <c r="W79" s="20">
        <v>1232</v>
      </c>
      <c r="X79" s="20">
        <v>1102</v>
      </c>
      <c r="Y79" s="20">
        <v>1056</v>
      </c>
      <c r="Z79" s="20">
        <v>999</v>
      </c>
      <c r="AA79" s="20">
        <v>939</v>
      </c>
      <c r="AB79" s="20">
        <v>1015</v>
      </c>
      <c r="AC79" s="20">
        <v>1249</v>
      </c>
    </row>
    <row r="80" spans="1:29" x14ac:dyDescent="0.35">
      <c r="A80" t="s">
        <v>1242</v>
      </c>
      <c r="B80" s="3">
        <v>0.04</v>
      </c>
      <c r="C80" s="3">
        <v>0.11600000000000001</v>
      </c>
      <c r="D80" s="3">
        <v>6.2E-2</v>
      </c>
      <c r="E80" s="3">
        <v>3.7999999999999999E-2</v>
      </c>
      <c r="F80" s="3">
        <v>0.48</v>
      </c>
      <c r="G80" s="3">
        <v>0.28899999999999998</v>
      </c>
      <c r="H80" s="3">
        <v>0.33200000000000002</v>
      </c>
      <c r="I80" s="3">
        <v>0.32300000000000001</v>
      </c>
      <c r="J80" s="3">
        <v>0.55300000000000005</v>
      </c>
      <c r="K80" s="3">
        <v>1.02</v>
      </c>
      <c r="L80" s="3">
        <v>0.56699999999999995</v>
      </c>
      <c r="M80" s="3">
        <v>3.117</v>
      </c>
      <c r="N80" s="3">
        <v>9.8000000000000004E-2</v>
      </c>
      <c r="O80" s="3">
        <v>5.2999999999999999E-2</v>
      </c>
      <c r="P80" s="3">
        <v>3.3000000000000002E-2</v>
      </c>
      <c r="Q80" s="3">
        <v>0.06</v>
      </c>
      <c r="R80" s="3">
        <v>3.7999999999999999E-2</v>
      </c>
      <c r="S80" s="31">
        <v>0.47399999999999998</v>
      </c>
      <c r="T80" s="31">
        <v>0.36499999999999999</v>
      </c>
      <c r="U80" s="31">
        <v>0.43</v>
      </c>
      <c r="V80" s="31">
        <v>0.39600000000000002</v>
      </c>
      <c r="W80" s="3">
        <v>6.2E-2</v>
      </c>
      <c r="X80" s="3">
        <v>2.5000000000000001E-2</v>
      </c>
      <c r="Y80" s="3">
        <v>1.2E-2</v>
      </c>
      <c r="Z80" s="3">
        <v>1.0999999999999999E-2</v>
      </c>
      <c r="AA80" s="3">
        <v>2.7E-2</v>
      </c>
      <c r="AB80" s="3">
        <v>0.28199999999999997</v>
      </c>
      <c r="AC80" s="3">
        <v>0.39</v>
      </c>
    </row>
    <row r="81" spans="1:29" s="20" customFormat="1" x14ac:dyDescent="0.35">
      <c r="A81" s="20" t="s">
        <v>1243</v>
      </c>
      <c r="B81" s="20">
        <v>46</v>
      </c>
      <c r="C81" s="20">
        <v>140</v>
      </c>
      <c r="D81" s="20">
        <v>72</v>
      </c>
      <c r="E81" s="20">
        <v>46</v>
      </c>
      <c r="F81" s="64">
        <v>616</v>
      </c>
      <c r="G81" s="64">
        <v>456</v>
      </c>
      <c r="H81" s="64">
        <v>466</v>
      </c>
      <c r="I81" s="64">
        <v>481</v>
      </c>
      <c r="J81" s="64">
        <v>793</v>
      </c>
      <c r="K81" s="64">
        <v>1688</v>
      </c>
      <c r="L81" s="20">
        <v>770</v>
      </c>
      <c r="M81" s="64">
        <v>5503</v>
      </c>
      <c r="N81" s="20">
        <v>89</v>
      </c>
      <c r="O81" s="20">
        <v>53</v>
      </c>
      <c r="P81" s="20">
        <v>44</v>
      </c>
      <c r="Q81" s="20">
        <v>90</v>
      </c>
      <c r="R81" s="20">
        <v>59</v>
      </c>
      <c r="S81" s="20">
        <v>706</v>
      </c>
      <c r="T81" s="20">
        <v>519</v>
      </c>
      <c r="U81" s="20">
        <v>603</v>
      </c>
      <c r="V81" s="20">
        <v>496</v>
      </c>
      <c r="W81" s="20">
        <v>72</v>
      </c>
      <c r="X81" s="20">
        <v>27</v>
      </c>
      <c r="Y81" s="20">
        <v>12</v>
      </c>
      <c r="Z81" s="20">
        <v>10</v>
      </c>
      <c r="AA81" s="20">
        <v>25</v>
      </c>
      <c r="AB81" s="20">
        <v>223</v>
      </c>
      <c r="AC81" s="20">
        <v>350</v>
      </c>
    </row>
    <row r="82" spans="1:29" s="20" customFormat="1" x14ac:dyDescent="0.35">
      <c r="A82" s="20" t="s">
        <v>1244</v>
      </c>
      <c r="B82" s="20">
        <v>1126</v>
      </c>
      <c r="C82" s="20">
        <v>1209</v>
      </c>
      <c r="D82" s="20">
        <v>1166</v>
      </c>
      <c r="E82" s="20">
        <v>1201</v>
      </c>
      <c r="F82" s="20">
        <v>1284</v>
      </c>
      <c r="G82" s="20">
        <v>1574</v>
      </c>
      <c r="H82" s="20">
        <v>1403</v>
      </c>
      <c r="I82" s="20">
        <v>1487</v>
      </c>
      <c r="J82" s="20">
        <v>1433</v>
      </c>
      <c r="K82" s="20">
        <v>1655</v>
      </c>
      <c r="L82" s="20">
        <v>1360</v>
      </c>
      <c r="M82" s="20">
        <v>1765</v>
      </c>
      <c r="N82" s="20">
        <v>913</v>
      </c>
      <c r="O82" s="20">
        <v>1014</v>
      </c>
      <c r="P82" s="20">
        <v>1338</v>
      </c>
      <c r="Q82" s="20">
        <v>1517</v>
      </c>
      <c r="R82" s="20">
        <v>1533</v>
      </c>
      <c r="S82" s="20">
        <v>1490</v>
      </c>
      <c r="T82" s="20">
        <v>1421</v>
      </c>
      <c r="U82" s="20">
        <v>1401</v>
      </c>
      <c r="V82" s="20">
        <v>1251</v>
      </c>
      <c r="W82" s="20">
        <v>1161</v>
      </c>
      <c r="X82" s="20">
        <v>1076</v>
      </c>
      <c r="Y82" s="20">
        <v>1044</v>
      </c>
      <c r="Z82" s="20">
        <v>989</v>
      </c>
      <c r="AA82" s="20">
        <v>914</v>
      </c>
      <c r="AB82" s="20">
        <v>792</v>
      </c>
      <c r="AC82" s="20">
        <v>899</v>
      </c>
    </row>
    <row r="83" spans="1:29" x14ac:dyDescent="0.35">
      <c r="A83" t="s">
        <v>1245</v>
      </c>
      <c r="B83" s="7">
        <v>10.26</v>
      </c>
      <c r="C83" s="7">
        <v>10.66</v>
      </c>
      <c r="D83" s="7">
        <v>10.73</v>
      </c>
      <c r="E83" s="7">
        <v>10.34</v>
      </c>
      <c r="F83" s="7">
        <v>8.9600000000000009</v>
      </c>
      <c r="G83" s="7">
        <v>10.039999999999999</v>
      </c>
      <c r="H83" s="7">
        <v>9.93</v>
      </c>
      <c r="I83" s="7">
        <v>9.76</v>
      </c>
      <c r="J83" s="7">
        <v>9.4499999999999993</v>
      </c>
      <c r="K83" s="7">
        <v>8.36</v>
      </c>
      <c r="L83" s="7">
        <v>8.8699999999999992</v>
      </c>
      <c r="M83" s="7">
        <v>5.33</v>
      </c>
      <c r="N83" s="7">
        <v>9.5399999999999991</v>
      </c>
      <c r="O83" s="7">
        <v>10.42</v>
      </c>
      <c r="P83" s="7">
        <v>10.51</v>
      </c>
      <c r="Q83" s="7">
        <v>10.4</v>
      </c>
      <c r="R83" s="7">
        <v>10.47</v>
      </c>
      <c r="S83" s="7">
        <v>8.56</v>
      </c>
      <c r="T83" s="7">
        <v>8.58</v>
      </c>
      <c r="U83" s="7">
        <v>8.4499999999999993</v>
      </c>
      <c r="V83" s="7">
        <v>8.61</v>
      </c>
      <c r="W83" s="7">
        <v>10.96</v>
      </c>
      <c r="X83" s="7">
        <v>10.96</v>
      </c>
      <c r="Y83" s="7">
        <v>10.85</v>
      </c>
      <c r="Z83" s="7">
        <v>10.94</v>
      </c>
      <c r="AA83" s="7">
        <v>10.81</v>
      </c>
      <c r="AB83" s="7">
        <v>9.77</v>
      </c>
      <c r="AC83" s="7">
        <v>9.81</v>
      </c>
    </row>
    <row r="84" spans="1:29" x14ac:dyDescent="0.35">
      <c r="B84" s="7"/>
      <c r="C84" s="7"/>
      <c r="D84" s="7"/>
      <c r="E84" s="7"/>
      <c r="F84" s="63">
        <f>SUM(F82:K82)</f>
        <v>8836</v>
      </c>
      <c r="G84" s="63">
        <f>SUM(F81:K81)</f>
        <v>4500</v>
      </c>
      <c r="H84" s="7"/>
      <c r="I84" s="7"/>
      <c r="J84" s="7"/>
      <c r="K84" s="7"/>
      <c r="L84" s="20">
        <v>1765</v>
      </c>
      <c r="M84" s="64">
        <v>5503</v>
      </c>
      <c r="N84" s="7"/>
      <c r="O84" s="7"/>
      <c r="P84" s="7"/>
      <c r="Q84" s="7"/>
      <c r="R84" s="7"/>
      <c r="S84" s="63">
        <f>SUM(S82:V82)</f>
        <v>5563</v>
      </c>
      <c r="T84" s="63">
        <f>SUM(S81:V81)</f>
        <v>2324</v>
      </c>
      <c r="U84" s="7"/>
      <c r="V84" s="7"/>
      <c r="W84" s="7"/>
      <c r="X84" s="7"/>
      <c r="Y84" s="7"/>
      <c r="Z84" s="7"/>
      <c r="AA84" s="7"/>
      <c r="AB84" s="7"/>
      <c r="AC84" s="7"/>
    </row>
    <row r="85" spans="1:29" x14ac:dyDescent="0.35">
      <c r="A85" t="s">
        <v>1254</v>
      </c>
      <c r="B85" s="5">
        <v>46026</v>
      </c>
      <c r="C85" s="5">
        <v>46033</v>
      </c>
      <c r="D85" s="5">
        <v>46040</v>
      </c>
      <c r="E85" s="5">
        <v>46047</v>
      </c>
      <c r="F85" s="5">
        <v>46054</v>
      </c>
      <c r="G85" s="5">
        <v>46061</v>
      </c>
      <c r="H85" s="5">
        <v>46068</v>
      </c>
      <c r="I85" s="5">
        <v>46075</v>
      </c>
      <c r="J85" s="5">
        <v>46082</v>
      </c>
      <c r="K85" s="5">
        <v>46089</v>
      </c>
      <c r="L85" s="5">
        <v>46096</v>
      </c>
      <c r="M85" s="5">
        <v>46103</v>
      </c>
      <c r="N85" s="5">
        <v>46110</v>
      </c>
      <c r="O85" s="5">
        <v>46117</v>
      </c>
      <c r="P85" s="5">
        <v>46124</v>
      </c>
      <c r="Q85" s="5">
        <v>46131</v>
      </c>
      <c r="R85" s="5">
        <v>46138</v>
      </c>
      <c r="S85" s="5">
        <v>46145</v>
      </c>
      <c r="T85" s="5">
        <v>46152</v>
      </c>
      <c r="U85" s="5">
        <v>46159</v>
      </c>
      <c r="V85" s="5">
        <v>46166</v>
      </c>
      <c r="W85" s="5">
        <v>46173</v>
      </c>
      <c r="X85" s="5">
        <v>46180</v>
      </c>
      <c r="Y85" s="5">
        <v>46187</v>
      </c>
      <c r="Z85" s="5">
        <v>46194</v>
      </c>
      <c r="AA85" s="5">
        <v>46201</v>
      </c>
      <c r="AB85" s="5">
        <v>46208</v>
      </c>
      <c r="AC85" s="5">
        <v>46215</v>
      </c>
    </row>
    <row r="86" spans="1:29" x14ac:dyDescent="0.35">
      <c r="A86" t="s">
        <v>1242</v>
      </c>
      <c r="B86" s="3">
        <v>0.04</v>
      </c>
      <c r="C86" s="3">
        <v>0.11600000000000001</v>
      </c>
      <c r="D86" s="3">
        <v>6.2E-2</v>
      </c>
      <c r="E86" s="3">
        <v>3.7999999999999999E-2</v>
      </c>
      <c r="F86" s="3">
        <v>0.48</v>
      </c>
      <c r="G86" s="3">
        <v>0.28899999999999998</v>
      </c>
      <c r="H86" s="3">
        <v>0.33200000000000002</v>
      </c>
      <c r="I86" s="3">
        <v>0.32300000000000001</v>
      </c>
      <c r="J86" s="3">
        <v>0.55300000000000005</v>
      </c>
      <c r="K86" s="3">
        <v>1.02</v>
      </c>
      <c r="L86" s="3">
        <v>0.56699999999999995</v>
      </c>
      <c r="M86" s="31">
        <v>3.117</v>
      </c>
      <c r="N86" s="3">
        <v>9.8000000000000004E-2</v>
      </c>
      <c r="O86" s="3">
        <v>5.2999999999999999E-2</v>
      </c>
      <c r="P86" s="3">
        <v>3.3000000000000002E-2</v>
      </c>
      <c r="Q86" s="3">
        <v>0.06</v>
      </c>
      <c r="R86" s="3">
        <v>3.7999999999999999E-2</v>
      </c>
      <c r="S86" s="3">
        <v>0.47399999999999998</v>
      </c>
      <c r="T86" s="3">
        <v>0.36499999999999999</v>
      </c>
      <c r="U86" s="3">
        <v>0.43</v>
      </c>
      <c r="V86" s="3">
        <v>0.39600000000000002</v>
      </c>
      <c r="W86" s="3">
        <v>6.2E-2</v>
      </c>
      <c r="X86" s="3">
        <v>2.5000000000000001E-2</v>
      </c>
      <c r="Y86" s="3">
        <v>1.2E-2</v>
      </c>
      <c r="Z86" s="3">
        <v>1.0999999999999999E-2</v>
      </c>
      <c r="AA86" s="3">
        <v>2.7E-2</v>
      </c>
      <c r="AB86" s="3">
        <v>0.28199999999999997</v>
      </c>
      <c r="AC86" s="3">
        <v>0.39</v>
      </c>
    </row>
    <row r="87" spans="1:29" x14ac:dyDescent="0.35">
      <c r="A87" t="s">
        <v>1247</v>
      </c>
      <c r="B87" s="3">
        <v>0.14599999999999999</v>
      </c>
      <c r="C87" s="3">
        <v>9.5000000000000001E-2</v>
      </c>
      <c r="D87" s="3">
        <v>0.01</v>
      </c>
      <c r="E87" s="3">
        <v>6.8000000000000005E-2</v>
      </c>
      <c r="F87" s="3">
        <v>7.4999999999999997E-2</v>
      </c>
      <c r="G87" s="3">
        <v>3.5000000000000003E-2</v>
      </c>
      <c r="H87" s="3">
        <v>3.5000000000000003E-2</v>
      </c>
      <c r="I87" s="3">
        <v>5.1999999999999998E-2</v>
      </c>
      <c r="J87" s="3">
        <v>6.7000000000000004E-2</v>
      </c>
      <c r="K87" s="3">
        <v>0.157</v>
      </c>
      <c r="L87" s="3">
        <v>9.1999999999999998E-2</v>
      </c>
      <c r="M87" s="3">
        <v>0.442</v>
      </c>
      <c r="N87" s="3">
        <v>0.121</v>
      </c>
      <c r="O87" s="3">
        <v>0.13400000000000001</v>
      </c>
      <c r="P87" s="3">
        <v>8.3000000000000004E-2</v>
      </c>
      <c r="Q87" s="3">
        <v>0.108</v>
      </c>
      <c r="R87" s="3">
        <v>8.4000000000000005E-2</v>
      </c>
      <c r="S87" s="31">
        <v>0.129</v>
      </c>
      <c r="T87" s="31">
        <v>0.111</v>
      </c>
      <c r="U87" s="31">
        <v>0.14099999999999999</v>
      </c>
      <c r="V87" s="31">
        <v>0.115</v>
      </c>
      <c r="W87" s="3">
        <v>3.0000000000000001E-3</v>
      </c>
      <c r="X87" s="3">
        <v>5.0000000000000001E-3</v>
      </c>
      <c r="Y87" s="3">
        <v>6.9000000000000006E-2</v>
      </c>
      <c r="Z87" s="3">
        <v>8.5999999999999993E-2</v>
      </c>
      <c r="AA87" s="3">
        <v>0.26700000000000002</v>
      </c>
      <c r="AB87" s="3">
        <v>6.0999999999999999E-2</v>
      </c>
      <c r="AC87" s="3">
        <v>6.7000000000000004E-2</v>
      </c>
    </row>
    <row r="88" spans="1:29" x14ac:dyDescent="0.35">
      <c r="A88" t="s">
        <v>1248</v>
      </c>
      <c r="B88" s="7">
        <v>1.52</v>
      </c>
      <c r="C88" s="7">
        <v>1.04</v>
      </c>
      <c r="D88" s="7">
        <v>0.11</v>
      </c>
      <c r="E88" s="7">
        <v>0.71</v>
      </c>
      <c r="F88" s="7">
        <v>0.73</v>
      </c>
      <c r="G88" s="7">
        <v>0.36</v>
      </c>
      <c r="H88" s="7">
        <v>0.36</v>
      </c>
      <c r="I88" s="7">
        <v>0.53</v>
      </c>
      <c r="J88" s="7">
        <v>0.68</v>
      </c>
      <c r="K88" s="7">
        <v>1.55</v>
      </c>
      <c r="L88" s="7">
        <v>0.9</v>
      </c>
      <c r="M88" s="7">
        <v>4.22</v>
      </c>
      <c r="N88" s="7">
        <v>1.19</v>
      </c>
      <c r="O88" s="7">
        <v>1.42</v>
      </c>
      <c r="P88" s="7">
        <v>0.88</v>
      </c>
      <c r="Q88" s="7">
        <v>1.1399999999999999</v>
      </c>
      <c r="R88" s="7">
        <v>0.88</v>
      </c>
      <c r="S88" s="7">
        <v>1.26</v>
      </c>
      <c r="T88" s="7">
        <v>1.07</v>
      </c>
      <c r="U88" s="7">
        <v>1.38</v>
      </c>
      <c r="V88" s="7">
        <v>1.1100000000000001</v>
      </c>
      <c r="W88" s="7">
        <v>0.04</v>
      </c>
      <c r="X88" s="7">
        <v>0.06</v>
      </c>
      <c r="Y88" s="7">
        <v>0.75</v>
      </c>
      <c r="Z88" s="7">
        <v>0.94</v>
      </c>
      <c r="AA88" s="7">
        <v>2.92</v>
      </c>
      <c r="AB88" s="7">
        <v>0.63</v>
      </c>
      <c r="AC88" s="7">
        <v>0.7</v>
      </c>
    </row>
    <row r="89" spans="1:29" x14ac:dyDescent="0.35">
      <c r="A89" t="s">
        <v>1249</v>
      </c>
      <c r="B89" s="7">
        <v>8.8800000000000008</v>
      </c>
      <c r="C89" s="7">
        <v>9.86</v>
      </c>
      <c r="D89" s="7">
        <v>10.64</v>
      </c>
      <c r="E89" s="7">
        <v>9.7200000000000006</v>
      </c>
      <c r="F89" s="32">
        <v>8.9600000000000009</v>
      </c>
      <c r="G89" s="32">
        <v>9.91</v>
      </c>
      <c r="H89" s="32">
        <v>9.8800000000000008</v>
      </c>
      <c r="I89" s="32">
        <v>9.6199999999999992</v>
      </c>
      <c r="J89" s="32">
        <v>9.4</v>
      </c>
      <c r="K89" s="32">
        <v>8.36</v>
      </c>
      <c r="L89" s="7">
        <v>8.8699999999999992</v>
      </c>
      <c r="M89" s="7">
        <v>5.33</v>
      </c>
      <c r="N89" s="7">
        <v>8.65</v>
      </c>
      <c r="O89" s="7">
        <v>9.15</v>
      </c>
      <c r="P89" s="7">
        <v>9.67</v>
      </c>
      <c r="Q89" s="7">
        <v>9.4</v>
      </c>
      <c r="R89" s="7">
        <v>9.69</v>
      </c>
      <c r="S89" s="7">
        <v>8.5299999999999994</v>
      </c>
      <c r="T89" s="7">
        <v>8.5500000000000007</v>
      </c>
      <c r="U89" s="7">
        <v>8.41</v>
      </c>
      <c r="V89" s="7">
        <v>8.57</v>
      </c>
      <c r="W89" s="7">
        <v>10.92</v>
      </c>
      <c r="X89" s="7">
        <v>10.91</v>
      </c>
      <c r="Y89" s="7">
        <v>10.130000000000001</v>
      </c>
      <c r="Z89" s="7">
        <v>10.01</v>
      </c>
      <c r="AA89" s="7">
        <v>8.0299999999999994</v>
      </c>
      <c r="AB89" s="7">
        <v>9.73</v>
      </c>
      <c r="AC89" s="7">
        <v>9.7899999999999991</v>
      </c>
    </row>
    <row r="90" spans="1:29" x14ac:dyDescent="0.35">
      <c r="A90" t="s">
        <v>1250</v>
      </c>
      <c r="B90" s="7">
        <v>10.4</v>
      </c>
      <c r="C90" s="7">
        <v>10.9</v>
      </c>
      <c r="D90" s="7">
        <v>10.75</v>
      </c>
      <c r="E90" s="7">
        <v>10.43</v>
      </c>
      <c r="F90" s="7">
        <v>9.69</v>
      </c>
      <c r="G90" s="7">
        <v>10.28</v>
      </c>
      <c r="H90" s="7">
        <v>10.24</v>
      </c>
      <c r="I90" s="7">
        <v>10.15</v>
      </c>
      <c r="J90" s="7">
        <v>10.08</v>
      </c>
      <c r="K90" s="7">
        <v>9.91</v>
      </c>
      <c r="L90" s="7">
        <v>9.76</v>
      </c>
      <c r="M90" s="7">
        <v>9.5500000000000007</v>
      </c>
      <c r="N90" s="7">
        <v>9.84</v>
      </c>
      <c r="O90" s="7">
        <v>10.57</v>
      </c>
      <c r="P90" s="7">
        <v>10.55</v>
      </c>
      <c r="Q90" s="7">
        <v>10.54</v>
      </c>
      <c r="R90" s="7">
        <v>10.57</v>
      </c>
      <c r="S90" s="7">
        <v>9.7899999999999991</v>
      </c>
      <c r="T90" s="7">
        <v>9.6199999999999992</v>
      </c>
      <c r="U90" s="7">
        <v>9.7899999999999991</v>
      </c>
      <c r="V90" s="7">
        <v>9.68</v>
      </c>
      <c r="W90" s="7">
        <v>10.96</v>
      </c>
      <c r="X90" s="7">
        <v>10.96</v>
      </c>
      <c r="Y90" s="7">
        <v>10.88</v>
      </c>
      <c r="Z90" s="7">
        <v>10.96</v>
      </c>
      <c r="AA90" s="7">
        <v>10.95</v>
      </c>
      <c r="AB90" s="7">
        <v>10.36</v>
      </c>
      <c r="AC90" s="7">
        <v>10.5</v>
      </c>
    </row>
    <row r="91" spans="1:29" x14ac:dyDescent="0.35">
      <c r="A91" t="s">
        <v>1245</v>
      </c>
      <c r="B91" s="7">
        <v>10.26</v>
      </c>
      <c r="C91" s="7">
        <v>10.66</v>
      </c>
      <c r="D91" s="7">
        <v>10.73</v>
      </c>
      <c r="E91" s="7">
        <v>10.34</v>
      </c>
      <c r="F91" s="7">
        <v>8.9600000000000009</v>
      </c>
      <c r="G91" s="7">
        <v>10.039999999999999</v>
      </c>
      <c r="H91" s="7">
        <v>9.93</v>
      </c>
      <c r="I91" s="7">
        <v>9.76</v>
      </c>
      <c r="J91" s="7">
        <v>9.4499999999999993</v>
      </c>
      <c r="K91" s="7">
        <v>8.36</v>
      </c>
      <c r="L91" s="7">
        <v>8.8699999999999992</v>
      </c>
      <c r="M91" s="7">
        <v>5.33</v>
      </c>
      <c r="N91" s="7">
        <v>9.5399999999999991</v>
      </c>
      <c r="O91" s="7">
        <v>10.42</v>
      </c>
      <c r="P91" s="7">
        <v>10.51</v>
      </c>
      <c r="Q91" s="7">
        <v>10.4</v>
      </c>
      <c r="R91" s="7">
        <v>10.47</v>
      </c>
      <c r="S91" s="7">
        <v>8.56</v>
      </c>
      <c r="T91" s="7">
        <v>8.58</v>
      </c>
      <c r="U91" s="7">
        <v>8.4499999999999993</v>
      </c>
      <c r="V91" s="7">
        <v>8.61</v>
      </c>
      <c r="W91" s="7">
        <v>10.96</v>
      </c>
      <c r="X91" s="7">
        <v>10.96</v>
      </c>
      <c r="Y91" s="7">
        <v>10.85</v>
      </c>
      <c r="Z91" s="7">
        <v>10.94</v>
      </c>
      <c r="AA91" s="7">
        <v>10.81</v>
      </c>
      <c r="AB91" s="7">
        <v>9.77</v>
      </c>
      <c r="AC91" s="7">
        <v>9.81</v>
      </c>
    </row>
    <row r="92" spans="1:29" x14ac:dyDescent="0.35">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row>
    <row r="93" spans="1:29" x14ac:dyDescent="0.35">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row>
    <row r="95" spans="1:29" s="50" customFormat="1" x14ac:dyDescent="0.35"/>
    <row r="97" spans="1:29" x14ac:dyDescent="0.35">
      <c r="A97" s="49" t="s">
        <v>1267</v>
      </c>
    </row>
    <row r="98" spans="1:29" x14ac:dyDescent="0.35">
      <c r="A98" t="s">
        <v>1265</v>
      </c>
      <c r="B98" s="45">
        <v>1218</v>
      </c>
      <c r="C98" s="45">
        <v>1219</v>
      </c>
      <c r="D98" s="45">
        <v>1220</v>
      </c>
    </row>
    <row r="99" spans="1:29" x14ac:dyDescent="0.35">
      <c r="A99" t="s">
        <v>1240</v>
      </c>
      <c r="B99" s="5">
        <v>46026</v>
      </c>
      <c r="C99" s="5">
        <v>46033</v>
      </c>
      <c r="D99" s="5">
        <v>46040</v>
      </c>
      <c r="E99" s="5">
        <v>46047</v>
      </c>
      <c r="F99" s="5">
        <v>46054</v>
      </c>
      <c r="G99" s="5">
        <v>46061</v>
      </c>
      <c r="H99" s="5">
        <v>46068</v>
      </c>
      <c r="I99" s="5">
        <v>46075</v>
      </c>
      <c r="J99" s="5">
        <v>46082</v>
      </c>
      <c r="K99" s="5">
        <v>46089</v>
      </c>
      <c r="L99" s="5">
        <v>46096</v>
      </c>
      <c r="M99" s="5">
        <v>46103</v>
      </c>
      <c r="N99" s="5">
        <v>46110</v>
      </c>
      <c r="O99" s="5">
        <v>46117</v>
      </c>
      <c r="P99" s="5">
        <v>46124</v>
      </c>
      <c r="Q99" s="5">
        <v>46131</v>
      </c>
      <c r="R99" s="5">
        <v>46138</v>
      </c>
      <c r="S99" s="5">
        <v>46145</v>
      </c>
      <c r="T99" s="5">
        <v>46152</v>
      </c>
      <c r="U99" s="5">
        <v>46159</v>
      </c>
      <c r="V99" s="5">
        <v>46166</v>
      </c>
      <c r="W99" s="5">
        <v>46173</v>
      </c>
      <c r="X99" s="5">
        <v>46180</v>
      </c>
      <c r="Y99" s="5">
        <v>46187</v>
      </c>
      <c r="Z99" s="5">
        <v>46194</v>
      </c>
      <c r="AA99" s="5">
        <v>46201</v>
      </c>
      <c r="AB99" s="5">
        <v>46208</v>
      </c>
      <c r="AC99" s="5">
        <v>46215</v>
      </c>
    </row>
    <row r="100" spans="1:29" x14ac:dyDescent="0.35">
      <c r="A100" t="s">
        <v>1241</v>
      </c>
      <c r="B100" s="6">
        <v>7646</v>
      </c>
      <c r="C100" s="6">
        <v>9625</v>
      </c>
      <c r="D100" s="6">
        <v>9882</v>
      </c>
      <c r="E100" s="6">
        <v>9905</v>
      </c>
      <c r="F100" s="6">
        <v>8555</v>
      </c>
      <c r="G100" s="6">
        <v>7981</v>
      </c>
      <c r="H100" s="6">
        <v>7547</v>
      </c>
      <c r="I100" s="6">
        <v>7930</v>
      </c>
      <c r="J100" s="6">
        <v>9384</v>
      </c>
      <c r="K100" s="6">
        <v>10594</v>
      </c>
      <c r="L100" s="6">
        <v>10616</v>
      </c>
      <c r="M100" s="6">
        <v>10399</v>
      </c>
      <c r="N100" s="6">
        <v>10116</v>
      </c>
      <c r="O100" s="6">
        <v>9625</v>
      </c>
      <c r="P100" s="6">
        <v>9832</v>
      </c>
      <c r="Q100" s="6">
        <v>9669</v>
      </c>
      <c r="R100" s="6">
        <v>9839</v>
      </c>
      <c r="S100" s="6">
        <v>9624</v>
      </c>
      <c r="T100" s="6">
        <v>8933</v>
      </c>
      <c r="U100" s="6">
        <v>8393</v>
      </c>
      <c r="V100" s="6">
        <v>8501</v>
      </c>
      <c r="W100" s="6">
        <v>8484</v>
      </c>
      <c r="X100" s="6">
        <v>11475</v>
      </c>
      <c r="Y100" s="6">
        <v>9850</v>
      </c>
      <c r="Z100" s="6">
        <v>8726</v>
      </c>
      <c r="AA100" s="6">
        <v>7787</v>
      </c>
      <c r="AB100" s="6">
        <v>7597</v>
      </c>
      <c r="AC100" s="6">
        <v>7252</v>
      </c>
    </row>
    <row r="101" spans="1:29" x14ac:dyDescent="0.35">
      <c r="A101" t="s">
        <v>1242</v>
      </c>
      <c r="B101" s="3">
        <v>0.73799999999999999</v>
      </c>
      <c r="C101" s="3">
        <v>0.76800000000000002</v>
      </c>
      <c r="D101" s="3">
        <v>0.70499999999999996</v>
      </c>
      <c r="E101" s="3">
        <v>0.63200000000000001</v>
      </c>
      <c r="F101" s="3">
        <v>0.45600000000000002</v>
      </c>
      <c r="G101" s="3">
        <v>0.371</v>
      </c>
      <c r="H101" s="3">
        <v>0.29799999999999999</v>
      </c>
      <c r="I101" s="3">
        <v>0.373</v>
      </c>
      <c r="J101" s="3">
        <v>0.32200000000000001</v>
      </c>
      <c r="K101" s="3">
        <v>0.51100000000000001</v>
      </c>
      <c r="L101" s="3">
        <v>0.48499999999999999</v>
      </c>
      <c r="M101" s="3">
        <v>0.432</v>
      </c>
      <c r="N101" s="3">
        <v>0.46300000000000002</v>
      </c>
      <c r="O101" s="3">
        <v>0.373</v>
      </c>
      <c r="P101" s="3">
        <v>0.42199999999999999</v>
      </c>
      <c r="Q101" s="3">
        <v>0.33900000000000002</v>
      </c>
      <c r="R101" s="3">
        <v>0.40100000000000002</v>
      </c>
      <c r="S101" s="3">
        <v>0.41899999999999998</v>
      </c>
      <c r="T101" s="3">
        <v>0.36899999999999999</v>
      </c>
      <c r="U101" s="3">
        <v>0.27800000000000002</v>
      </c>
      <c r="V101" s="3">
        <v>0.307</v>
      </c>
      <c r="W101" s="3">
        <v>0.23799999999999999</v>
      </c>
      <c r="X101" s="47">
        <v>0.47499999999999998</v>
      </c>
      <c r="Y101" s="47">
        <v>0.35899999999999999</v>
      </c>
      <c r="Z101" s="3">
        <v>0.19500000000000001</v>
      </c>
      <c r="AA101" s="3">
        <v>0.24399999999999999</v>
      </c>
      <c r="AB101" s="3">
        <v>0.23</v>
      </c>
      <c r="AC101" s="3">
        <v>0.252</v>
      </c>
    </row>
    <row r="102" spans="1:29" x14ac:dyDescent="0.35">
      <c r="A102" t="s">
        <v>1243</v>
      </c>
      <c r="B102" s="46">
        <v>3248</v>
      </c>
      <c r="C102" s="46">
        <v>4181</v>
      </c>
      <c r="D102" s="46">
        <v>4087</v>
      </c>
      <c r="E102" s="46">
        <v>3837</v>
      </c>
      <c r="F102" s="6">
        <v>2678</v>
      </c>
      <c r="G102" s="6">
        <v>2158</v>
      </c>
      <c r="H102" s="6">
        <v>1735</v>
      </c>
      <c r="I102" s="6">
        <v>2154</v>
      </c>
      <c r="J102" s="6">
        <v>2288</v>
      </c>
      <c r="K102" s="46">
        <v>3583</v>
      </c>
      <c r="L102" s="46">
        <v>3466</v>
      </c>
      <c r="M102" s="46">
        <v>3135</v>
      </c>
      <c r="N102" s="46">
        <v>3201</v>
      </c>
      <c r="O102" s="6">
        <v>2614</v>
      </c>
      <c r="P102" s="6">
        <v>2920</v>
      </c>
      <c r="Q102" s="6">
        <v>2446</v>
      </c>
      <c r="R102" s="6">
        <v>2817</v>
      </c>
      <c r="S102" s="6">
        <v>2841</v>
      </c>
      <c r="T102" s="6">
        <v>2407</v>
      </c>
      <c r="U102" s="6">
        <v>1824</v>
      </c>
      <c r="V102" s="6">
        <v>1998</v>
      </c>
      <c r="W102" s="6">
        <v>1629</v>
      </c>
      <c r="X102" s="6">
        <v>3696</v>
      </c>
      <c r="Y102" s="6">
        <v>2600</v>
      </c>
      <c r="Z102" s="6">
        <v>1425</v>
      </c>
      <c r="AA102" s="6">
        <v>1525</v>
      </c>
      <c r="AB102" s="6">
        <v>1421</v>
      </c>
      <c r="AC102" s="6">
        <v>1462</v>
      </c>
    </row>
    <row r="103" spans="1:29" x14ac:dyDescent="0.35">
      <c r="A103" t="s">
        <v>1244</v>
      </c>
      <c r="B103" s="6">
        <v>4398</v>
      </c>
      <c r="C103" s="6">
        <v>5444</v>
      </c>
      <c r="D103" s="6">
        <v>5794</v>
      </c>
      <c r="E103" s="6">
        <v>6068</v>
      </c>
      <c r="F103" s="6">
        <v>5877</v>
      </c>
      <c r="G103" s="6">
        <v>5823</v>
      </c>
      <c r="H103" s="6">
        <v>5813</v>
      </c>
      <c r="I103" s="6">
        <v>5776</v>
      </c>
      <c r="J103" s="6">
        <v>7096</v>
      </c>
      <c r="K103" s="6">
        <v>7011</v>
      </c>
      <c r="L103" s="6">
        <v>7151</v>
      </c>
      <c r="M103" s="6">
        <v>7264</v>
      </c>
      <c r="N103" s="6">
        <v>6915</v>
      </c>
      <c r="O103" s="6">
        <v>7011</v>
      </c>
      <c r="P103" s="6">
        <v>6912</v>
      </c>
      <c r="Q103" s="6">
        <v>7222</v>
      </c>
      <c r="R103" s="6">
        <v>7022</v>
      </c>
      <c r="S103" s="6">
        <v>6784</v>
      </c>
      <c r="T103" s="6">
        <v>6526</v>
      </c>
      <c r="U103" s="6">
        <v>6569</v>
      </c>
      <c r="V103" s="6">
        <v>6503</v>
      </c>
      <c r="W103" s="6">
        <v>6854</v>
      </c>
      <c r="X103" s="6">
        <v>7778</v>
      </c>
      <c r="Y103" s="6">
        <v>7250</v>
      </c>
      <c r="Z103" s="6">
        <v>7301</v>
      </c>
      <c r="AA103" s="6">
        <v>6262</v>
      </c>
      <c r="AB103" s="6">
        <v>6176</v>
      </c>
      <c r="AC103" s="6">
        <v>5790</v>
      </c>
    </row>
    <row r="104" spans="1:29" x14ac:dyDescent="0.35">
      <c r="A104" t="s">
        <v>1245</v>
      </c>
      <c r="B104" s="7">
        <v>2.37</v>
      </c>
      <c r="C104" s="7">
        <v>2.48</v>
      </c>
      <c r="D104" s="7">
        <v>2.41</v>
      </c>
      <c r="E104" s="7">
        <v>2.44</v>
      </c>
      <c r="F104" s="7">
        <v>2.54</v>
      </c>
      <c r="G104" s="7">
        <v>2.65</v>
      </c>
      <c r="H104" s="7">
        <v>2.68</v>
      </c>
      <c r="I104" s="7">
        <v>2.59</v>
      </c>
      <c r="J104" s="7">
        <v>2.71</v>
      </c>
      <c r="K104" s="7">
        <v>2.59</v>
      </c>
      <c r="L104" s="7">
        <v>2.61</v>
      </c>
      <c r="M104" s="7">
        <v>2.56</v>
      </c>
      <c r="N104" s="7">
        <v>2.57</v>
      </c>
      <c r="O104" s="7">
        <v>2.76</v>
      </c>
      <c r="P104" s="7">
        <v>2.61</v>
      </c>
      <c r="Q104" s="7">
        <v>2.67</v>
      </c>
      <c r="R104" s="7">
        <v>2.59</v>
      </c>
      <c r="S104" s="7">
        <v>2.62</v>
      </c>
      <c r="T104" s="7">
        <v>2.6</v>
      </c>
      <c r="U104" s="7">
        <v>2.7</v>
      </c>
      <c r="V104" s="7">
        <v>2.61</v>
      </c>
      <c r="W104" s="7">
        <v>2.65</v>
      </c>
      <c r="X104" s="7">
        <v>2.5</v>
      </c>
      <c r="Y104" s="7">
        <v>2.62</v>
      </c>
      <c r="Z104" s="7">
        <v>2.77</v>
      </c>
      <c r="AA104" s="7">
        <v>2.8</v>
      </c>
      <c r="AB104" s="7">
        <v>2.73</v>
      </c>
      <c r="AC104" s="7">
        <v>2.74</v>
      </c>
    </row>
    <row r="105" spans="1:29" x14ac:dyDescent="0.35">
      <c r="B105" s="6">
        <f>SUM(B103:E103)</f>
        <v>21704</v>
      </c>
      <c r="C105" s="6">
        <f>SUM(B102:E102)</f>
        <v>15353</v>
      </c>
      <c r="D105">
        <f>C105/B105</f>
        <v>0.7073811279026907</v>
      </c>
      <c r="K105" s="6">
        <f>SUM(K103:N103)</f>
        <v>28341</v>
      </c>
      <c r="L105" s="6">
        <f>SUM(K102:N102)</f>
        <v>13385</v>
      </c>
      <c r="X105" s="6">
        <f>SUM(X103:Y103)</f>
        <v>15028</v>
      </c>
      <c r="Y105" s="6">
        <f>SUM(X102:Y102)</f>
        <v>6296</v>
      </c>
    </row>
    <row r="107" spans="1:29" x14ac:dyDescent="0.35">
      <c r="A107" t="s">
        <v>1240</v>
      </c>
      <c r="B107" s="5">
        <v>46026</v>
      </c>
      <c r="C107" s="5">
        <v>46033</v>
      </c>
      <c r="D107" s="5">
        <v>46040</v>
      </c>
      <c r="E107" s="5">
        <v>46047</v>
      </c>
      <c r="F107" s="5">
        <v>46054</v>
      </c>
      <c r="G107" s="5">
        <v>46061</v>
      </c>
      <c r="H107" s="5">
        <v>46068</v>
      </c>
      <c r="I107" s="5">
        <v>46075</v>
      </c>
      <c r="J107" s="5">
        <v>46082</v>
      </c>
      <c r="K107" s="5">
        <v>46089</v>
      </c>
      <c r="L107" s="5">
        <v>46096</v>
      </c>
      <c r="M107" s="5">
        <v>46103</v>
      </c>
      <c r="N107" s="5">
        <v>46110</v>
      </c>
      <c r="O107" s="5">
        <v>46117</v>
      </c>
      <c r="P107" s="5">
        <v>46124</v>
      </c>
      <c r="Q107" s="5">
        <v>46131</v>
      </c>
      <c r="R107" s="5">
        <v>46138</v>
      </c>
      <c r="S107" s="5">
        <v>46145</v>
      </c>
      <c r="T107" s="5">
        <v>46152</v>
      </c>
      <c r="U107" s="5">
        <v>46159</v>
      </c>
      <c r="V107" s="5">
        <v>46166</v>
      </c>
      <c r="W107" s="5">
        <v>46173</v>
      </c>
      <c r="X107" s="5">
        <v>46180</v>
      </c>
      <c r="Y107" s="5">
        <v>46187</v>
      </c>
      <c r="Z107" s="5">
        <v>46194</v>
      </c>
      <c r="AA107" s="5">
        <v>46201</v>
      </c>
      <c r="AB107" s="5">
        <v>46208</v>
      </c>
      <c r="AC107" s="5">
        <v>46215</v>
      </c>
    </row>
    <row r="108" spans="1:29" x14ac:dyDescent="0.35">
      <c r="A108" t="s">
        <v>1242</v>
      </c>
      <c r="B108" s="3">
        <v>0.73799999999999999</v>
      </c>
      <c r="C108" s="3">
        <v>0.76800000000000002</v>
      </c>
      <c r="D108" s="3">
        <v>0.70499999999999996</v>
      </c>
      <c r="E108" s="3">
        <v>0.63200000000000001</v>
      </c>
      <c r="F108" s="3">
        <v>0.45600000000000002</v>
      </c>
      <c r="G108" s="3">
        <v>0.371</v>
      </c>
      <c r="H108" s="3">
        <v>0.29799999999999999</v>
      </c>
      <c r="I108" s="3">
        <v>0.373</v>
      </c>
      <c r="J108" s="3">
        <v>0.32200000000000001</v>
      </c>
      <c r="K108" s="3">
        <v>0.51100000000000001</v>
      </c>
      <c r="L108" s="3">
        <v>0.48499999999999999</v>
      </c>
      <c r="M108" s="3">
        <v>0.432</v>
      </c>
      <c r="N108" s="3">
        <v>0.46300000000000002</v>
      </c>
      <c r="O108" s="3">
        <v>0.373</v>
      </c>
      <c r="P108" s="3">
        <v>0.42199999999999999</v>
      </c>
      <c r="Q108" s="3">
        <v>0.33900000000000002</v>
      </c>
      <c r="R108" s="3">
        <v>0.40100000000000002</v>
      </c>
      <c r="S108" s="3">
        <v>0.41899999999999998</v>
      </c>
      <c r="T108" s="3">
        <v>0.36899999999999999</v>
      </c>
      <c r="U108" s="3">
        <v>0.27800000000000002</v>
      </c>
      <c r="V108" s="3">
        <v>0.307</v>
      </c>
      <c r="W108" s="3">
        <v>0.23799999999999999</v>
      </c>
      <c r="X108" s="3">
        <v>0.47499999999999998</v>
      </c>
      <c r="Y108" s="3">
        <v>0.35899999999999999</v>
      </c>
      <c r="Z108" s="3">
        <v>0.19500000000000001</v>
      </c>
      <c r="AA108" s="3">
        <v>0.24399999999999999</v>
      </c>
      <c r="AB108" s="3">
        <v>0.23</v>
      </c>
      <c r="AC108" s="3">
        <v>0.252</v>
      </c>
    </row>
    <row r="109" spans="1:29" x14ac:dyDescent="0.35">
      <c r="A109" t="s">
        <v>1247</v>
      </c>
      <c r="B109" s="47">
        <v>0.16400000000000001</v>
      </c>
      <c r="C109" s="47">
        <v>0.125</v>
      </c>
      <c r="D109" s="47">
        <v>0.156</v>
      </c>
      <c r="E109" s="47">
        <v>0.14799999999999999</v>
      </c>
      <c r="F109" s="3">
        <v>0.14399999999999999</v>
      </c>
      <c r="G109" s="3">
        <v>0.14199999999999999</v>
      </c>
      <c r="H109" s="3">
        <v>0.11799999999999999</v>
      </c>
      <c r="I109" s="3">
        <v>0.13300000000000001</v>
      </c>
      <c r="J109" s="3">
        <v>0.123</v>
      </c>
      <c r="K109" s="47">
        <v>0.114</v>
      </c>
      <c r="L109" s="47">
        <v>0.14799999999999999</v>
      </c>
      <c r="M109" s="47">
        <v>0.20899999999999999</v>
      </c>
      <c r="N109" s="47">
        <v>0.19600000000000001</v>
      </c>
      <c r="O109" s="3">
        <v>0.13800000000000001</v>
      </c>
      <c r="P109" s="3">
        <v>0.156</v>
      </c>
      <c r="Q109" s="3">
        <v>0.14099999999999999</v>
      </c>
      <c r="R109" s="3">
        <v>0.13400000000000001</v>
      </c>
      <c r="S109" s="3">
        <v>0.12</v>
      </c>
      <c r="T109" s="3">
        <v>0.13400000000000001</v>
      </c>
      <c r="U109" s="3">
        <v>0.14799999999999999</v>
      </c>
      <c r="V109" s="3">
        <v>0.109</v>
      </c>
      <c r="W109" s="3">
        <v>0.11600000000000001</v>
      </c>
      <c r="X109" s="47">
        <v>0.13800000000000001</v>
      </c>
      <c r="Y109" s="47">
        <v>0.13300000000000001</v>
      </c>
      <c r="Z109" s="3">
        <v>0.09</v>
      </c>
      <c r="AA109" s="3">
        <v>0.13200000000000001</v>
      </c>
      <c r="AB109" s="3">
        <v>0.154</v>
      </c>
      <c r="AC109" s="3">
        <v>0.12</v>
      </c>
    </row>
    <row r="110" spans="1:29" x14ac:dyDescent="0.35">
      <c r="A110" t="s">
        <v>1248</v>
      </c>
      <c r="B110" s="7">
        <v>0.45</v>
      </c>
      <c r="C110" s="7">
        <v>0.35</v>
      </c>
      <c r="D110" s="7">
        <v>0.43</v>
      </c>
      <c r="E110" s="7">
        <v>0.41</v>
      </c>
      <c r="F110" s="7">
        <v>0.4</v>
      </c>
      <c r="G110" s="7">
        <v>0.41</v>
      </c>
      <c r="H110" s="7">
        <v>0.34</v>
      </c>
      <c r="I110" s="7">
        <v>0.37</v>
      </c>
      <c r="J110" s="7">
        <v>0.35</v>
      </c>
      <c r="K110" s="7">
        <v>0.32</v>
      </c>
      <c r="L110" s="7">
        <v>0.43</v>
      </c>
      <c r="M110" s="7">
        <v>0.6</v>
      </c>
      <c r="N110" s="7">
        <v>0.56000000000000005</v>
      </c>
      <c r="O110" s="7">
        <v>0.41</v>
      </c>
      <c r="P110" s="7">
        <v>0.45</v>
      </c>
      <c r="Q110" s="7">
        <v>0.4</v>
      </c>
      <c r="R110" s="7">
        <v>0.38</v>
      </c>
      <c r="S110" s="7">
        <v>0.34</v>
      </c>
      <c r="T110" s="7">
        <v>0.38</v>
      </c>
      <c r="U110" s="7">
        <v>0.43</v>
      </c>
      <c r="V110" s="7">
        <v>0.3</v>
      </c>
      <c r="W110" s="7">
        <v>0.32</v>
      </c>
      <c r="X110" s="7">
        <v>0.38</v>
      </c>
      <c r="Y110" s="7">
        <v>0.37</v>
      </c>
      <c r="Z110" s="7">
        <v>0.26</v>
      </c>
      <c r="AA110" s="7">
        <v>0.39</v>
      </c>
      <c r="AB110" s="7">
        <v>0.44</v>
      </c>
      <c r="AC110" s="7">
        <v>0.35</v>
      </c>
    </row>
    <row r="111" spans="1:29" x14ac:dyDescent="0.35">
      <c r="A111" t="s">
        <v>1249</v>
      </c>
      <c r="B111" s="48">
        <v>2.2799999999999998</v>
      </c>
      <c r="C111" s="48">
        <v>2.42</v>
      </c>
      <c r="D111" s="48">
        <v>2.33</v>
      </c>
      <c r="E111" s="48">
        <v>2.35</v>
      </c>
      <c r="F111" s="7">
        <v>2.39</v>
      </c>
      <c r="G111" s="7">
        <v>2.4700000000000002</v>
      </c>
      <c r="H111" s="7">
        <v>2.5099999999999998</v>
      </c>
      <c r="I111" s="7">
        <v>2.4300000000000002</v>
      </c>
      <c r="J111" s="7">
        <v>2.5099999999999998</v>
      </c>
      <c r="K111" s="48">
        <v>2.46</v>
      </c>
      <c r="L111" s="48">
        <v>2.4500000000000002</v>
      </c>
      <c r="M111" s="48">
        <v>2.2599999999999998</v>
      </c>
      <c r="N111" s="48">
        <v>2.2999999999999998</v>
      </c>
      <c r="O111" s="7">
        <v>2.54</v>
      </c>
      <c r="P111" s="7">
        <v>2.41</v>
      </c>
      <c r="Q111" s="7">
        <v>2.4700000000000002</v>
      </c>
      <c r="R111" s="7">
        <v>2.4500000000000002</v>
      </c>
      <c r="S111" s="7">
        <v>2.5</v>
      </c>
      <c r="T111" s="7">
        <v>2.4300000000000002</v>
      </c>
      <c r="U111" s="7">
        <v>2.46</v>
      </c>
      <c r="V111" s="7">
        <v>2.4700000000000002</v>
      </c>
      <c r="W111" s="7">
        <v>2.46</v>
      </c>
      <c r="X111" s="48">
        <v>2.37</v>
      </c>
      <c r="Y111" s="48">
        <v>2.4500000000000002</v>
      </c>
      <c r="Z111" s="7">
        <v>2.6</v>
      </c>
      <c r="AA111" s="7">
        <v>2.5499999999999998</v>
      </c>
      <c r="AB111" s="7">
        <v>2.4500000000000002</v>
      </c>
      <c r="AC111" s="7">
        <v>2.54</v>
      </c>
    </row>
    <row r="112" spans="1:29" x14ac:dyDescent="0.35">
      <c r="A112" t="s">
        <v>1250</v>
      </c>
      <c r="B112" s="48">
        <v>2.73</v>
      </c>
      <c r="C112" s="48">
        <v>2.76</v>
      </c>
      <c r="D112" s="48">
        <v>2.76</v>
      </c>
      <c r="E112" s="48">
        <v>2.76</v>
      </c>
      <c r="F112" s="7">
        <v>2.79</v>
      </c>
      <c r="G112" s="7">
        <v>2.87</v>
      </c>
      <c r="H112" s="7">
        <v>2.85</v>
      </c>
      <c r="I112" s="7">
        <v>2.8</v>
      </c>
      <c r="J112" s="7">
        <v>2.86</v>
      </c>
      <c r="K112" s="7">
        <v>2.78</v>
      </c>
      <c r="L112" s="7">
        <v>2.87</v>
      </c>
      <c r="M112" s="7">
        <v>2.86</v>
      </c>
      <c r="N112" s="7">
        <v>2.86</v>
      </c>
      <c r="O112" s="7">
        <v>2.94</v>
      </c>
      <c r="P112" s="7">
        <v>2.86</v>
      </c>
      <c r="Q112" s="7">
        <v>2.87</v>
      </c>
      <c r="R112" s="7">
        <v>2.83</v>
      </c>
      <c r="S112" s="7">
        <v>2.84</v>
      </c>
      <c r="T112" s="7">
        <v>2.81</v>
      </c>
      <c r="U112" s="7">
        <v>2.89</v>
      </c>
      <c r="V112" s="7">
        <v>2.77</v>
      </c>
      <c r="W112" s="7">
        <v>2.78</v>
      </c>
      <c r="X112" s="7">
        <v>2.75</v>
      </c>
      <c r="Y112" s="7">
        <v>2.83</v>
      </c>
      <c r="Z112" s="7">
        <v>2.86</v>
      </c>
      <c r="AA112" s="7">
        <v>2.94</v>
      </c>
      <c r="AB112" s="7">
        <v>2.89</v>
      </c>
      <c r="AC112" s="7">
        <v>2.88</v>
      </c>
    </row>
    <row r="113" spans="1:29" x14ac:dyDescent="0.35">
      <c r="A113" t="s">
        <v>1245</v>
      </c>
      <c r="B113" s="7">
        <v>2.37</v>
      </c>
      <c r="C113" s="7">
        <v>2.48</v>
      </c>
      <c r="D113" s="7">
        <v>2.41</v>
      </c>
      <c r="E113" s="7">
        <v>2.44</v>
      </c>
      <c r="F113" s="7">
        <v>2.54</v>
      </c>
      <c r="G113" s="7">
        <v>2.65</v>
      </c>
      <c r="H113" s="7">
        <v>2.68</v>
      </c>
      <c r="I113" s="7">
        <v>2.59</v>
      </c>
      <c r="J113" s="7">
        <v>2.71</v>
      </c>
      <c r="K113" s="7">
        <v>2.59</v>
      </c>
      <c r="L113" s="7">
        <v>2.61</v>
      </c>
      <c r="M113" s="7">
        <v>2.56</v>
      </c>
      <c r="N113" s="7">
        <v>2.57</v>
      </c>
      <c r="O113" s="7">
        <v>2.76</v>
      </c>
      <c r="P113" s="7">
        <v>2.61</v>
      </c>
      <c r="Q113" s="7">
        <v>2.67</v>
      </c>
      <c r="R113" s="7">
        <v>2.59</v>
      </c>
      <c r="S113" s="7">
        <v>2.62</v>
      </c>
      <c r="T113" s="7">
        <v>2.6</v>
      </c>
      <c r="U113" s="7">
        <v>2.7</v>
      </c>
      <c r="V113" s="7">
        <v>2.61</v>
      </c>
      <c r="W113" s="7">
        <v>2.65</v>
      </c>
      <c r="X113" s="7">
        <v>2.5</v>
      </c>
      <c r="Y113" s="7">
        <v>2.62</v>
      </c>
      <c r="Z113" s="7">
        <v>2.77</v>
      </c>
      <c r="AA113" s="7">
        <v>2.8</v>
      </c>
      <c r="AB113" s="7">
        <v>2.73</v>
      </c>
      <c r="AC113" s="7">
        <v>2.74</v>
      </c>
    </row>
    <row r="115" spans="1:29" x14ac:dyDescent="0.35">
      <c r="A115" s="49" t="s">
        <v>1268</v>
      </c>
      <c r="B115" s="45">
        <v>1223</v>
      </c>
      <c r="C115" s="45">
        <v>1224</v>
      </c>
    </row>
    <row r="116" spans="1:29" x14ac:dyDescent="0.35">
      <c r="A116" t="s">
        <v>1254</v>
      </c>
      <c r="B116" s="5">
        <v>46026</v>
      </c>
      <c r="C116" s="5">
        <v>46033</v>
      </c>
      <c r="D116" s="5">
        <v>46040</v>
      </c>
      <c r="E116" s="5">
        <v>46047</v>
      </c>
      <c r="F116" s="5">
        <v>46054</v>
      </c>
      <c r="G116" s="5">
        <v>46061</v>
      </c>
      <c r="H116" s="5">
        <v>46068</v>
      </c>
      <c r="I116" s="5">
        <v>46075</v>
      </c>
      <c r="J116" s="5">
        <v>46082</v>
      </c>
      <c r="K116" s="5">
        <v>46089</v>
      </c>
      <c r="L116" s="5">
        <v>46096</v>
      </c>
      <c r="M116" s="5">
        <v>46103</v>
      </c>
      <c r="N116" s="5">
        <v>46110</v>
      </c>
      <c r="O116" s="5">
        <v>46117</v>
      </c>
      <c r="P116" s="5">
        <v>46124</v>
      </c>
      <c r="Q116" s="5">
        <v>46131</v>
      </c>
      <c r="R116" s="5">
        <v>46138</v>
      </c>
      <c r="S116" s="5">
        <v>46145</v>
      </c>
      <c r="T116" s="5">
        <v>46152</v>
      </c>
      <c r="U116" s="5">
        <v>46159</v>
      </c>
      <c r="V116" s="5">
        <v>46166</v>
      </c>
      <c r="W116" s="5">
        <v>46173</v>
      </c>
      <c r="X116" s="5">
        <v>46180</v>
      </c>
      <c r="Y116" s="5">
        <v>46187</v>
      </c>
      <c r="Z116" s="5">
        <v>46194</v>
      </c>
      <c r="AA116" s="5">
        <v>46201</v>
      </c>
      <c r="AB116" s="5">
        <v>46208</v>
      </c>
      <c r="AC116" s="5">
        <v>46215</v>
      </c>
    </row>
    <row r="117" spans="1:29" x14ac:dyDescent="0.35">
      <c r="A117" t="s">
        <v>1241</v>
      </c>
      <c r="B117">
        <v>302</v>
      </c>
      <c r="C117">
        <v>436</v>
      </c>
      <c r="D117">
        <v>442</v>
      </c>
      <c r="E117">
        <v>475</v>
      </c>
      <c r="F117">
        <v>494</v>
      </c>
      <c r="G117">
        <v>572</v>
      </c>
      <c r="H117">
        <v>443</v>
      </c>
      <c r="I117">
        <v>603</v>
      </c>
      <c r="J117" s="6">
        <v>1333</v>
      </c>
      <c r="K117" s="6">
        <v>1414</v>
      </c>
      <c r="L117" s="6">
        <v>1305</v>
      </c>
      <c r="M117" s="6">
        <v>1202</v>
      </c>
      <c r="N117" s="6">
        <v>1387</v>
      </c>
      <c r="O117" s="6">
        <v>1626</v>
      </c>
      <c r="P117" s="6">
        <v>2069</v>
      </c>
      <c r="Q117" s="6">
        <v>1610</v>
      </c>
      <c r="R117" s="6">
        <v>1418</v>
      </c>
      <c r="S117" s="6">
        <v>1415</v>
      </c>
      <c r="T117" s="6">
        <v>1429</v>
      </c>
      <c r="U117" s="6">
        <v>1343</v>
      </c>
      <c r="V117" s="6">
        <v>1240</v>
      </c>
      <c r="W117" s="6">
        <v>1300</v>
      </c>
      <c r="X117" s="6">
        <v>1450</v>
      </c>
      <c r="Y117" s="6">
        <v>1548</v>
      </c>
      <c r="Z117" s="6">
        <v>1453</v>
      </c>
      <c r="AA117" s="6">
        <v>1255</v>
      </c>
      <c r="AB117" s="6">
        <v>1788</v>
      </c>
      <c r="AC117" s="6">
        <v>1879</v>
      </c>
    </row>
    <row r="118" spans="1:29" x14ac:dyDescent="0.35">
      <c r="A118" t="s">
        <v>1242</v>
      </c>
      <c r="B118" s="3">
        <v>0.13600000000000001</v>
      </c>
      <c r="C118" s="3">
        <v>0.27200000000000002</v>
      </c>
      <c r="D118" s="3">
        <v>0.13300000000000001</v>
      </c>
      <c r="E118" s="3">
        <v>0.20499999999999999</v>
      </c>
      <c r="F118" s="3">
        <v>0.16500000000000001</v>
      </c>
      <c r="G118" s="3">
        <v>0.25800000000000001</v>
      </c>
      <c r="H118" s="3">
        <v>0.161</v>
      </c>
      <c r="I118" s="3">
        <v>0.25900000000000001</v>
      </c>
      <c r="J118" s="3">
        <v>0.187</v>
      </c>
      <c r="K118" s="3">
        <v>0.192</v>
      </c>
      <c r="L118" s="3">
        <v>0.13900000000000001</v>
      </c>
      <c r="M118" s="3">
        <v>0.16400000000000001</v>
      </c>
      <c r="N118" s="3">
        <v>6.0999999999999999E-2</v>
      </c>
      <c r="O118" s="47">
        <v>0.307</v>
      </c>
      <c r="P118" s="47">
        <v>0.56200000000000006</v>
      </c>
      <c r="Q118" s="47">
        <v>0.24</v>
      </c>
      <c r="R118" s="3">
        <v>0.14699999999999999</v>
      </c>
      <c r="S118" s="3">
        <v>0.17699999999999999</v>
      </c>
      <c r="T118" s="3">
        <v>0.2</v>
      </c>
      <c r="U118" s="3">
        <v>0.158</v>
      </c>
      <c r="V118" s="3">
        <v>0.12</v>
      </c>
      <c r="W118" s="3">
        <v>0.112</v>
      </c>
      <c r="X118" s="3">
        <v>0.35399999999999998</v>
      </c>
      <c r="Y118" s="3">
        <v>0.40699999999999997</v>
      </c>
      <c r="Z118" s="3">
        <v>0.24399999999999999</v>
      </c>
      <c r="AA118" s="3">
        <v>0.121</v>
      </c>
      <c r="AB118" s="3">
        <v>0.28199999999999997</v>
      </c>
      <c r="AC118" s="3">
        <v>0.38200000000000001</v>
      </c>
    </row>
    <row r="119" spans="1:29" x14ac:dyDescent="0.35">
      <c r="A119" t="s">
        <v>1243</v>
      </c>
      <c r="B119">
        <v>36</v>
      </c>
      <c r="C119">
        <v>93</v>
      </c>
      <c r="D119">
        <v>52</v>
      </c>
      <c r="E119">
        <v>81</v>
      </c>
      <c r="F119">
        <v>70</v>
      </c>
      <c r="G119">
        <v>117</v>
      </c>
      <c r="H119">
        <v>62</v>
      </c>
      <c r="I119">
        <v>124</v>
      </c>
      <c r="J119" s="55">
        <v>211</v>
      </c>
      <c r="K119" s="55">
        <v>228</v>
      </c>
      <c r="L119" s="55">
        <v>159</v>
      </c>
      <c r="M119" s="55">
        <v>169</v>
      </c>
      <c r="N119">
        <v>79</v>
      </c>
      <c r="O119" s="52">
        <v>382</v>
      </c>
      <c r="P119" s="52">
        <v>745</v>
      </c>
      <c r="Q119" s="52">
        <v>312</v>
      </c>
      <c r="R119">
        <v>182</v>
      </c>
      <c r="S119">
        <v>213</v>
      </c>
      <c r="T119">
        <v>238</v>
      </c>
      <c r="U119">
        <v>183</v>
      </c>
      <c r="V119">
        <v>133</v>
      </c>
      <c r="W119">
        <v>131</v>
      </c>
      <c r="X119">
        <v>379</v>
      </c>
      <c r="Y119">
        <v>448</v>
      </c>
      <c r="Z119">
        <v>285</v>
      </c>
      <c r="AA119">
        <v>136</v>
      </c>
      <c r="AB119">
        <v>393</v>
      </c>
      <c r="AC119">
        <v>519</v>
      </c>
    </row>
    <row r="120" spans="1:29" x14ac:dyDescent="0.35">
      <c r="A120" t="s">
        <v>1244</v>
      </c>
      <c r="B120">
        <v>266</v>
      </c>
      <c r="C120">
        <v>342</v>
      </c>
      <c r="D120">
        <v>390</v>
      </c>
      <c r="E120">
        <v>395</v>
      </c>
      <c r="F120">
        <v>424</v>
      </c>
      <c r="G120">
        <v>455</v>
      </c>
      <c r="H120">
        <v>382</v>
      </c>
      <c r="I120">
        <v>479</v>
      </c>
      <c r="J120" s="6">
        <v>1123</v>
      </c>
      <c r="K120" s="6">
        <v>1186</v>
      </c>
      <c r="L120" s="6">
        <v>1146</v>
      </c>
      <c r="M120" s="6">
        <v>1033</v>
      </c>
      <c r="N120" s="6">
        <v>1308</v>
      </c>
      <c r="O120" s="6">
        <v>1245</v>
      </c>
      <c r="P120" s="6">
        <v>1325</v>
      </c>
      <c r="Q120" s="6">
        <v>1298</v>
      </c>
      <c r="R120" s="6">
        <v>1236</v>
      </c>
      <c r="S120" s="6">
        <v>1203</v>
      </c>
      <c r="T120" s="6">
        <v>1191</v>
      </c>
      <c r="U120" s="6">
        <v>1160</v>
      </c>
      <c r="V120" s="6">
        <v>1108</v>
      </c>
      <c r="W120" s="6">
        <v>1169</v>
      </c>
      <c r="X120" s="6">
        <v>1071</v>
      </c>
      <c r="Y120" s="6">
        <v>1101</v>
      </c>
      <c r="Z120" s="6">
        <v>1168</v>
      </c>
      <c r="AA120" s="6">
        <v>1119</v>
      </c>
      <c r="AB120" s="6">
        <v>1395</v>
      </c>
      <c r="AC120" s="6">
        <v>1359</v>
      </c>
    </row>
    <row r="121" spans="1:29" x14ac:dyDescent="0.35">
      <c r="A121" t="s">
        <v>1245</v>
      </c>
      <c r="B121" s="7">
        <v>10.15</v>
      </c>
      <c r="C121" s="7">
        <v>10.23</v>
      </c>
      <c r="D121" s="7">
        <v>10.14</v>
      </c>
      <c r="E121" s="7">
        <v>9.99</v>
      </c>
      <c r="F121" s="7">
        <v>9.7899999999999991</v>
      </c>
      <c r="G121" s="7">
        <v>9.8000000000000007</v>
      </c>
      <c r="H121" s="7">
        <v>9.8699999999999992</v>
      </c>
      <c r="I121" s="7">
        <v>9.82</v>
      </c>
      <c r="J121" s="7">
        <v>10.29</v>
      </c>
      <c r="K121" s="7">
        <v>10.32</v>
      </c>
      <c r="L121" s="7">
        <v>10.39</v>
      </c>
      <c r="M121" s="7">
        <v>10.23</v>
      </c>
      <c r="N121" s="7">
        <v>10.44</v>
      </c>
      <c r="O121" s="7">
        <v>9.61</v>
      </c>
      <c r="P121" s="7">
        <v>9.31</v>
      </c>
      <c r="Q121" s="7">
        <v>9.9</v>
      </c>
      <c r="R121" s="7">
        <v>10.210000000000001</v>
      </c>
      <c r="S121" s="7">
        <v>10.039999999999999</v>
      </c>
      <c r="T121" s="7">
        <v>9.9700000000000006</v>
      </c>
      <c r="U121" s="7">
        <v>10.130000000000001</v>
      </c>
      <c r="V121" s="7">
        <v>10.16</v>
      </c>
      <c r="W121" s="7">
        <v>10.23</v>
      </c>
      <c r="X121" s="7">
        <v>9.66</v>
      </c>
      <c r="Y121" s="7">
        <v>9.3800000000000008</v>
      </c>
      <c r="Z121" s="7">
        <v>9.91</v>
      </c>
      <c r="AA121" s="7">
        <v>10.210000000000001</v>
      </c>
      <c r="AB121" s="7">
        <v>9.68</v>
      </c>
      <c r="AC121" s="7">
        <v>9.3699999999999992</v>
      </c>
    </row>
    <row r="122" spans="1:29" x14ac:dyDescent="0.35">
      <c r="B122" s="7"/>
      <c r="C122" s="7"/>
      <c r="D122" s="7"/>
      <c r="E122" s="7"/>
      <c r="F122" s="7"/>
      <c r="G122" s="7"/>
      <c r="H122" s="7"/>
      <c r="I122" s="7"/>
      <c r="J122" s="19">
        <f>SUM(J120:M120)</f>
        <v>4488</v>
      </c>
      <c r="K122" s="18">
        <f>SUM(J119:M119)</f>
        <v>767</v>
      </c>
      <c r="L122" s="7">
        <f>+K122/J122</f>
        <v>0.17090017825311943</v>
      </c>
      <c r="M122" s="7"/>
      <c r="N122" s="7"/>
      <c r="O122" s="20">
        <f>SUM(O120:Q120)</f>
        <v>3868</v>
      </c>
      <c r="P122" s="20">
        <f>SUM(O119:Q119)</f>
        <v>1439</v>
      </c>
      <c r="Q122" s="7"/>
      <c r="R122" s="7"/>
      <c r="S122" s="7"/>
      <c r="T122" s="7"/>
      <c r="U122" s="7"/>
      <c r="V122" s="7"/>
      <c r="W122" s="7"/>
      <c r="X122" s="7"/>
      <c r="Y122" s="7"/>
      <c r="Z122" s="7"/>
      <c r="AA122" s="7"/>
      <c r="AB122" s="7"/>
      <c r="AC122" s="7"/>
    </row>
    <row r="124" spans="1:29" x14ac:dyDescent="0.35">
      <c r="A124" t="s">
        <v>1254</v>
      </c>
      <c r="B124" s="5">
        <v>46026</v>
      </c>
      <c r="C124" s="5">
        <v>46033</v>
      </c>
      <c r="D124" s="5">
        <v>46040</v>
      </c>
      <c r="E124" s="5">
        <v>46047</v>
      </c>
      <c r="F124" s="5">
        <v>46054</v>
      </c>
      <c r="G124" s="5">
        <v>46061</v>
      </c>
      <c r="H124" s="5">
        <v>46068</v>
      </c>
      <c r="I124" s="5">
        <v>46075</v>
      </c>
      <c r="J124" s="5">
        <v>46082</v>
      </c>
      <c r="K124" s="5">
        <v>46089</v>
      </c>
      <c r="L124" s="5">
        <v>46096</v>
      </c>
      <c r="M124" s="5">
        <v>46103</v>
      </c>
      <c r="N124" s="5">
        <v>46110</v>
      </c>
      <c r="O124" s="5">
        <v>46117</v>
      </c>
      <c r="P124" s="5">
        <v>46124</v>
      </c>
      <c r="Q124" s="5">
        <v>46131</v>
      </c>
      <c r="R124" s="5">
        <v>46138</v>
      </c>
      <c r="S124" s="5">
        <v>46145</v>
      </c>
      <c r="T124" s="5">
        <v>46152</v>
      </c>
      <c r="U124" s="5">
        <v>46159</v>
      </c>
      <c r="V124" s="5">
        <v>46166</v>
      </c>
      <c r="W124" s="5">
        <v>46173</v>
      </c>
      <c r="X124" s="5">
        <v>46180</v>
      </c>
      <c r="Y124" s="5">
        <v>46187</v>
      </c>
      <c r="Z124" s="5">
        <v>46194</v>
      </c>
      <c r="AA124" s="5">
        <v>46201</v>
      </c>
      <c r="AB124" s="5">
        <v>46208</v>
      </c>
      <c r="AC124" s="5">
        <v>46215</v>
      </c>
    </row>
    <row r="125" spans="1:29" x14ac:dyDescent="0.35">
      <c r="A125" t="s">
        <v>1242</v>
      </c>
      <c r="B125" s="3">
        <v>0.13600000000000001</v>
      </c>
      <c r="C125" s="3">
        <v>0.27200000000000002</v>
      </c>
      <c r="D125" s="3">
        <v>0.13300000000000001</v>
      </c>
      <c r="E125" s="3">
        <v>0.20499999999999999</v>
      </c>
      <c r="F125" s="3">
        <v>0.16500000000000001</v>
      </c>
      <c r="G125" s="3">
        <v>0.25800000000000001</v>
      </c>
      <c r="H125" s="3">
        <v>0.161</v>
      </c>
      <c r="I125" s="3">
        <v>0.25900000000000001</v>
      </c>
      <c r="J125" s="3">
        <v>0.187</v>
      </c>
      <c r="K125" s="3">
        <v>0.192</v>
      </c>
      <c r="L125" s="3">
        <v>0.13900000000000001</v>
      </c>
      <c r="M125" s="3">
        <v>0.16400000000000001</v>
      </c>
      <c r="N125" s="3">
        <v>6.0999999999999999E-2</v>
      </c>
      <c r="O125" s="3">
        <v>0.307</v>
      </c>
      <c r="P125" s="3">
        <v>0.56200000000000006</v>
      </c>
      <c r="Q125" s="3">
        <v>0.24</v>
      </c>
      <c r="R125" s="3">
        <v>0.14699999999999999</v>
      </c>
      <c r="S125" s="3">
        <v>0.17699999999999999</v>
      </c>
      <c r="T125" s="3">
        <v>0.2</v>
      </c>
      <c r="U125" s="3">
        <v>0.158</v>
      </c>
      <c r="V125" s="3">
        <v>0.12</v>
      </c>
      <c r="W125" s="3">
        <v>0.112</v>
      </c>
      <c r="X125" s="3">
        <v>0.35399999999999998</v>
      </c>
      <c r="Y125" s="3">
        <v>0.40699999999999997</v>
      </c>
      <c r="Z125" s="3">
        <v>0.24399999999999999</v>
      </c>
      <c r="AA125" s="3">
        <v>0.121</v>
      </c>
      <c r="AB125" s="3">
        <v>0.28199999999999997</v>
      </c>
      <c r="AC125" s="3">
        <v>0.38200000000000001</v>
      </c>
    </row>
    <row r="126" spans="1:29" x14ac:dyDescent="0.35">
      <c r="A126" t="s">
        <v>1247</v>
      </c>
      <c r="B126" s="3">
        <v>2.3E-2</v>
      </c>
      <c r="C126" s="3">
        <v>7.0000000000000001E-3</v>
      </c>
      <c r="D126" s="3">
        <v>4.3999999999999997E-2</v>
      </c>
      <c r="E126" s="3">
        <v>4.7E-2</v>
      </c>
      <c r="F126" s="3">
        <v>7.6999999999999999E-2</v>
      </c>
      <c r="G126" s="3">
        <v>7.2999999999999995E-2</v>
      </c>
      <c r="H126" s="3">
        <v>3.5000000000000003E-2</v>
      </c>
      <c r="I126" s="3">
        <v>4.8000000000000001E-2</v>
      </c>
      <c r="J126" s="54">
        <v>0.05</v>
      </c>
      <c r="K126" s="54">
        <v>6.2E-2</v>
      </c>
      <c r="L126" s="54">
        <v>6.6000000000000003E-2</v>
      </c>
      <c r="M126" s="54">
        <v>6.3E-2</v>
      </c>
      <c r="N126" s="3">
        <v>0.10199999999999999</v>
      </c>
      <c r="O126" s="47">
        <v>8.4000000000000005E-2</v>
      </c>
      <c r="P126" s="47">
        <v>0.105</v>
      </c>
      <c r="Q126" s="47">
        <v>8.3000000000000004E-2</v>
      </c>
      <c r="R126" s="3">
        <v>9.9000000000000005E-2</v>
      </c>
      <c r="S126" s="3">
        <v>0.104</v>
      </c>
      <c r="T126" s="3">
        <v>0.10100000000000001</v>
      </c>
      <c r="U126" s="3">
        <v>0.121</v>
      </c>
      <c r="V126" s="3">
        <v>0.129</v>
      </c>
      <c r="W126" s="3">
        <v>0.109</v>
      </c>
      <c r="X126" s="3">
        <v>8.3000000000000004E-2</v>
      </c>
      <c r="Y126" s="3">
        <v>8.6999999999999994E-2</v>
      </c>
      <c r="Z126" s="3">
        <v>6.4000000000000001E-2</v>
      </c>
      <c r="AA126" s="3">
        <v>8.4000000000000005E-2</v>
      </c>
      <c r="AB126" s="3">
        <v>9.2999999999999999E-2</v>
      </c>
      <c r="AC126" s="3">
        <v>0.10299999999999999</v>
      </c>
    </row>
    <row r="127" spans="1:29" x14ac:dyDescent="0.35">
      <c r="A127" t="s">
        <v>1248</v>
      </c>
      <c r="B127" s="7">
        <v>0.24</v>
      </c>
      <c r="C127" s="7">
        <v>7.0000000000000007E-2</v>
      </c>
      <c r="D127" s="7">
        <v>0.45</v>
      </c>
      <c r="E127" s="7">
        <v>0.49</v>
      </c>
      <c r="F127" s="7">
        <v>0.78</v>
      </c>
      <c r="G127" s="7">
        <v>0.74</v>
      </c>
      <c r="H127" s="7">
        <v>0.35</v>
      </c>
      <c r="I127" s="7">
        <v>0.49</v>
      </c>
      <c r="J127" s="7">
        <v>0.52</v>
      </c>
      <c r="K127" s="7">
        <v>0.66</v>
      </c>
      <c r="L127" s="7">
        <v>0.7</v>
      </c>
      <c r="M127" s="7">
        <v>0.66</v>
      </c>
      <c r="N127" s="7">
        <v>1.08</v>
      </c>
      <c r="O127" s="7">
        <v>0.86</v>
      </c>
      <c r="P127" s="7">
        <v>1.07</v>
      </c>
      <c r="Q127" s="7">
        <v>0.86</v>
      </c>
      <c r="R127" s="7">
        <v>1.04</v>
      </c>
      <c r="S127" s="7">
        <v>1.08</v>
      </c>
      <c r="T127" s="7">
        <v>1.05</v>
      </c>
      <c r="U127" s="7">
        <v>1.27</v>
      </c>
      <c r="V127" s="7">
        <v>1.35</v>
      </c>
      <c r="W127" s="7">
        <v>1.1399999999999999</v>
      </c>
      <c r="X127" s="7">
        <v>0.84</v>
      </c>
      <c r="Y127" s="7">
        <v>0.88</v>
      </c>
      <c r="Z127" s="7">
        <v>0.65</v>
      </c>
      <c r="AA127" s="7">
        <v>0.87</v>
      </c>
      <c r="AB127" s="7">
        <v>0.95</v>
      </c>
      <c r="AC127" s="7">
        <v>1.04</v>
      </c>
    </row>
    <row r="128" spans="1:29" x14ac:dyDescent="0.35">
      <c r="A128" t="s">
        <v>1249</v>
      </c>
      <c r="B128" s="7">
        <v>10.02</v>
      </c>
      <c r="C128" s="7">
        <v>10.220000000000001</v>
      </c>
      <c r="D128" s="7">
        <v>9.81</v>
      </c>
      <c r="E128" s="7">
        <v>9.76</v>
      </c>
      <c r="F128" s="7">
        <v>9.33</v>
      </c>
      <c r="G128" s="7">
        <v>9.3800000000000008</v>
      </c>
      <c r="H128" s="7">
        <v>9.65</v>
      </c>
      <c r="I128" s="7">
        <v>9.59</v>
      </c>
      <c r="J128" s="53">
        <v>9.9499999999999993</v>
      </c>
      <c r="K128" s="53">
        <v>9.8800000000000008</v>
      </c>
      <c r="L128" s="53">
        <v>9.86</v>
      </c>
      <c r="M128" s="53">
        <v>9.7899999999999991</v>
      </c>
      <c r="N128" s="7">
        <v>9.5</v>
      </c>
      <c r="O128" s="48">
        <v>9.31</v>
      </c>
      <c r="P128" s="48">
        <v>9.1300000000000008</v>
      </c>
      <c r="Q128" s="48">
        <v>9.4700000000000006</v>
      </c>
      <c r="R128" s="7">
        <v>9.41</v>
      </c>
      <c r="S128" s="7">
        <v>9.31</v>
      </c>
      <c r="T128" s="7">
        <v>9.3800000000000008</v>
      </c>
      <c r="U128" s="7">
        <v>9.1999999999999993</v>
      </c>
      <c r="V128" s="7">
        <v>9.1</v>
      </c>
      <c r="W128" s="7">
        <v>9.31</v>
      </c>
      <c r="X128" s="7">
        <v>9.34</v>
      </c>
      <c r="Y128" s="7">
        <v>9.17</v>
      </c>
      <c r="Z128" s="7">
        <v>9.5399999999999991</v>
      </c>
      <c r="AA128" s="7">
        <v>9.51</v>
      </c>
      <c r="AB128" s="7">
        <v>9.25</v>
      </c>
      <c r="AC128" s="7">
        <v>9.06</v>
      </c>
    </row>
    <row r="129" spans="1:29" x14ac:dyDescent="0.35">
      <c r="A129" t="s">
        <v>1250</v>
      </c>
      <c r="B129" s="7">
        <v>10.25</v>
      </c>
      <c r="C129" s="7">
        <v>10.29</v>
      </c>
      <c r="D129" s="7">
        <v>10.27</v>
      </c>
      <c r="E129" s="7">
        <v>10.25</v>
      </c>
      <c r="F129" s="7">
        <v>10.1</v>
      </c>
      <c r="G129" s="7">
        <v>10.119999999999999</v>
      </c>
      <c r="H129" s="7">
        <v>9.99</v>
      </c>
      <c r="I129" s="7">
        <v>10.08</v>
      </c>
      <c r="J129" s="7">
        <v>10.47</v>
      </c>
      <c r="K129" s="7">
        <v>10.54</v>
      </c>
      <c r="L129" s="7">
        <v>10.56</v>
      </c>
      <c r="M129" s="7">
        <v>10.45</v>
      </c>
      <c r="N129" s="7">
        <v>10.59</v>
      </c>
      <c r="O129" s="7">
        <v>10.17</v>
      </c>
      <c r="P129" s="7">
        <v>10.199999999999999</v>
      </c>
      <c r="Q129" s="7">
        <v>10.33</v>
      </c>
      <c r="R129" s="7">
        <v>10.45</v>
      </c>
      <c r="S129" s="7">
        <v>10.39</v>
      </c>
      <c r="T129" s="7">
        <v>10.43</v>
      </c>
      <c r="U129" s="7">
        <v>10.47</v>
      </c>
      <c r="V129" s="7">
        <v>10.45</v>
      </c>
      <c r="W129" s="7">
        <v>10.45</v>
      </c>
      <c r="X129" s="7">
        <v>10.18</v>
      </c>
      <c r="Y129" s="7">
        <v>10.039999999999999</v>
      </c>
      <c r="Z129" s="7">
        <v>10.19</v>
      </c>
      <c r="AA129" s="7">
        <v>10.38</v>
      </c>
      <c r="AB129" s="7">
        <v>10.19</v>
      </c>
      <c r="AC129" s="7">
        <v>10.11</v>
      </c>
    </row>
    <row r="130" spans="1:29" x14ac:dyDescent="0.35">
      <c r="A130" t="s">
        <v>1245</v>
      </c>
      <c r="B130" s="7">
        <v>10.15</v>
      </c>
      <c r="C130" s="7">
        <v>10.23</v>
      </c>
      <c r="D130" s="7">
        <v>10.14</v>
      </c>
      <c r="E130" s="7">
        <v>9.99</v>
      </c>
      <c r="F130" s="7">
        <v>9.7899999999999991</v>
      </c>
      <c r="G130" s="7">
        <v>9.8000000000000007</v>
      </c>
      <c r="H130" s="7">
        <v>9.8699999999999992</v>
      </c>
      <c r="I130" s="7">
        <v>9.82</v>
      </c>
      <c r="J130" s="7">
        <v>10.29</v>
      </c>
      <c r="K130" s="7">
        <v>10.32</v>
      </c>
      <c r="L130" s="7">
        <v>10.39</v>
      </c>
      <c r="M130" s="7">
        <v>10.23</v>
      </c>
      <c r="N130" s="7">
        <v>10.44</v>
      </c>
      <c r="O130" s="7">
        <v>9.61</v>
      </c>
      <c r="P130" s="7">
        <v>9.31</v>
      </c>
      <c r="Q130" s="7">
        <v>9.9</v>
      </c>
      <c r="R130" s="7">
        <v>10.210000000000001</v>
      </c>
      <c r="S130" s="7">
        <v>10.039999999999999</v>
      </c>
      <c r="T130" s="7">
        <v>9.9700000000000006</v>
      </c>
      <c r="U130" s="7">
        <v>10.130000000000001</v>
      </c>
      <c r="V130" s="7">
        <v>10.16</v>
      </c>
      <c r="W130" s="7">
        <v>10.23</v>
      </c>
      <c r="X130" s="7">
        <v>9.66</v>
      </c>
      <c r="Y130" s="7">
        <v>9.3800000000000008</v>
      </c>
      <c r="Z130" s="7">
        <v>9.91</v>
      </c>
      <c r="AA130" s="7">
        <v>10.210000000000001</v>
      </c>
      <c r="AB130" s="7">
        <v>9.68</v>
      </c>
      <c r="AC130" s="7">
        <v>9.3699999999999992</v>
      </c>
    </row>
    <row r="133" spans="1:29" x14ac:dyDescent="0.35">
      <c r="A133" s="4" t="s">
        <v>1271</v>
      </c>
      <c r="B133" s="56">
        <v>936</v>
      </c>
      <c r="C133" s="56">
        <v>937</v>
      </c>
    </row>
    <row r="134" spans="1:29" x14ac:dyDescent="0.35">
      <c r="A134" t="s">
        <v>1240</v>
      </c>
      <c r="B134" s="5">
        <v>46026</v>
      </c>
      <c r="C134" s="5">
        <v>46033</v>
      </c>
      <c r="D134" s="5">
        <v>46040</v>
      </c>
      <c r="E134" s="5">
        <v>46047</v>
      </c>
      <c r="F134" s="5">
        <v>46054</v>
      </c>
      <c r="G134" s="5">
        <v>46061</v>
      </c>
      <c r="H134" s="5">
        <v>46068</v>
      </c>
      <c r="I134" s="5">
        <v>46075</v>
      </c>
      <c r="J134" s="5">
        <v>46082</v>
      </c>
      <c r="K134" s="5">
        <v>46089</v>
      </c>
      <c r="L134" s="5">
        <v>46096</v>
      </c>
      <c r="M134" s="5">
        <v>46103</v>
      </c>
      <c r="N134" s="5">
        <v>46110</v>
      </c>
      <c r="O134" s="5">
        <v>46117</v>
      </c>
      <c r="P134" s="5">
        <v>46124</v>
      </c>
      <c r="Q134" s="5">
        <v>46131</v>
      </c>
      <c r="R134" s="5">
        <v>46138</v>
      </c>
      <c r="S134" s="5">
        <v>46145</v>
      </c>
      <c r="T134" s="5">
        <v>46152</v>
      </c>
      <c r="U134" s="5">
        <v>46159</v>
      </c>
      <c r="V134" s="5">
        <v>46166</v>
      </c>
      <c r="W134" s="5">
        <v>46173</v>
      </c>
      <c r="X134" s="5">
        <v>46180</v>
      </c>
      <c r="Y134" s="5">
        <v>46187</v>
      </c>
      <c r="Z134" s="5">
        <v>46194</v>
      </c>
      <c r="AA134" s="5">
        <v>46201</v>
      </c>
      <c r="AB134" s="5">
        <v>46208</v>
      </c>
      <c r="AC134" s="5">
        <v>46215</v>
      </c>
    </row>
    <row r="135" spans="1:29" x14ac:dyDescent="0.35">
      <c r="A135" t="s">
        <v>1241</v>
      </c>
      <c r="B135" s="6">
        <v>2421</v>
      </c>
      <c r="C135" s="6">
        <v>3172</v>
      </c>
      <c r="D135" s="6">
        <v>3169</v>
      </c>
      <c r="E135" s="6">
        <v>3101</v>
      </c>
      <c r="F135" s="6">
        <v>3576</v>
      </c>
      <c r="G135" s="6">
        <v>4835</v>
      </c>
      <c r="H135" s="6">
        <v>3441</v>
      </c>
      <c r="I135" s="6">
        <v>3439</v>
      </c>
      <c r="J135" s="6">
        <v>4378</v>
      </c>
      <c r="K135" s="6">
        <v>3849</v>
      </c>
      <c r="L135" s="6">
        <v>3698</v>
      </c>
      <c r="M135" s="6">
        <v>3441</v>
      </c>
      <c r="N135" s="6">
        <v>3616</v>
      </c>
      <c r="O135" s="6">
        <v>3826</v>
      </c>
      <c r="P135" s="6">
        <v>3983</v>
      </c>
      <c r="Q135" s="6">
        <v>3650</v>
      </c>
      <c r="R135" s="6">
        <v>4371</v>
      </c>
      <c r="S135" s="6">
        <v>3772</v>
      </c>
      <c r="T135" s="6">
        <v>3268</v>
      </c>
      <c r="U135" s="6">
        <v>3688</v>
      </c>
      <c r="V135" s="6">
        <v>3256</v>
      </c>
      <c r="W135" s="6">
        <v>3001</v>
      </c>
      <c r="X135" s="6">
        <v>3396</v>
      </c>
      <c r="Y135" s="6">
        <v>3234</v>
      </c>
      <c r="Z135" s="6">
        <v>3804</v>
      </c>
      <c r="AA135" s="6">
        <v>7182</v>
      </c>
      <c r="AB135" s="6">
        <v>8923</v>
      </c>
      <c r="AC135" s="6">
        <v>3990</v>
      </c>
    </row>
    <row r="136" spans="1:29" x14ac:dyDescent="0.35">
      <c r="A136" t="s">
        <v>1242</v>
      </c>
      <c r="B136" s="3">
        <v>1.2999999999999999E-2</v>
      </c>
      <c r="C136" s="3">
        <v>8.0000000000000002E-3</v>
      </c>
      <c r="D136" s="3">
        <v>1.2E-2</v>
      </c>
      <c r="E136" s="3">
        <v>0</v>
      </c>
      <c r="F136" s="47">
        <v>0.247</v>
      </c>
      <c r="G136" s="47">
        <v>0.67300000000000004</v>
      </c>
      <c r="H136" s="3">
        <v>3.5999999999999997E-2</v>
      </c>
      <c r="I136" s="3">
        <v>2.7E-2</v>
      </c>
      <c r="J136" s="3">
        <v>0.48</v>
      </c>
      <c r="K136" s="3">
        <v>9.1999999999999998E-2</v>
      </c>
      <c r="L136" s="3">
        <v>9.1999999999999998E-2</v>
      </c>
      <c r="M136" s="3">
        <v>0</v>
      </c>
      <c r="N136" s="60">
        <v>8.6999999999999994E-2</v>
      </c>
      <c r="O136" s="60">
        <v>0.21299999999999999</v>
      </c>
      <c r="P136" s="60">
        <v>0.36</v>
      </c>
      <c r="Q136" s="3">
        <v>8.0000000000000002E-3</v>
      </c>
      <c r="R136" s="3">
        <v>0.36799999999999999</v>
      </c>
      <c r="S136" s="3">
        <v>0.18</v>
      </c>
      <c r="T136" s="3">
        <v>4.2999999999999997E-2</v>
      </c>
      <c r="U136" s="3">
        <v>0</v>
      </c>
      <c r="V136" s="3">
        <v>3.7999999999999999E-2</v>
      </c>
      <c r="W136" s="3">
        <v>1.4999999999999999E-2</v>
      </c>
      <c r="X136" s="3">
        <v>5.8999999999999997E-2</v>
      </c>
      <c r="Y136" s="3">
        <v>2E-3</v>
      </c>
      <c r="Z136" s="3">
        <v>0.26800000000000002</v>
      </c>
      <c r="AA136" s="3">
        <v>1.115</v>
      </c>
      <c r="AB136" s="3">
        <v>1.4179999999999999</v>
      </c>
      <c r="AC136" s="3">
        <v>0.01</v>
      </c>
    </row>
    <row r="137" spans="1:29" x14ac:dyDescent="0.35">
      <c r="A137" t="s">
        <v>1243</v>
      </c>
      <c r="B137">
        <v>31</v>
      </c>
      <c r="C137">
        <v>25</v>
      </c>
      <c r="D137">
        <v>36</v>
      </c>
      <c r="E137">
        <v>0</v>
      </c>
      <c r="F137" s="57">
        <v>709</v>
      </c>
      <c r="G137" s="58">
        <v>1945</v>
      </c>
      <c r="H137">
        <v>119</v>
      </c>
      <c r="I137">
        <v>92</v>
      </c>
      <c r="J137" s="6">
        <v>1419</v>
      </c>
      <c r="K137">
        <v>324</v>
      </c>
      <c r="L137">
        <v>312</v>
      </c>
      <c r="M137">
        <v>0</v>
      </c>
      <c r="N137" s="57">
        <v>288</v>
      </c>
      <c r="O137" s="57">
        <v>671</v>
      </c>
      <c r="P137" s="58">
        <v>1054</v>
      </c>
      <c r="Q137">
        <v>28</v>
      </c>
      <c r="R137" s="6">
        <v>1177</v>
      </c>
      <c r="S137">
        <v>575</v>
      </c>
      <c r="T137">
        <v>135</v>
      </c>
      <c r="U137">
        <v>0</v>
      </c>
      <c r="V137">
        <v>119</v>
      </c>
      <c r="W137">
        <v>45</v>
      </c>
      <c r="X137">
        <v>189</v>
      </c>
      <c r="Y137">
        <v>6</v>
      </c>
      <c r="Z137">
        <v>803</v>
      </c>
      <c r="AA137" s="6">
        <v>3786</v>
      </c>
      <c r="AB137" s="6">
        <v>5233</v>
      </c>
      <c r="AC137">
        <v>39</v>
      </c>
    </row>
    <row r="138" spans="1:29" x14ac:dyDescent="0.35">
      <c r="A138" t="s">
        <v>1244</v>
      </c>
      <c r="B138" s="6">
        <v>2390</v>
      </c>
      <c r="C138" s="6">
        <v>3148</v>
      </c>
      <c r="D138" s="6">
        <v>3133</v>
      </c>
      <c r="E138" s="6">
        <v>3101</v>
      </c>
      <c r="F138" s="6">
        <v>2867</v>
      </c>
      <c r="G138" s="6">
        <v>2890</v>
      </c>
      <c r="H138" s="6">
        <v>3322</v>
      </c>
      <c r="I138" s="6">
        <v>3347</v>
      </c>
      <c r="J138" s="6">
        <v>2959</v>
      </c>
      <c r="K138" s="6">
        <v>3525</v>
      </c>
      <c r="L138" s="6">
        <v>3386</v>
      </c>
      <c r="M138" s="6">
        <v>3441</v>
      </c>
      <c r="N138" s="6">
        <v>3328</v>
      </c>
      <c r="O138" s="6">
        <v>3155</v>
      </c>
      <c r="P138" s="6">
        <v>2929</v>
      </c>
      <c r="Q138" s="6">
        <v>3623</v>
      </c>
      <c r="R138" s="6">
        <v>3194</v>
      </c>
      <c r="S138" s="6">
        <v>3197</v>
      </c>
      <c r="T138" s="6">
        <v>3133</v>
      </c>
      <c r="U138" s="6">
        <v>3688</v>
      </c>
      <c r="V138" s="6">
        <v>3136</v>
      </c>
      <c r="W138" s="6">
        <v>2956</v>
      </c>
      <c r="X138" s="6">
        <v>3207</v>
      </c>
      <c r="Y138" s="6">
        <v>3228</v>
      </c>
      <c r="Z138" s="6">
        <v>3001</v>
      </c>
      <c r="AA138" s="6">
        <v>3396</v>
      </c>
      <c r="AB138" s="6">
        <v>3690</v>
      </c>
      <c r="AC138" s="6">
        <v>3951</v>
      </c>
    </row>
    <row r="139" spans="1:29" x14ac:dyDescent="0.35">
      <c r="A139" t="s">
        <v>1245</v>
      </c>
      <c r="B139" s="7">
        <v>3.1</v>
      </c>
      <c r="C139" s="7">
        <v>3.11</v>
      </c>
      <c r="D139" s="7">
        <v>3.11</v>
      </c>
      <c r="E139" s="7">
        <v>3.15</v>
      </c>
      <c r="F139" s="7">
        <v>2.94</v>
      </c>
      <c r="G139" s="7">
        <v>2.73</v>
      </c>
      <c r="H139" s="7">
        <v>3.08</v>
      </c>
      <c r="I139" s="7">
        <v>3.12</v>
      </c>
      <c r="J139" s="7">
        <v>2.86</v>
      </c>
      <c r="K139" s="7">
        <v>3.06</v>
      </c>
      <c r="L139" s="7">
        <v>3.05</v>
      </c>
      <c r="M139" s="7">
        <v>3.16</v>
      </c>
      <c r="N139" s="7">
        <v>2.98</v>
      </c>
      <c r="O139" s="7">
        <v>2.87</v>
      </c>
      <c r="P139" s="7">
        <v>2.76</v>
      </c>
      <c r="Q139" s="7">
        <v>3.07</v>
      </c>
      <c r="R139" s="7">
        <v>2.74</v>
      </c>
      <c r="S139" s="7">
        <v>2.83</v>
      </c>
      <c r="T139" s="7">
        <v>2.99</v>
      </c>
      <c r="U139" s="7">
        <v>3.02</v>
      </c>
      <c r="V139" s="7">
        <v>2.95</v>
      </c>
      <c r="W139" s="7">
        <v>2.98</v>
      </c>
      <c r="X139" s="7">
        <v>2.87</v>
      </c>
      <c r="Y139" s="7">
        <v>3</v>
      </c>
      <c r="Z139" s="7">
        <v>2.77</v>
      </c>
      <c r="AA139" s="7">
        <v>1.81</v>
      </c>
      <c r="AB139" s="7">
        <v>1.59</v>
      </c>
      <c r="AC139" s="7">
        <v>2.91</v>
      </c>
    </row>
    <row r="140" spans="1:29" x14ac:dyDescent="0.35">
      <c r="F140" s="6">
        <f>SUM(F138:G138)</f>
        <v>5757</v>
      </c>
      <c r="G140">
        <f>SUM(F137:G137)</f>
        <v>2654</v>
      </c>
      <c r="N140" s="6">
        <f>SUM(N138:P138)</f>
        <v>9412</v>
      </c>
      <c r="O140" s="20">
        <f>SUM(N137:P137)</f>
        <v>2013</v>
      </c>
    </row>
    <row r="141" spans="1:29" x14ac:dyDescent="0.35">
      <c r="A141" t="s">
        <v>1240</v>
      </c>
      <c r="B141" s="5">
        <v>46026</v>
      </c>
      <c r="C141" s="5">
        <v>46033</v>
      </c>
      <c r="D141" s="5">
        <v>46040</v>
      </c>
      <c r="E141" s="5">
        <v>46047</v>
      </c>
      <c r="F141" s="5">
        <v>46054</v>
      </c>
      <c r="G141" s="5">
        <v>46061</v>
      </c>
      <c r="H141" s="5">
        <v>46068</v>
      </c>
      <c r="I141" s="5">
        <v>46075</v>
      </c>
      <c r="J141" s="5">
        <v>46082</v>
      </c>
      <c r="K141" s="5">
        <v>46089</v>
      </c>
      <c r="L141" s="5">
        <v>46096</v>
      </c>
      <c r="M141" s="5">
        <v>46103</v>
      </c>
      <c r="N141" s="5">
        <v>46110</v>
      </c>
      <c r="O141" s="5">
        <v>46117</v>
      </c>
      <c r="P141" s="5">
        <v>46124</v>
      </c>
      <c r="Q141" s="5">
        <v>46131</v>
      </c>
      <c r="R141" s="5">
        <v>46138</v>
      </c>
      <c r="S141" s="5">
        <v>46145</v>
      </c>
      <c r="T141" s="5">
        <v>46152</v>
      </c>
      <c r="U141" s="5">
        <v>46159</v>
      </c>
      <c r="V141" s="5">
        <v>46166</v>
      </c>
      <c r="W141" s="5">
        <v>46173</v>
      </c>
      <c r="X141" s="5">
        <v>46180</v>
      </c>
      <c r="Y141" s="5">
        <v>46187</v>
      </c>
      <c r="Z141" s="5">
        <v>46194</v>
      </c>
      <c r="AA141" s="5">
        <v>46201</v>
      </c>
      <c r="AB141" s="5">
        <v>46208</v>
      </c>
      <c r="AC141" s="5">
        <v>46215</v>
      </c>
    </row>
    <row r="142" spans="1:29" x14ac:dyDescent="0.35">
      <c r="A142" t="s">
        <v>1242</v>
      </c>
      <c r="B142" s="3">
        <v>1.2999999999999999E-2</v>
      </c>
      <c r="C142" s="3">
        <v>8.0000000000000002E-3</v>
      </c>
      <c r="D142" s="3">
        <v>1.2E-2</v>
      </c>
      <c r="E142" s="3">
        <v>0</v>
      </c>
      <c r="F142" s="3">
        <v>0.247</v>
      </c>
      <c r="G142" s="3">
        <v>0.67300000000000004</v>
      </c>
      <c r="H142" s="3">
        <v>3.5999999999999997E-2</v>
      </c>
      <c r="I142" s="3">
        <v>2.7E-2</v>
      </c>
      <c r="J142" s="3">
        <v>0.48</v>
      </c>
      <c r="K142" s="3">
        <v>9.1999999999999998E-2</v>
      </c>
      <c r="L142" s="3">
        <v>9.1999999999999998E-2</v>
      </c>
      <c r="M142" s="3">
        <v>0</v>
      </c>
      <c r="N142" s="3">
        <v>8.6999999999999994E-2</v>
      </c>
      <c r="O142" s="3">
        <v>0.21299999999999999</v>
      </c>
      <c r="P142" s="3">
        <v>0.36</v>
      </c>
      <c r="Q142" s="3">
        <v>8.0000000000000002E-3</v>
      </c>
      <c r="R142" s="3">
        <v>0.36799999999999999</v>
      </c>
      <c r="S142" s="3">
        <v>0.18</v>
      </c>
      <c r="T142" s="3">
        <v>4.2999999999999997E-2</v>
      </c>
      <c r="U142" s="3">
        <v>0</v>
      </c>
      <c r="V142" s="3">
        <v>3.7999999999999999E-2</v>
      </c>
      <c r="W142" s="3">
        <v>1.4999999999999999E-2</v>
      </c>
      <c r="X142" s="3">
        <v>5.8999999999999997E-2</v>
      </c>
      <c r="Y142" s="3">
        <v>2E-3</v>
      </c>
      <c r="Z142" s="3">
        <v>0.26800000000000002</v>
      </c>
      <c r="AA142" s="3">
        <v>1.115</v>
      </c>
      <c r="AB142" s="3">
        <v>1.4179999999999999</v>
      </c>
      <c r="AC142" s="3">
        <v>0.01</v>
      </c>
    </row>
    <row r="143" spans="1:29" x14ac:dyDescent="0.35">
      <c r="A143" t="s">
        <v>1247</v>
      </c>
      <c r="B143" s="3">
        <v>0.2</v>
      </c>
      <c r="C143" s="3">
        <v>6.5000000000000002E-2</v>
      </c>
      <c r="D143" s="3">
        <v>0.123</v>
      </c>
      <c r="E143" s="3">
        <v>-5.2999999999999999E-2</v>
      </c>
      <c r="F143" s="47">
        <v>6.0999999999999999E-2</v>
      </c>
      <c r="G143" s="47">
        <v>0.107</v>
      </c>
      <c r="H143" s="3">
        <v>1.7000000000000001E-2</v>
      </c>
      <c r="I143" s="3">
        <v>7.0000000000000001E-3</v>
      </c>
      <c r="J143" s="3">
        <v>8.7999999999999995E-2</v>
      </c>
      <c r="K143" s="3">
        <v>0.16800000000000001</v>
      </c>
      <c r="L143" s="3">
        <v>0.16900000000000001</v>
      </c>
      <c r="M143" t="s">
        <v>1272</v>
      </c>
      <c r="N143" s="60">
        <v>0.111</v>
      </c>
      <c r="O143" s="60">
        <v>5.7000000000000002E-2</v>
      </c>
      <c r="P143" s="60">
        <v>7.2999999999999995E-2</v>
      </c>
      <c r="Q143" s="3">
        <v>0.06</v>
      </c>
      <c r="R143" s="3">
        <v>7.0000000000000007E-2</v>
      </c>
      <c r="S143" s="3">
        <v>5.8999999999999997E-2</v>
      </c>
      <c r="T143" s="3">
        <v>8.7999999999999995E-2</v>
      </c>
      <c r="U143" t="s">
        <v>1272</v>
      </c>
      <c r="V143" s="3">
        <v>0.221</v>
      </c>
      <c r="W143" s="3">
        <v>0.152</v>
      </c>
      <c r="X143" s="3">
        <v>0.55700000000000005</v>
      </c>
      <c r="Y143" s="3">
        <v>1.7999999999999999E-2</v>
      </c>
      <c r="Z143" s="3">
        <v>5.0999999999999997E-2</v>
      </c>
      <c r="AA143" s="3">
        <v>0.373</v>
      </c>
      <c r="AB143" s="3">
        <v>0.433</v>
      </c>
      <c r="AC143" s="3">
        <v>6.0000000000000001E-3</v>
      </c>
    </row>
    <row r="144" spans="1:29" x14ac:dyDescent="0.35">
      <c r="A144" t="s">
        <v>1248</v>
      </c>
      <c r="B144" s="7">
        <v>0.62</v>
      </c>
      <c r="C144" s="7">
        <v>0.2</v>
      </c>
      <c r="D144" s="7">
        <v>0.38</v>
      </c>
      <c r="E144" s="7">
        <v>-0.17</v>
      </c>
      <c r="F144" s="7">
        <v>0.19</v>
      </c>
      <c r="G144" s="7">
        <v>0.33</v>
      </c>
      <c r="H144" s="7">
        <v>0.05</v>
      </c>
      <c r="I144" s="7">
        <v>0.02</v>
      </c>
      <c r="J144" s="7">
        <v>0.27</v>
      </c>
      <c r="K144" s="7">
        <v>0.53</v>
      </c>
      <c r="L144" s="7">
        <v>0.53</v>
      </c>
      <c r="M144" t="s">
        <v>1272</v>
      </c>
      <c r="N144" s="7">
        <v>0.34</v>
      </c>
      <c r="O144" s="7">
        <v>0.17</v>
      </c>
      <c r="P144" s="7">
        <v>0.22</v>
      </c>
      <c r="Q144" s="7">
        <v>0.18</v>
      </c>
      <c r="R144" s="7">
        <v>0.2</v>
      </c>
      <c r="S144" s="7">
        <v>0.17</v>
      </c>
      <c r="T144" s="7">
        <v>0.27</v>
      </c>
      <c r="U144" t="s">
        <v>1272</v>
      </c>
      <c r="V144" s="7">
        <v>0.66</v>
      </c>
      <c r="W144" s="7">
        <v>0.46</v>
      </c>
      <c r="X144" s="7">
        <v>1.67</v>
      </c>
      <c r="Y144" s="7">
        <v>0.05</v>
      </c>
      <c r="Z144" s="7">
        <v>0.15</v>
      </c>
      <c r="AA144" s="7">
        <v>1.04</v>
      </c>
      <c r="AB144" s="7">
        <v>1.18</v>
      </c>
      <c r="AC144" s="7">
        <v>0.02</v>
      </c>
    </row>
    <row r="145" spans="1:29" x14ac:dyDescent="0.35">
      <c r="A145" t="s">
        <v>1249</v>
      </c>
      <c r="B145" s="7">
        <v>2.5099999999999998</v>
      </c>
      <c r="C145" s="7">
        <v>2.91</v>
      </c>
      <c r="D145" s="7">
        <v>2.74</v>
      </c>
      <c r="E145" s="7">
        <v>3.32</v>
      </c>
      <c r="F145" s="59">
        <v>2.88</v>
      </c>
      <c r="G145" s="59">
        <v>2.71</v>
      </c>
      <c r="H145" s="7">
        <v>3.09</v>
      </c>
      <c r="I145" s="7">
        <v>3.13</v>
      </c>
      <c r="J145" s="7">
        <v>2.8</v>
      </c>
      <c r="K145" s="7">
        <v>2.61</v>
      </c>
      <c r="L145" s="7">
        <v>2.6</v>
      </c>
      <c r="M145" t="s">
        <v>1272</v>
      </c>
      <c r="N145" s="7">
        <v>2.72</v>
      </c>
      <c r="O145" s="7">
        <v>2.82</v>
      </c>
      <c r="P145" s="7">
        <v>2.74</v>
      </c>
      <c r="Q145" s="7">
        <v>2.89</v>
      </c>
      <c r="R145" s="7">
        <v>2.73</v>
      </c>
      <c r="S145" s="7">
        <v>2.78</v>
      </c>
      <c r="T145" s="7">
        <v>2.77</v>
      </c>
      <c r="U145" t="s">
        <v>1272</v>
      </c>
      <c r="V145" s="7">
        <v>2.34</v>
      </c>
      <c r="W145" s="7">
        <v>2.5499999999999998</v>
      </c>
      <c r="X145" s="7">
        <v>1.33</v>
      </c>
      <c r="Y145" s="7">
        <v>2.94</v>
      </c>
      <c r="Z145" s="7">
        <v>2.75</v>
      </c>
      <c r="AA145" s="7">
        <v>1.75</v>
      </c>
      <c r="AB145" s="7">
        <v>1.54</v>
      </c>
      <c r="AC145" s="7">
        <v>2.89</v>
      </c>
    </row>
    <row r="146" spans="1:29" x14ac:dyDescent="0.35">
      <c r="A146" t="s">
        <v>1250</v>
      </c>
      <c r="B146" s="7">
        <v>3.13</v>
      </c>
      <c r="C146" s="7">
        <v>3.12</v>
      </c>
      <c r="D146" s="7">
        <v>3.13</v>
      </c>
      <c r="E146" s="7">
        <v>3.15</v>
      </c>
      <c r="F146" s="7">
        <v>3.07</v>
      </c>
      <c r="G146" s="7">
        <v>3.04</v>
      </c>
      <c r="H146" s="7">
        <v>3.15</v>
      </c>
      <c r="I146" s="7">
        <v>3.15</v>
      </c>
      <c r="J146" s="7">
        <v>3.07</v>
      </c>
      <c r="K146" s="7">
        <v>3.13</v>
      </c>
      <c r="L146" s="7">
        <v>3.13</v>
      </c>
      <c r="M146" s="7">
        <v>3.16</v>
      </c>
      <c r="N146" s="7">
        <v>3.05</v>
      </c>
      <c r="O146" s="7">
        <v>2.99</v>
      </c>
      <c r="P146" s="7">
        <v>2.96</v>
      </c>
      <c r="Q146" s="7">
        <v>3.07</v>
      </c>
      <c r="R146" s="7">
        <v>2.94</v>
      </c>
      <c r="S146" s="7">
        <v>2.95</v>
      </c>
      <c r="T146" s="7">
        <v>3.04</v>
      </c>
      <c r="U146" s="7">
        <v>3.02</v>
      </c>
      <c r="V146" s="7">
        <v>3</v>
      </c>
      <c r="W146" s="7">
        <v>3.01</v>
      </c>
      <c r="X146" s="7">
        <v>3</v>
      </c>
      <c r="Y146" s="7">
        <v>3</v>
      </c>
      <c r="Z146" s="7">
        <v>2.9</v>
      </c>
      <c r="AA146" s="7">
        <v>2.8</v>
      </c>
      <c r="AB146" s="7">
        <v>2.72</v>
      </c>
      <c r="AC146" s="7">
        <v>2.91</v>
      </c>
    </row>
    <row r="147" spans="1:29" x14ac:dyDescent="0.35">
      <c r="A147" t="s">
        <v>1245</v>
      </c>
      <c r="B147" s="7">
        <v>3.1</v>
      </c>
      <c r="C147" s="7">
        <v>3.11</v>
      </c>
      <c r="D147" s="7">
        <v>3.11</v>
      </c>
      <c r="E147" s="7">
        <v>3.15</v>
      </c>
      <c r="F147" s="7">
        <v>2.94</v>
      </c>
      <c r="G147" s="7">
        <v>2.73</v>
      </c>
      <c r="H147" s="7">
        <v>3.08</v>
      </c>
      <c r="I147" s="7">
        <v>3.12</v>
      </c>
      <c r="J147" s="7">
        <v>2.86</v>
      </c>
      <c r="K147" s="7">
        <v>3.06</v>
      </c>
      <c r="L147" s="7">
        <v>3.05</v>
      </c>
      <c r="M147" s="7">
        <v>3.16</v>
      </c>
      <c r="N147" s="7">
        <v>2.98</v>
      </c>
      <c r="O147" s="7">
        <v>2.87</v>
      </c>
      <c r="P147" s="7">
        <v>2.76</v>
      </c>
      <c r="Q147" s="7">
        <v>3.07</v>
      </c>
      <c r="R147" s="7">
        <v>2.74</v>
      </c>
      <c r="S147" s="7">
        <v>2.83</v>
      </c>
      <c r="T147" s="7">
        <v>2.99</v>
      </c>
      <c r="U147" s="7">
        <v>3.02</v>
      </c>
      <c r="V147" s="7">
        <v>2.95</v>
      </c>
      <c r="W147" s="7">
        <v>2.98</v>
      </c>
      <c r="X147" s="7">
        <v>2.87</v>
      </c>
      <c r="Y147" s="7">
        <v>3</v>
      </c>
      <c r="Z147" s="7">
        <v>2.77</v>
      </c>
      <c r="AA147" s="7">
        <v>1.81</v>
      </c>
      <c r="AB147" s="7">
        <v>1.59</v>
      </c>
      <c r="AC147" s="7">
        <v>2.91</v>
      </c>
    </row>
    <row r="150" spans="1:29" x14ac:dyDescent="0.35">
      <c r="A150" s="4" t="s">
        <v>1275</v>
      </c>
      <c r="B150" s="56">
        <v>941</v>
      </c>
      <c r="C150" s="56">
        <v>942</v>
      </c>
    </row>
    <row r="151" spans="1:29" x14ac:dyDescent="0.35">
      <c r="A151" t="s">
        <v>1254</v>
      </c>
      <c r="B151" s="5">
        <v>46026</v>
      </c>
      <c r="C151" s="5">
        <v>46033</v>
      </c>
      <c r="D151" s="5">
        <v>46040</v>
      </c>
      <c r="E151" s="5">
        <v>46047</v>
      </c>
      <c r="F151" s="5">
        <v>46054</v>
      </c>
      <c r="G151" s="5">
        <v>46061</v>
      </c>
      <c r="H151" s="5">
        <v>46068</v>
      </c>
      <c r="I151" s="5">
        <v>46075</v>
      </c>
      <c r="J151" s="5">
        <v>46082</v>
      </c>
      <c r="K151" s="5">
        <v>46089</v>
      </c>
      <c r="L151" s="5">
        <v>46096</v>
      </c>
      <c r="M151" s="5">
        <v>46103</v>
      </c>
      <c r="N151" s="5">
        <v>46110</v>
      </c>
      <c r="O151" s="5">
        <v>46117</v>
      </c>
      <c r="P151" s="5">
        <v>46124</v>
      </c>
      <c r="Q151" s="5">
        <v>46131</v>
      </c>
      <c r="R151" s="5">
        <v>46138</v>
      </c>
      <c r="S151" s="5">
        <v>46145</v>
      </c>
      <c r="T151" s="5">
        <v>46152</v>
      </c>
      <c r="U151" s="5">
        <v>46159</v>
      </c>
      <c r="V151" s="5">
        <v>46166</v>
      </c>
      <c r="W151" s="5">
        <v>46173</v>
      </c>
      <c r="X151" s="5">
        <v>46180</v>
      </c>
      <c r="Y151" s="5">
        <v>46187</v>
      </c>
      <c r="Z151" s="5">
        <v>46194</v>
      </c>
      <c r="AA151" s="5">
        <v>46201</v>
      </c>
      <c r="AB151" s="5">
        <v>46208</v>
      </c>
      <c r="AC151" s="5">
        <v>46215</v>
      </c>
    </row>
    <row r="152" spans="1:29" s="18" customFormat="1" x14ac:dyDescent="0.35">
      <c r="A152" s="18" t="s">
        <v>1241</v>
      </c>
      <c r="B152" s="18">
        <v>211</v>
      </c>
      <c r="C152" s="18">
        <v>302</v>
      </c>
      <c r="D152" s="18">
        <v>274</v>
      </c>
      <c r="E152" s="18">
        <v>285</v>
      </c>
      <c r="F152" s="18">
        <v>285</v>
      </c>
      <c r="G152" s="18">
        <v>313</v>
      </c>
      <c r="H152" s="18">
        <v>300</v>
      </c>
      <c r="I152" s="18">
        <v>303</v>
      </c>
      <c r="J152" s="18">
        <v>408</v>
      </c>
      <c r="K152" s="18">
        <v>368</v>
      </c>
      <c r="L152" s="18">
        <v>305</v>
      </c>
      <c r="M152" s="18">
        <v>314</v>
      </c>
      <c r="N152" s="18">
        <v>320</v>
      </c>
      <c r="O152" s="18">
        <v>305</v>
      </c>
      <c r="P152" s="18">
        <v>285</v>
      </c>
      <c r="Q152" s="18">
        <v>294</v>
      </c>
      <c r="R152" s="18">
        <v>333</v>
      </c>
      <c r="S152" s="18">
        <v>352</v>
      </c>
      <c r="T152" s="18">
        <v>384</v>
      </c>
      <c r="U152" s="18">
        <v>354</v>
      </c>
      <c r="V152" s="18">
        <v>371</v>
      </c>
      <c r="W152" s="18">
        <v>317</v>
      </c>
      <c r="X152" s="18">
        <v>281</v>
      </c>
      <c r="Y152" s="18">
        <v>295</v>
      </c>
      <c r="Z152" s="18">
        <v>266</v>
      </c>
      <c r="AA152" s="18">
        <v>189</v>
      </c>
      <c r="AB152" s="18">
        <v>199</v>
      </c>
      <c r="AC152" s="18">
        <v>208</v>
      </c>
    </row>
    <row r="153" spans="1:29" x14ac:dyDescent="0.35">
      <c r="A153" t="s">
        <v>1242</v>
      </c>
      <c r="B153" s="3">
        <v>1.6E-2</v>
      </c>
      <c r="C153" s="3">
        <v>0</v>
      </c>
      <c r="D153" s="3">
        <v>2.8000000000000001E-2</v>
      </c>
      <c r="E153" s="3">
        <v>0</v>
      </c>
      <c r="F153" s="3">
        <v>6.0000000000000001E-3</v>
      </c>
      <c r="G153" s="3">
        <v>8.3000000000000004E-2</v>
      </c>
      <c r="H153" s="3">
        <v>0</v>
      </c>
      <c r="I153" s="3">
        <v>0</v>
      </c>
      <c r="J153" s="47">
        <v>0.35</v>
      </c>
      <c r="K153" s="47">
        <v>0.128</v>
      </c>
      <c r="L153" s="3">
        <v>0</v>
      </c>
      <c r="M153" s="3">
        <v>0</v>
      </c>
      <c r="N153" s="3">
        <v>2E-3</v>
      </c>
      <c r="O153" s="3">
        <v>0.1</v>
      </c>
      <c r="P153" s="3">
        <v>0.17699999999999999</v>
      </c>
      <c r="Q153" s="3">
        <v>0</v>
      </c>
      <c r="R153" s="47">
        <v>0.23300000000000001</v>
      </c>
      <c r="S153" s="47">
        <v>0.184</v>
      </c>
      <c r="T153" s="47">
        <v>0.121</v>
      </c>
      <c r="U153" s="3">
        <v>0</v>
      </c>
      <c r="V153" s="3">
        <v>0.34200000000000003</v>
      </c>
      <c r="W153" s="3">
        <v>0.112</v>
      </c>
      <c r="X153" s="3">
        <v>0</v>
      </c>
      <c r="Y153" s="3">
        <v>0</v>
      </c>
      <c r="Z153" s="3">
        <v>2.1999999999999999E-2</v>
      </c>
      <c r="AA153" s="3">
        <v>0</v>
      </c>
      <c r="AB153" s="3">
        <v>0</v>
      </c>
      <c r="AC153" s="3">
        <v>0</v>
      </c>
    </row>
    <row r="154" spans="1:29" x14ac:dyDescent="0.35">
      <c r="A154" t="s">
        <v>1243</v>
      </c>
      <c r="B154">
        <v>3</v>
      </c>
      <c r="C154">
        <v>0</v>
      </c>
      <c r="D154">
        <v>7</v>
      </c>
      <c r="E154">
        <v>0</v>
      </c>
      <c r="F154">
        <v>2</v>
      </c>
      <c r="G154">
        <v>24</v>
      </c>
      <c r="H154">
        <v>0</v>
      </c>
      <c r="I154">
        <v>0</v>
      </c>
      <c r="J154" s="52">
        <v>106</v>
      </c>
      <c r="K154" s="52">
        <v>42</v>
      </c>
      <c r="L154">
        <v>0</v>
      </c>
      <c r="M154">
        <v>0</v>
      </c>
      <c r="N154">
        <v>1</v>
      </c>
      <c r="O154">
        <v>28</v>
      </c>
      <c r="P154">
        <v>43</v>
      </c>
      <c r="Q154">
        <v>0</v>
      </c>
      <c r="R154" s="52">
        <v>63</v>
      </c>
      <c r="S154" s="52">
        <v>55</v>
      </c>
      <c r="T154" s="52">
        <v>42</v>
      </c>
      <c r="U154">
        <v>0</v>
      </c>
      <c r="V154">
        <v>95</v>
      </c>
      <c r="W154">
        <v>32</v>
      </c>
      <c r="X154">
        <v>0</v>
      </c>
      <c r="Y154">
        <v>0</v>
      </c>
      <c r="Z154">
        <v>6</v>
      </c>
      <c r="AA154">
        <v>0</v>
      </c>
      <c r="AB154">
        <v>0</v>
      </c>
      <c r="AC154">
        <v>0</v>
      </c>
    </row>
    <row r="155" spans="1:29" x14ac:dyDescent="0.35">
      <c r="A155" t="s">
        <v>1244</v>
      </c>
      <c r="B155">
        <v>208</v>
      </c>
      <c r="C155">
        <v>302</v>
      </c>
      <c r="D155">
        <v>267</v>
      </c>
      <c r="E155">
        <v>285</v>
      </c>
      <c r="F155">
        <v>283</v>
      </c>
      <c r="G155">
        <v>289</v>
      </c>
      <c r="H155">
        <v>300</v>
      </c>
      <c r="I155">
        <v>303</v>
      </c>
      <c r="J155">
        <v>302</v>
      </c>
      <c r="K155">
        <v>326</v>
      </c>
      <c r="L155">
        <v>305</v>
      </c>
      <c r="M155">
        <v>314</v>
      </c>
      <c r="N155">
        <v>319</v>
      </c>
      <c r="O155">
        <v>277</v>
      </c>
      <c r="P155">
        <v>242</v>
      </c>
      <c r="Q155">
        <v>294</v>
      </c>
      <c r="R155">
        <v>270</v>
      </c>
      <c r="S155">
        <v>297</v>
      </c>
      <c r="T155">
        <v>343</v>
      </c>
      <c r="U155">
        <v>354</v>
      </c>
      <c r="V155">
        <v>276</v>
      </c>
      <c r="W155">
        <v>285</v>
      </c>
      <c r="X155">
        <v>281</v>
      </c>
      <c r="Y155">
        <v>295</v>
      </c>
      <c r="Z155">
        <v>260</v>
      </c>
      <c r="AA155">
        <v>189</v>
      </c>
      <c r="AB155">
        <v>199</v>
      </c>
      <c r="AC155">
        <v>208</v>
      </c>
    </row>
    <row r="156" spans="1:29" x14ac:dyDescent="0.35">
      <c r="A156" t="s">
        <v>1245</v>
      </c>
      <c r="B156" s="7">
        <v>11.38</v>
      </c>
      <c r="C156" s="7">
        <v>11.44</v>
      </c>
      <c r="D156" s="7">
        <v>11.32</v>
      </c>
      <c r="E156" s="7">
        <v>11.43</v>
      </c>
      <c r="F156" s="7">
        <v>11.37</v>
      </c>
      <c r="G156" s="7">
        <v>11.01</v>
      </c>
      <c r="H156" s="7">
        <v>11.33</v>
      </c>
      <c r="I156" s="7">
        <v>11.34</v>
      </c>
      <c r="J156" s="7">
        <v>10.48</v>
      </c>
      <c r="K156" s="7">
        <v>10.79</v>
      </c>
      <c r="L156" s="7">
        <v>11.41</v>
      </c>
      <c r="M156" s="7">
        <v>11.39</v>
      </c>
      <c r="N156" s="7">
        <v>11.4</v>
      </c>
      <c r="O156" s="7">
        <v>10.97</v>
      </c>
      <c r="P156" s="7">
        <v>10.53</v>
      </c>
      <c r="Q156" s="7">
        <v>11.31</v>
      </c>
      <c r="R156" s="7">
        <v>10.48</v>
      </c>
      <c r="S156" s="7">
        <v>10.54</v>
      </c>
      <c r="T156" s="7">
        <v>10.41</v>
      </c>
      <c r="U156" s="7">
        <v>10.91</v>
      </c>
      <c r="V156" s="7">
        <v>10.44</v>
      </c>
      <c r="W156" s="7">
        <v>10.81</v>
      </c>
      <c r="X156" s="7">
        <v>11.38</v>
      </c>
      <c r="Y156" s="7">
        <v>11.3</v>
      </c>
      <c r="Z156" s="7">
        <v>11.26</v>
      </c>
      <c r="AA156" s="7">
        <v>11.42</v>
      </c>
      <c r="AB156" s="7">
        <v>11.39</v>
      </c>
      <c r="AC156" s="7">
        <v>11.26</v>
      </c>
    </row>
    <row r="157" spans="1:29" x14ac:dyDescent="0.35">
      <c r="J157">
        <f>SUM(J155:K155)</f>
        <v>628</v>
      </c>
      <c r="K157">
        <f>SUM(J154:K154)</f>
        <v>148</v>
      </c>
      <c r="R157">
        <f>SUM(R155:T155)</f>
        <v>910</v>
      </c>
      <c r="S157">
        <f>SUM(R154:T154)</f>
        <v>160</v>
      </c>
    </row>
    <row r="158" spans="1:29" x14ac:dyDescent="0.35">
      <c r="A158" s="4" t="s">
        <v>1276</v>
      </c>
    </row>
    <row r="159" spans="1:29" x14ac:dyDescent="0.35">
      <c r="A159" t="s">
        <v>1254</v>
      </c>
      <c r="B159" s="5">
        <v>46026</v>
      </c>
      <c r="C159" s="5">
        <v>46033</v>
      </c>
      <c r="D159" s="5">
        <v>46040</v>
      </c>
      <c r="E159" s="5">
        <v>46047</v>
      </c>
      <c r="F159" s="5">
        <v>46054</v>
      </c>
      <c r="G159" s="5">
        <v>46061</v>
      </c>
      <c r="H159" s="5">
        <v>46068</v>
      </c>
      <c r="I159" s="5">
        <v>46075</v>
      </c>
      <c r="J159" s="5">
        <v>46082</v>
      </c>
      <c r="K159" s="5">
        <v>46089</v>
      </c>
      <c r="L159" s="5">
        <v>46096</v>
      </c>
      <c r="M159" s="5">
        <v>46103</v>
      </c>
      <c r="N159" s="5">
        <v>46110</v>
      </c>
      <c r="O159" s="5">
        <v>46117</v>
      </c>
      <c r="P159" s="5">
        <v>46124</v>
      </c>
      <c r="Q159" s="5">
        <v>46131</v>
      </c>
      <c r="R159" s="5">
        <v>46138</v>
      </c>
      <c r="S159" s="5">
        <v>46145</v>
      </c>
      <c r="T159" s="5">
        <v>46152</v>
      </c>
      <c r="U159" s="5">
        <v>46159</v>
      </c>
      <c r="V159" s="5">
        <v>46166</v>
      </c>
      <c r="W159" s="5">
        <v>46173</v>
      </c>
      <c r="X159" s="5">
        <v>46180</v>
      </c>
      <c r="Y159" s="5">
        <v>46187</v>
      </c>
      <c r="Z159" s="5">
        <v>46194</v>
      </c>
      <c r="AA159" s="5">
        <v>46201</v>
      </c>
      <c r="AB159" s="5">
        <v>46208</v>
      </c>
      <c r="AC159" s="5">
        <v>46215</v>
      </c>
    </row>
    <row r="160" spans="1:29" x14ac:dyDescent="0.35">
      <c r="A160" t="s">
        <v>1242</v>
      </c>
      <c r="B160" s="3">
        <v>1.6E-2</v>
      </c>
      <c r="C160" s="3">
        <v>0</v>
      </c>
      <c r="D160" s="3">
        <v>2.8000000000000001E-2</v>
      </c>
      <c r="E160" s="3">
        <v>0</v>
      </c>
      <c r="F160" s="3">
        <v>6.0000000000000001E-3</v>
      </c>
      <c r="G160" s="3">
        <v>8.3000000000000004E-2</v>
      </c>
      <c r="H160" s="3">
        <v>0</v>
      </c>
      <c r="I160" s="3">
        <v>0</v>
      </c>
      <c r="J160" s="3">
        <v>0.35</v>
      </c>
      <c r="K160" s="3">
        <v>0.128</v>
      </c>
      <c r="L160" s="3">
        <v>0</v>
      </c>
      <c r="M160" s="3">
        <v>0</v>
      </c>
      <c r="N160" s="3">
        <v>2E-3</v>
      </c>
      <c r="O160" s="3">
        <v>0.1</v>
      </c>
      <c r="P160" s="3">
        <v>0.17699999999999999</v>
      </c>
      <c r="Q160" s="3">
        <v>0</v>
      </c>
      <c r="R160" s="3">
        <v>0.23300000000000001</v>
      </c>
      <c r="S160" s="3">
        <v>0.184</v>
      </c>
      <c r="T160" s="3">
        <v>0.121</v>
      </c>
      <c r="U160" s="3">
        <v>0</v>
      </c>
      <c r="V160" s="3">
        <v>0.34200000000000003</v>
      </c>
      <c r="W160" s="3">
        <v>0.112</v>
      </c>
      <c r="X160" s="3">
        <v>0</v>
      </c>
      <c r="Y160" s="3">
        <v>0</v>
      </c>
      <c r="Z160" s="3">
        <v>2.1999999999999999E-2</v>
      </c>
      <c r="AA160" s="3">
        <v>0</v>
      </c>
      <c r="AB160" s="3">
        <v>0</v>
      </c>
      <c r="AC160" s="3">
        <v>0</v>
      </c>
    </row>
    <row r="161" spans="1:29" x14ac:dyDescent="0.35">
      <c r="A161" t="s">
        <v>1247</v>
      </c>
      <c r="B161" s="3">
        <v>3.7999999999999999E-2</v>
      </c>
      <c r="C161" s="3">
        <v>7.1999999999999995E-2</v>
      </c>
      <c r="D161" s="3">
        <v>0.13900000000000001</v>
      </c>
      <c r="E161" s="3">
        <v>1.6E-2</v>
      </c>
      <c r="F161" s="3">
        <v>0.09</v>
      </c>
      <c r="G161" s="3">
        <v>5.2999999999999999E-2</v>
      </c>
      <c r="H161" s="3">
        <v>-3.0000000000000001E-3</v>
      </c>
      <c r="I161" s="3">
        <v>-1E-3</v>
      </c>
      <c r="J161" s="47">
        <v>4.9000000000000002E-2</v>
      </c>
      <c r="K161" s="47">
        <v>3.5999999999999997E-2</v>
      </c>
      <c r="L161" s="3">
        <v>8.2000000000000003E-2</v>
      </c>
      <c r="M161" t="s">
        <v>1272</v>
      </c>
      <c r="N161" s="3">
        <v>4.2999999999999997E-2</v>
      </c>
      <c r="O161" s="3">
        <v>5.8000000000000003E-2</v>
      </c>
      <c r="P161" s="3">
        <v>3.9E-2</v>
      </c>
      <c r="Q161" s="3">
        <v>2.8000000000000001E-2</v>
      </c>
      <c r="R161" s="47">
        <v>3.5000000000000003E-2</v>
      </c>
      <c r="S161" s="47">
        <v>2.5000000000000001E-2</v>
      </c>
      <c r="T161" s="47">
        <v>3.1E-2</v>
      </c>
      <c r="U161" t="s">
        <v>1272</v>
      </c>
      <c r="V161" s="3">
        <v>4.5999999999999999E-2</v>
      </c>
      <c r="W161" s="3">
        <v>5.2999999999999999E-2</v>
      </c>
      <c r="X161" s="3">
        <v>6.7000000000000004E-2</v>
      </c>
      <c r="Y161" t="s">
        <v>1272</v>
      </c>
      <c r="Z161" s="3">
        <v>0.28899999999999998</v>
      </c>
      <c r="AA161" s="3">
        <v>0.107</v>
      </c>
      <c r="AB161" s="3">
        <v>0.108</v>
      </c>
      <c r="AC161" t="s">
        <v>1272</v>
      </c>
    </row>
    <row r="162" spans="1:29" x14ac:dyDescent="0.35">
      <c r="A162" t="s">
        <v>1248</v>
      </c>
      <c r="B162" s="7">
        <v>0.44</v>
      </c>
      <c r="C162" s="7">
        <v>0.83</v>
      </c>
      <c r="D162" s="7">
        <v>1.59</v>
      </c>
      <c r="E162" s="7">
        <v>0.18</v>
      </c>
      <c r="F162" s="7">
        <v>1.03</v>
      </c>
      <c r="G162" s="7">
        <v>0.59</v>
      </c>
      <c r="H162" s="7">
        <v>-0.03</v>
      </c>
      <c r="I162" s="7">
        <v>-0.01</v>
      </c>
      <c r="J162" s="7">
        <v>0.53</v>
      </c>
      <c r="K162" s="7">
        <v>0.4</v>
      </c>
      <c r="L162" s="7">
        <v>0.93</v>
      </c>
      <c r="M162" t="s">
        <v>1272</v>
      </c>
      <c r="N162" s="7">
        <v>0.48</v>
      </c>
      <c r="O162" s="7">
        <v>0.65</v>
      </c>
      <c r="P162" s="7">
        <v>0.43</v>
      </c>
      <c r="Q162" s="7">
        <v>0.32</v>
      </c>
      <c r="R162" s="7">
        <v>0.38</v>
      </c>
      <c r="S162" s="7">
        <v>0.27</v>
      </c>
      <c r="T162" s="7">
        <v>0.33</v>
      </c>
      <c r="U162" t="s">
        <v>1272</v>
      </c>
      <c r="V162" s="7">
        <v>0.5</v>
      </c>
      <c r="W162" s="7">
        <v>0.57999999999999996</v>
      </c>
      <c r="X162" s="7">
        <v>0.77</v>
      </c>
      <c r="Y162" t="s">
        <v>1272</v>
      </c>
      <c r="Z162" s="7">
        <v>3.28</v>
      </c>
      <c r="AA162" s="7">
        <v>1.22</v>
      </c>
      <c r="AB162" s="7">
        <v>1.23</v>
      </c>
      <c r="AC162" t="s">
        <v>1272</v>
      </c>
    </row>
    <row r="163" spans="1:29" x14ac:dyDescent="0.35">
      <c r="A163" t="s">
        <v>1249</v>
      </c>
      <c r="B163" s="7">
        <v>10.98</v>
      </c>
      <c r="C163" s="7">
        <v>10.61</v>
      </c>
      <c r="D163" s="7">
        <v>9.82</v>
      </c>
      <c r="E163" s="7">
        <v>11.25</v>
      </c>
      <c r="F163" s="7">
        <v>10.36</v>
      </c>
      <c r="G163" s="7">
        <v>10.58</v>
      </c>
      <c r="H163" s="7">
        <v>11.36</v>
      </c>
      <c r="I163" s="7">
        <v>11.35</v>
      </c>
      <c r="J163" s="48">
        <v>10.41</v>
      </c>
      <c r="K163" s="48">
        <v>10.59</v>
      </c>
      <c r="L163" s="7">
        <v>10.48</v>
      </c>
      <c r="M163" t="s">
        <v>1272</v>
      </c>
      <c r="N163" s="7">
        <v>10.92</v>
      </c>
      <c r="O163" s="7">
        <v>10.48</v>
      </c>
      <c r="P163" s="7">
        <v>10.46</v>
      </c>
      <c r="Q163" s="7">
        <v>10.99</v>
      </c>
      <c r="R163" s="48">
        <v>10.44</v>
      </c>
      <c r="S163" s="48">
        <v>10.52</v>
      </c>
      <c r="T163" s="48">
        <v>10.3</v>
      </c>
      <c r="U163" t="s">
        <v>1272</v>
      </c>
      <c r="V163" s="7">
        <v>10.39</v>
      </c>
      <c r="W163" s="7">
        <v>10.45</v>
      </c>
      <c r="X163" s="7">
        <v>10.61</v>
      </c>
      <c r="Y163" t="s">
        <v>1272</v>
      </c>
      <c r="Z163" s="7">
        <v>8.09</v>
      </c>
      <c r="AA163" s="7">
        <v>10.19</v>
      </c>
      <c r="AB163" s="7">
        <v>10.16</v>
      </c>
      <c r="AC163" t="s">
        <v>1272</v>
      </c>
    </row>
    <row r="164" spans="1:29" x14ac:dyDescent="0.35">
      <c r="A164" t="s">
        <v>1250</v>
      </c>
      <c r="B164" s="7">
        <v>11.42</v>
      </c>
      <c r="C164" s="7">
        <v>11.44</v>
      </c>
      <c r="D164" s="7">
        <v>11.4</v>
      </c>
      <c r="E164" s="7">
        <v>11.43</v>
      </c>
      <c r="F164" s="7">
        <v>11.38</v>
      </c>
      <c r="G164" s="7">
        <v>11.16</v>
      </c>
      <c r="H164" s="7">
        <v>11.33</v>
      </c>
      <c r="I164" s="7">
        <v>11.34</v>
      </c>
      <c r="J164" s="7">
        <v>10.94</v>
      </c>
      <c r="K164" s="7">
        <v>10.99</v>
      </c>
      <c r="L164" s="7">
        <v>11.41</v>
      </c>
      <c r="M164" s="7">
        <v>11.39</v>
      </c>
      <c r="N164" s="7">
        <v>11.4</v>
      </c>
      <c r="O164" s="7">
        <v>11.13</v>
      </c>
      <c r="P164" s="7">
        <v>10.88</v>
      </c>
      <c r="Q164" s="7">
        <v>11.31</v>
      </c>
      <c r="R164" s="7">
        <v>10.82</v>
      </c>
      <c r="S164" s="7">
        <v>10.78</v>
      </c>
      <c r="T164" s="7">
        <v>10.63</v>
      </c>
      <c r="U164" s="7">
        <v>10.91</v>
      </c>
      <c r="V164" s="7">
        <v>10.89</v>
      </c>
      <c r="W164" s="7">
        <v>11.03</v>
      </c>
      <c r="X164" s="7">
        <v>11.38</v>
      </c>
      <c r="Y164" s="7">
        <v>11.3</v>
      </c>
      <c r="Z164" s="7">
        <v>11.37</v>
      </c>
      <c r="AA164" s="7">
        <v>11.42</v>
      </c>
      <c r="AB164" s="7">
        <v>11.39</v>
      </c>
      <c r="AC164" s="7">
        <v>11.26</v>
      </c>
    </row>
    <row r="165" spans="1:29" x14ac:dyDescent="0.35">
      <c r="A165" t="s">
        <v>1245</v>
      </c>
      <c r="B165" s="7">
        <v>11.38</v>
      </c>
      <c r="C165" s="7">
        <v>11.44</v>
      </c>
      <c r="D165" s="7">
        <v>11.32</v>
      </c>
      <c r="E165" s="7">
        <v>11.43</v>
      </c>
      <c r="F165" s="7">
        <v>11.37</v>
      </c>
      <c r="G165" s="7">
        <v>11.01</v>
      </c>
      <c r="H165" s="7">
        <v>11.33</v>
      </c>
      <c r="I165" s="7">
        <v>11.34</v>
      </c>
      <c r="J165" s="7">
        <v>10.48</v>
      </c>
      <c r="K165" s="7">
        <v>10.79</v>
      </c>
      <c r="L165" s="7">
        <v>11.41</v>
      </c>
      <c r="M165" s="7">
        <v>11.39</v>
      </c>
      <c r="N165" s="7">
        <v>11.4</v>
      </c>
      <c r="O165" s="7">
        <v>10.97</v>
      </c>
      <c r="P165" s="7">
        <v>10.53</v>
      </c>
      <c r="Q165" s="7">
        <v>11.31</v>
      </c>
      <c r="R165" s="7">
        <v>10.48</v>
      </c>
      <c r="S165" s="7">
        <v>10.54</v>
      </c>
      <c r="T165" s="7">
        <v>10.41</v>
      </c>
      <c r="U165" s="7">
        <v>10.91</v>
      </c>
      <c r="V165" s="7">
        <v>10.44</v>
      </c>
      <c r="W165" s="7">
        <v>10.81</v>
      </c>
      <c r="X165" s="7">
        <v>11.38</v>
      </c>
      <c r="Y165" s="7">
        <v>11.3</v>
      </c>
      <c r="Z165" s="7">
        <v>11.26</v>
      </c>
      <c r="AA165" s="7">
        <v>11.42</v>
      </c>
      <c r="AB165" s="7">
        <v>11.39</v>
      </c>
      <c r="AC165" s="7">
        <v>11.26</v>
      </c>
    </row>
    <row r="168" spans="1:29" s="66" customFormat="1" x14ac:dyDescent="0.35"/>
    <row r="169" spans="1:29" x14ac:dyDescent="0.35">
      <c r="A169" s="4" t="s">
        <v>1286</v>
      </c>
      <c r="B169" s="57">
        <v>1238</v>
      </c>
      <c r="C169" s="57">
        <v>1239</v>
      </c>
    </row>
    <row r="170" spans="1:29" x14ac:dyDescent="0.35">
      <c r="A170" t="s">
        <v>1240</v>
      </c>
      <c r="B170" s="5">
        <v>46026</v>
      </c>
      <c r="C170" s="5">
        <v>46033</v>
      </c>
      <c r="D170" s="5">
        <v>46040</v>
      </c>
      <c r="E170" s="5">
        <v>46047</v>
      </c>
      <c r="F170" s="5">
        <v>46054</v>
      </c>
      <c r="G170" s="5">
        <v>46061</v>
      </c>
      <c r="H170" s="5">
        <v>46068</v>
      </c>
      <c r="I170" s="5">
        <v>46075</v>
      </c>
      <c r="J170" s="5">
        <v>46082</v>
      </c>
      <c r="K170" s="5">
        <v>46089</v>
      </c>
      <c r="L170" s="5">
        <v>46096</v>
      </c>
      <c r="M170" s="5">
        <v>46103</v>
      </c>
      <c r="N170" s="5">
        <v>46110</v>
      </c>
      <c r="O170" s="5">
        <v>46117</v>
      </c>
      <c r="P170" s="5">
        <v>46124</v>
      </c>
      <c r="Q170" s="5">
        <v>46131</v>
      </c>
      <c r="R170" s="5">
        <v>46138</v>
      </c>
      <c r="S170" s="5">
        <v>46145</v>
      </c>
      <c r="T170" s="5">
        <v>46152</v>
      </c>
      <c r="U170" s="5">
        <v>46159</v>
      </c>
      <c r="V170" s="5">
        <v>46166</v>
      </c>
      <c r="W170" s="5">
        <v>46173</v>
      </c>
      <c r="X170" s="5">
        <v>46180</v>
      </c>
      <c r="Y170" s="5">
        <v>46187</v>
      </c>
      <c r="Z170" s="5">
        <v>46194</v>
      </c>
      <c r="AA170" s="5">
        <v>46201</v>
      </c>
      <c r="AB170" s="5">
        <v>46208</v>
      </c>
      <c r="AC170" s="5">
        <v>46215</v>
      </c>
    </row>
    <row r="171" spans="1:29" x14ac:dyDescent="0.35">
      <c r="A171" t="s">
        <v>1241</v>
      </c>
      <c r="B171" s="6">
        <v>4577</v>
      </c>
      <c r="C171" s="6">
        <v>6113</v>
      </c>
      <c r="D171" s="6">
        <v>6838</v>
      </c>
      <c r="E171" s="6">
        <v>8175</v>
      </c>
      <c r="F171" s="6">
        <v>10080</v>
      </c>
      <c r="G171" s="6">
        <v>11431</v>
      </c>
      <c r="H171" s="6">
        <v>12359</v>
      </c>
      <c r="I171" s="6">
        <v>12986</v>
      </c>
      <c r="J171" s="6">
        <v>14372</v>
      </c>
      <c r="K171" s="58">
        <v>17865</v>
      </c>
      <c r="L171" s="58">
        <v>19657</v>
      </c>
      <c r="M171" s="58">
        <v>20111</v>
      </c>
      <c r="N171" s="58">
        <v>21276</v>
      </c>
      <c r="O171" s="67">
        <v>20685</v>
      </c>
      <c r="P171" s="67">
        <v>21938</v>
      </c>
      <c r="Q171" s="67">
        <v>22531</v>
      </c>
      <c r="R171" s="67">
        <v>22906</v>
      </c>
      <c r="S171" s="67">
        <v>22280</v>
      </c>
      <c r="T171" s="6">
        <v>17737</v>
      </c>
      <c r="U171" s="6">
        <v>17475</v>
      </c>
      <c r="V171" s="6">
        <v>16239</v>
      </c>
      <c r="W171" s="6">
        <v>15725</v>
      </c>
      <c r="X171" s="6">
        <v>16510</v>
      </c>
      <c r="Y171" s="6">
        <v>16363</v>
      </c>
      <c r="Z171" s="6">
        <v>15752</v>
      </c>
      <c r="AA171" s="6">
        <v>15940</v>
      </c>
      <c r="AB171" s="6">
        <v>14590</v>
      </c>
      <c r="AC171" s="6">
        <v>15385</v>
      </c>
    </row>
    <row r="172" spans="1:29" x14ac:dyDescent="0.35">
      <c r="A172" t="s">
        <v>1242</v>
      </c>
      <c r="B172" s="3">
        <v>1.7999999999999999E-2</v>
      </c>
      <c r="C172" s="3">
        <v>1.2999999999999999E-2</v>
      </c>
      <c r="D172" s="3">
        <v>7.0000000000000001E-3</v>
      </c>
      <c r="E172" s="3">
        <v>1.2999999999999999E-2</v>
      </c>
      <c r="F172" s="3">
        <v>0.01</v>
      </c>
      <c r="G172" s="3">
        <v>1.6E-2</v>
      </c>
      <c r="H172" s="3">
        <v>1.2E-2</v>
      </c>
      <c r="I172" s="3">
        <v>8.9999999999999993E-3</v>
      </c>
      <c r="J172" s="3">
        <v>1.2999999999999999E-2</v>
      </c>
      <c r="K172" s="3">
        <v>0.26300000000000001</v>
      </c>
      <c r="L172" s="3">
        <v>0.39</v>
      </c>
      <c r="M172" s="3">
        <v>0.36599999999999999</v>
      </c>
      <c r="N172" s="3">
        <v>0.39600000000000002</v>
      </c>
      <c r="O172" s="3">
        <v>0.379</v>
      </c>
      <c r="P172" s="3">
        <v>0.36899999999999999</v>
      </c>
      <c r="Q172" s="3">
        <v>0.34200000000000003</v>
      </c>
      <c r="R172" s="3">
        <v>0.32300000000000001</v>
      </c>
      <c r="S172" s="3">
        <v>0.32400000000000001</v>
      </c>
      <c r="T172" s="3">
        <v>0.127</v>
      </c>
      <c r="U172" s="3">
        <v>0.03</v>
      </c>
      <c r="V172" s="3">
        <v>1.2999999999999999E-2</v>
      </c>
      <c r="W172" s="3">
        <v>8.9999999999999993E-3</v>
      </c>
      <c r="X172" s="3">
        <v>0.01</v>
      </c>
      <c r="Y172" s="3">
        <v>8.0000000000000002E-3</v>
      </c>
      <c r="Z172" s="3">
        <v>1.0999999999999999E-2</v>
      </c>
      <c r="AA172" s="3">
        <v>8.9999999999999993E-3</v>
      </c>
      <c r="AB172" s="3">
        <v>8.0000000000000002E-3</v>
      </c>
      <c r="AC172" s="3">
        <v>6.0000000000000001E-3</v>
      </c>
    </row>
    <row r="173" spans="1:29" x14ac:dyDescent="0.35">
      <c r="A173" t="s">
        <v>1243</v>
      </c>
      <c r="B173">
        <v>79</v>
      </c>
      <c r="C173">
        <v>79</v>
      </c>
      <c r="D173">
        <v>49</v>
      </c>
      <c r="E173">
        <v>109</v>
      </c>
      <c r="F173">
        <v>97</v>
      </c>
      <c r="G173">
        <v>181</v>
      </c>
      <c r="H173">
        <v>150</v>
      </c>
      <c r="I173">
        <v>118</v>
      </c>
      <c r="J173">
        <v>183</v>
      </c>
      <c r="K173" s="6">
        <v>3725</v>
      </c>
      <c r="L173" s="6">
        <v>5520</v>
      </c>
      <c r="M173" s="6">
        <v>5393</v>
      </c>
      <c r="N173" s="6">
        <v>6038</v>
      </c>
      <c r="O173" s="6">
        <v>5689</v>
      </c>
      <c r="P173" s="6">
        <v>5914</v>
      </c>
      <c r="Q173" s="6">
        <v>5742</v>
      </c>
      <c r="R173" s="6">
        <v>5590</v>
      </c>
      <c r="S173" s="6">
        <v>5452</v>
      </c>
      <c r="T173" s="6">
        <v>1992</v>
      </c>
      <c r="U173">
        <v>511</v>
      </c>
      <c r="V173">
        <v>211</v>
      </c>
      <c r="W173">
        <v>142</v>
      </c>
      <c r="X173">
        <v>156</v>
      </c>
      <c r="Y173">
        <v>126</v>
      </c>
      <c r="Z173">
        <v>170</v>
      </c>
      <c r="AA173">
        <v>142</v>
      </c>
      <c r="AB173">
        <v>116</v>
      </c>
      <c r="AC173">
        <v>85</v>
      </c>
    </row>
    <row r="174" spans="1:29" x14ac:dyDescent="0.35">
      <c r="A174" t="s">
        <v>1244</v>
      </c>
      <c r="B174" s="6">
        <v>4498</v>
      </c>
      <c r="C174" s="6">
        <v>6034</v>
      </c>
      <c r="D174" s="6">
        <v>6789</v>
      </c>
      <c r="E174" s="6">
        <v>8066</v>
      </c>
      <c r="F174" s="6">
        <v>9982</v>
      </c>
      <c r="G174" s="6">
        <v>11250</v>
      </c>
      <c r="H174" s="6">
        <v>12209</v>
      </c>
      <c r="I174" s="6">
        <v>12868</v>
      </c>
      <c r="J174" s="6">
        <v>14190</v>
      </c>
      <c r="K174" s="6">
        <v>14139</v>
      </c>
      <c r="L174" s="6">
        <v>14137</v>
      </c>
      <c r="M174" s="6">
        <v>14718</v>
      </c>
      <c r="N174" s="6">
        <v>15238</v>
      </c>
      <c r="O174" s="6">
        <v>14995</v>
      </c>
      <c r="P174" s="6">
        <v>16024</v>
      </c>
      <c r="Q174" s="6">
        <v>16790</v>
      </c>
      <c r="R174" s="6">
        <v>17316</v>
      </c>
      <c r="S174" s="6">
        <v>16828</v>
      </c>
      <c r="T174" s="6">
        <v>15744</v>
      </c>
      <c r="U174" s="6">
        <v>16964</v>
      </c>
      <c r="V174" s="6">
        <v>16028</v>
      </c>
      <c r="W174" s="6">
        <v>15583</v>
      </c>
      <c r="X174" s="6">
        <v>16354</v>
      </c>
      <c r="Y174" s="6">
        <v>16237</v>
      </c>
      <c r="Z174" s="6">
        <v>15582</v>
      </c>
      <c r="AA174" s="6">
        <v>15798</v>
      </c>
      <c r="AB174" s="6">
        <v>14473</v>
      </c>
      <c r="AC174" s="6">
        <v>15301</v>
      </c>
    </row>
    <row r="175" spans="1:29" x14ac:dyDescent="0.35">
      <c r="A175" t="s">
        <v>1245</v>
      </c>
      <c r="B175" s="7">
        <v>3.51</v>
      </c>
      <c r="C175" s="7">
        <v>3.55</v>
      </c>
      <c r="D175" s="7">
        <v>3.57</v>
      </c>
      <c r="E175" s="7">
        <v>3.52</v>
      </c>
      <c r="F175" s="7">
        <v>3.56</v>
      </c>
      <c r="G175" s="7">
        <v>3.54</v>
      </c>
      <c r="H175" s="7">
        <v>3.58</v>
      </c>
      <c r="I175" s="7">
        <v>3.58</v>
      </c>
      <c r="J175" s="7">
        <v>3.56</v>
      </c>
      <c r="K175" s="7">
        <v>3.13</v>
      </c>
      <c r="L175" s="7">
        <v>2.95</v>
      </c>
      <c r="M175" s="7">
        <v>2.96</v>
      </c>
      <c r="N175" s="7">
        <v>2.96</v>
      </c>
      <c r="O175" s="7">
        <v>2.95</v>
      </c>
      <c r="P175" s="7">
        <v>2.96</v>
      </c>
      <c r="Q175" s="7">
        <v>2.97</v>
      </c>
      <c r="R175" s="7">
        <v>2.96</v>
      </c>
      <c r="S175" s="7">
        <v>2.97</v>
      </c>
      <c r="T175" s="7">
        <v>3.39</v>
      </c>
      <c r="U175" s="7">
        <v>3.57</v>
      </c>
      <c r="V175" s="7">
        <v>3.59</v>
      </c>
      <c r="W175" s="7">
        <v>3.59</v>
      </c>
      <c r="X175" s="7">
        <v>3.59</v>
      </c>
      <c r="Y175" s="7">
        <v>3.59</v>
      </c>
      <c r="Z175" s="7">
        <v>3.59</v>
      </c>
      <c r="AA175" s="7">
        <v>3.59</v>
      </c>
      <c r="AB175" s="7">
        <v>3.59</v>
      </c>
      <c r="AC175" s="7">
        <v>3.59</v>
      </c>
    </row>
    <row r="176" spans="1:29" x14ac:dyDescent="0.35">
      <c r="K176" s="6">
        <f>SUM(K174:N174)</f>
        <v>58232</v>
      </c>
      <c r="L176" s="6">
        <f>SUM(K173:N173)</f>
        <v>20676</v>
      </c>
      <c r="M176" s="11">
        <f>L176/K176</f>
        <v>0.35506250858634431</v>
      </c>
      <c r="O176" s="6">
        <f>SUM(O174:S174)</f>
        <v>81953</v>
      </c>
      <c r="P176" s="6">
        <f>SUM(O173:S173)</f>
        <v>28387</v>
      </c>
      <c r="Q176" s="11">
        <f>P176/O176</f>
        <v>0.34638146254560542</v>
      </c>
    </row>
    <row r="177" spans="1:29" x14ac:dyDescent="0.35">
      <c r="A177" t="s">
        <v>1240</v>
      </c>
      <c r="B177" s="5">
        <v>46026</v>
      </c>
      <c r="C177" s="5">
        <v>46033</v>
      </c>
      <c r="D177" s="5">
        <v>46040</v>
      </c>
      <c r="E177" s="5">
        <v>46047</v>
      </c>
      <c r="F177" s="5">
        <v>46054</v>
      </c>
      <c r="G177" s="5">
        <v>46061</v>
      </c>
      <c r="H177" s="5">
        <v>46068</v>
      </c>
      <c r="I177" s="5">
        <v>46075</v>
      </c>
      <c r="J177" s="5">
        <v>46082</v>
      </c>
      <c r="K177" s="5">
        <v>46089</v>
      </c>
      <c r="L177" s="5">
        <v>46096</v>
      </c>
      <c r="M177" s="5">
        <v>46103</v>
      </c>
      <c r="N177" s="5">
        <v>46110</v>
      </c>
      <c r="O177" s="5">
        <v>46117</v>
      </c>
      <c r="P177" s="5">
        <v>46124</v>
      </c>
      <c r="Q177" s="5">
        <v>46131</v>
      </c>
      <c r="R177" s="5">
        <v>46138</v>
      </c>
      <c r="S177" s="5">
        <v>46145</v>
      </c>
      <c r="T177" s="5">
        <v>46152</v>
      </c>
      <c r="U177" s="5">
        <v>46159</v>
      </c>
      <c r="V177" s="5">
        <v>46166</v>
      </c>
      <c r="W177" s="5">
        <v>46173</v>
      </c>
      <c r="X177" s="5">
        <v>46180</v>
      </c>
      <c r="Y177" s="5">
        <v>46187</v>
      </c>
      <c r="Z177" s="5">
        <v>46194</v>
      </c>
      <c r="AA177" s="5">
        <v>46201</v>
      </c>
      <c r="AB177" s="5">
        <v>46208</v>
      </c>
      <c r="AC177" s="5">
        <v>46215</v>
      </c>
    </row>
    <row r="178" spans="1:29" x14ac:dyDescent="0.35">
      <c r="A178" t="s">
        <v>1242</v>
      </c>
      <c r="B178" s="3">
        <v>1.7999999999999999E-2</v>
      </c>
      <c r="C178" s="3">
        <v>1.2999999999999999E-2</v>
      </c>
      <c r="D178" s="3">
        <v>7.0000000000000001E-3</v>
      </c>
      <c r="E178" s="3">
        <v>1.2999999999999999E-2</v>
      </c>
      <c r="F178" s="3">
        <v>0.01</v>
      </c>
      <c r="G178" s="3">
        <v>1.6E-2</v>
      </c>
      <c r="H178" s="3">
        <v>1.2E-2</v>
      </c>
      <c r="I178" s="3">
        <v>8.9999999999999993E-3</v>
      </c>
      <c r="J178" s="3">
        <v>1.2999999999999999E-2</v>
      </c>
      <c r="K178" s="3">
        <v>0.26300000000000001</v>
      </c>
      <c r="L178" s="3">
        <v>0.39</v>
      </c>
      <c r="M178" s="3">
        <v>0.36599999999999999</v>
      </c>
      <c r="N178" s="3">
        <v>0.39600000000000002</v>
      </c>
      <c r="O178" s="3">
        <v>0.379</v>
      </c>
      <c r="P178" s="3">
        <v>0.36899999999999999</v>
      </c>
      <c r="Q178" s="3">
        <v>0.34200000000000003</v>
      </c>
      <c r="R178" s="3">
        <v>0.32300000000000001</v>
      </c>
      <c r="S178" s="3">
        <v>0.32400000000000001</v>
      </c>
      <c r="T178" s="3">
        <v>0.127</v>
      </c>
      <c r="U178" s="3">
        <v>0.03</v>
      </c>
      <c r="V178" s="3">
        <v>1.2999999999999999E-2</v>
      </c>
      <c r="W178" s="3">
        <v>8.9999999999999993E-3</v>
      </c>
      <c r="X178" s="3">
        <v>0.01</v>
      </c>
      <c r="Y178" s="3">
        <v>8.0000000000000002E-3</v>
      </c>
      <c r="Z178" s="3">
        <v>1.0999999999999999E-2</v>
      </c>
      <c r="AA178" s="3">
        <v>8.9999999999999993E-3</v>
      </c>
      <c r="AB178" s="3">
        <v>8.0000000000000002E-3</v>
      </c>
      <c r="AC178" s="3">
        <v>6.0000000000000001E-3</v>
      </c>
    </row>
    <row r="179" spans="1:29" x14ac:dyDescent="0.35">
      <c r="A179" t="s">
        <v>1247</v>
      </c>
      <c r="B179" s="3">
        <v>0.41899999999999998</v>
      </c>
      <c r="C179" s="3">
        <v>0.315</v>
      </c>
      <c r="D179" s="3">
        <v>0.27100000000000002</v>
      </c>
      <c r="E179" s="3">
        <v>0.30599999999999999</v>
      </c>
      <c r="F179" s="3">
        <v>0.20699999999999999</v>
      </c>
      <c r="G179" s="3">
        <v>0.375</v>
      </c>
      <c r="H179" s="3">
        <v>0.16700000000000001</v>
      </c>
      <c r="I179" s="3">
        <v>0.115</v>
      </c>
      <c r="J179" s="3">
        <v>0.14000000000000001</v>
      </c>
      <c r="K179" s="60">
        <v>0.13400000000000001</v>
      </c>
      <c r="L179" s="60">
        <v>0.151</v>
      </c>
      <c r="M179" s="60">
        <v>0.152</v>
      </c>
      <c r="N179" s="60">
        <v>0.152</v>
      </c>
      <c r="O179" s="34">
        <v>0.155</v>
      </c>
      <c r="P179" s="34">
        <v>0.152</v>
      </c>
      <c r="Q179" s="34">
        <v>0.14299999999999999</v>
      </c>
      <c r="R179" s="34">
        <v>0.14499999999999999</v>
      </c>
      <c r="S179" s="34">
        <v>0.14499999999999999</v>
      </c>
      <c r="T179" s="3">
        <v>0.121</v>
      </c>
      <c r="U179" s="3">
        <v>0.12</v>
      </c>
      <c r="V179" s="3">
        <v>0.20100000000000001</v>
      </c>
      <c r="W179" s="3">
        <v>0.189</v>
      </c>
      <c r="X179" s="3">
        <v>0.152</v>
      </c>
      <c r="Y179" s="3">
        <v>0.29599999999999999</v>
      </c>
      <c r="Z179" s="3">
        <v>0.183</v>
      </c>
      <c r="AA179" s="3">
        <v>0.20200000000000001</v>
      </c>
      <c r="AB179" s="3">
        <v>0.21</v>
      </c>
      <c r="AC179" s="3">
        <v>0.29299999999999998</v>
      </c>
    </row>
    <row r="180" spans="1:29" x14ac:dyDescent="0.35">
      <c r="A180" t="s">
        <v>1248</v>
      </c>
      <c r="B180" s="7">
        <v>1.49</v>
      </c>
      <c r="C180" s="7">
        <v>1.1299999999999999</v>
      </c>
      <c r="D180" s="7">
        <v>0.97</v>
      </c>
      <c r="E180" s="7">
        <v>1.0900000000000001</v>
      </c>
      <c r="F180" s="7">
        <v>0.74</v>
      </c>
      <c r="G180" s="7">
        <v>1.34</v>
      </c>
      <c r="H180" s="7">
        <v>0.6</v>
      </c>
      <c r="I180" s="7">
        <v>0.41</v>
      </c>
      <c r="J180" s="7">
        <v>0.5</v>
      </c>
      <c r="K180" s="7">
        <v>0.45</v>
      </c>
      <c r="L180" s="7">
        <v>0.5</v>
      </c>
      <c r="M180" s="7">
        <v>0.5</v>
      </c>
      <c r="N180" s="7">
        <v>0.51</v>
      </c>
      <c r="O180" s="7">
        <v>0.51</v>
      </c>
      <c r="P180" s="7">
        <v>0.5</v>
      </c>
      <c r="Q180" s="7">
        <v>0.47</v>
      </c>
      <c r="R180" s="7">
        <v>0.47</v>
      </c>
      <c r="S180" s="7">
        <v>0.47</v>
      </c>
      <c r="T180" s="7">
        <v>0.42</v>
      </c>
      <c r="U180" s="7">
        <v>0.43</v>
      </c>
      <c r="V180" s="7">
        <v>0.72</v>
      </c>
      <c r="W180" s="7">
        <v>0.68</v>
      </c>
      <c r="X180" s="7">
        <v>0.55000000000000004</v>
      </c>
      <c r="Y180" s="7">
        <v>1.07</v>
      </c>
      <c r="Z180" s="7">
        <v>0.66</v>
      </c>
      <c r="AA180" s="7">
        <v>0.73</v>
      </c>
      <c r="AB180" s="7">
        <v>0.76</v>
      </c>
      <c r="AC180" s="7">
        <v>1.05</v>
      </c>
    </row>
    <row r="181" spans="1:29" x14ac:dyDescent="0.35">
      <c r="A181" t="s">
        <v>1249</v>
      </c>
      <c r="B181" s="7">
        <v>2.06</v>
      </c>
      <c r="C181" s="7">
        <v>2.4500000000000002</v>
      </c>
      <c r="D181" s="7">
        <v>2.62</v>
      </c>
      <c r="E181" s="7">
        <v>2.4700000000000002</v>
      </c>
      <c r="F181" s="7">
        <v>2.83</v>
      </c>
      <c r="G181" s="7">
        <v>2.2400000000000002</v>
      </c>
      <c r="H181" s="7">
        <v>2.99</v>
      </c>
      <c r="I181" s="7">
        <v>3.18</v>
      </c>
      <c r="J181" s="7">
        <v>3.08</v>
      </c>
      <c r="K181" s="7">
        <v>2.94</v>
      </c>
      <c r="L181" s="7">
        <v>2.82</v>
      </c>
      <c r="M181" s="7">
        <v>2.8</v>
      </c>
      <c r="N181" s="7">
        <v>2.81</v>
      </c>
      <c r="O181" s="7">
        <v>2.79</v>
      </c>
      <c r="P181" s="7">
        <v>2.8</v>
      </c>
      <c r="Q181" s="7">
        <v>2.81</v>
      </c>
      <c r="R181" s="7">
        <v>2.79</v>
      </c>
      <c r="S181" s="7">
        <v>2.8</v>
      </c>
      <c r="T181" s="7">
        <v>3.08</v>
      </c>
      <c r="U181" s="7">
        <v>3.17</v>
      </c>
      <c r="V181" s="7">
        <v>2.88</v>
      </c>
      <c r="W181" s="7">
        <v>2.92</v>
      </c>
      <c r="X181" s="7">
        <v>3.06</v>
      </c>
      <c r="Y181" s="7">
        <v>2.54</v>
      </c>
      <c r="Z181" s="7">
        <v>2.94</v>
      </c>
      <c r="AA181" s="7">
        <v>2.87</v>
      </c>
      <c r="AB181" s="7">
        <v>2.85</v>
      </c>
      <c r="AC181" s="7">
        <v>2.5499999999999998</v>
      </c>
    </row>
    <row r="182" spans="1:29" x14ac:dyDescent="0.35">
      <c r="A182" t="s">
        <v>1250</v>
      </c>
      <c r="B182" s="7">
        <v>3.55</v>
      </c>
      <c r="C182" s="7">
        <v>3.58</v>
      </c>
      <c r="D182" s="7">
        <v>3.59</v>
      </c>
      <c r="E182" s="7">
        <v>3.55</v>
      </c>
      <c r="F182" s="7">
        <v>3.57</v>
      </c>
      <c r="G182" s="7">
        <v>3.58</v>
      </c>
      <c r="H182" s="7">
        <v>3.59</v>
      </c>
      <c r="I182" s="7">
        <v>3.59</v>
      </c>
      <c r="J182" s="7">
        <v>3.58</v>
      </c>
      <c r="K182" s="7">
        <v>3.39</v>
      </c>
      <c r="L182" s="7">
        <v>3.32</v>
      </c>
      <c r="M182" s="7">
        <v>3.31</v>
      </c>
      <c r="N182" s="7">
        <v>3.32</v>
      </c>
      <c r="O182" s="7">
        <v>3.3</v>
      </c>
      <c r="P182" s="7">
        <v>3.3</v>
      </c>
      <c r="Q182" s="7">
        <v>3.27</v>
      </c>
      <c r="R182" s="7">
        <v>3.27</v>
      </c>
      <c r="S182" s="7">
        <v>3.27</v>
      </c>
      <c r="T182" s="7">
        <v>3.5</v>
      </c>
      <c r="U182" s="7">
        <v>3.6</v>
      </c>
      <c r="V182" s="7">
        <v>3.6</v>
      </c>
      <c r="W182" s="7">
        <v>3.61</v>
      </c>
      <c r="X182" s="7">
        <v>3.6</v>
      </c>
      <c r="Y182" s="7">
        <v>3.61</v>
      </c>
      <c r="Z182" s="7">
        <v>3.6</v>
      </c>
      <c r="AA182" s="7">
        <v>3.6</v>
      </c>
      <c r="AB182" s="7">
        <v>3.61</v>
      </c>
      <c r="AC182" s="7">
        <v>3.6</v>
      </c>
    </row>
    <row r="183" spans="1:29" x14ac:dyDescent="0.35">
      <c r="A183" t="s">
        <v>1245</v>
      </c>
      <c r="B183" s="7">
        <v>3.51</v>
      </c>
      <c r="C183" s="7">
        <v>3.55</v>
      </c>
      <c r="D183" s="7">
        <v>3.57</v>
      </c>
      <c r="E183" s="7">
        <v>3.52</v>
      </c>
      <c r="F183" s="7">
        <v>3.56</v>
      </c>
      <c r="G183" s="7">
        <v>3.54</v>
      </c>
      <c r="H183" s="7">
        <v>3.58</v>
      </c>
      <c r="I183" s="7">
        <v>3.58</v>
      </c>
      <c r="J183" s="7">
        <v>3.56</v>
      </c>
      <c r="K183" s="7">
        <v>3.13</v>
      </c>
      <c r="L183" s="7">
        <v>2.95</v>
      </c>
      <c r="M183" s="7">
        <v>2.96</v>
      </c>
      <c r="N183" s="7">
        <v>2.96</v>
      </c>
      <c r="O183" s="7">
        <v>2.95</v>
      </c>
      <c r="P183" s="7">
        <v>2.96</v>
      </c>
      <c r="Q183" s="7">
        <v>2.97</v>
      </c>
      <c r="R183" s="7">
        <v>2.96</v>
      </c>
      <c r="S183" s="7">
        <v>2.97</v>
      </c>
      <c r="T183" s="7">
        <v>3.39</v>
      </c>
      <c r="U183" s="7">
        <v>3.57</v>
      </c>
      <c r="V183" s="7">
        <v>3.59</v>
      </c>
      <c r="W183" s="7">
        <v>3.59</v>
      </c>
      <c r="X183" s="7">
        <v>3.59</v>
      </c>
      <c r="Y183" s="7">
        <v>3.59</v>
      </c>
      <c r="Z183" s="7">
        <v>3.59</v>
      </c>
      <c r="AA183" s="7">
        <v>3.59</v>
      </c>
      <c r="AB183" s="7">
        <v>3.59</v>
      </c>
      <c r="AC183" s="7">
        <v>3.59</v>
      </c>
    </row>
    <row r="185" spans="1:29" s="68" customFormat="1" x14ac:dyDescent="0.35"/>
    <row r="186" spans="1:29" x14ac:dyDescent="0.35">
      <c r="A186" s="4" t="s">
        <v>42</v>
      </c>
      <c r="B186" s="61">
        <v>1042</v>
      </c>
      <c r="C186" s="61">
        <v>1040</v>
      </c>
      <c r="D186" s="61">
        <v>1046</v>
      </c>
      <c r="E186" s="61">
        <v>1048</v>
      </c>
    </row>
    <row r="188" spans="1:29" x14ac:dyDescent="0.35">
      <c r="A188" t="s">
        <v>1240</v>
      </c>
      <c r="B188" s="5">
        <v>46026</v>
      </c>
      <c r="C188" s="5">
        <v>46033</v>
      </c>
      <c r="D188" s="5">
        <v>46040</v>
      </c>
      <c r="E188" s="5">
        <v>46047</v>
      </c>
      <c r="F188" s="5">
        <v>46054</v>
      </c>
      <c r="G188" s="5">
        <v>46061</v>
      </c>
      <c r="H188" s="5">
        <v>46068</v>
      </c>
      <c r="I188" s="5">
        <v>46075</v>
      </c>
      <c r="J188" s="5">
        <v>46082</v>
      </c>
      <c r="K188" s="5">
        <v>46089</v>
      </c>
      <c r="L188" s="5">
        <v>46096</v>
      </c>
      <c r="M188" s="5">
        <v>46103</v>
      </c>
      <c r="N188" s="5">
        <v>46110</v>
      </c>
      <c r="O188" s="5">
        <v>46117</v>
      </c>
      <c r="P188" s="5">
        <v>46124</v>
      </c>
      <c r="Q188" s="5">
        <v>46131</v>
      </c>
      <c r="R188" s="5">
        <v>46138</v>
      </c>
      <c r="S188" s="5">
        <v>46145</v>
      </c>
      <c r="T188" s="5">
        <v>46152</v>
      </c>
      <c r="U188" s="5">
        <v>46159</v>
      </c>
      <c r="V188" s="5">
        <v>46166</v>
      </c>
      <c r="W188" s="5">
        <v>46173</v>
      </c>
      <c r="X188" s="5">
        <v>46180</v>
      </c>
      <c r="Y188" s="5">
        <v>46187</v>
      </c>
      <c r="Z188" s="5">
        <v>46194</v>
      </c>
      <c r="AA188" s="5">
        <v>46201</v>
      </c>
      <c r="AB188" s="5">
        <v>46208</v>
      </c>
      <c r="AC188" s="5">
        <v>46215</v>
      </c>
    </row>
    <row r="189" spans="1:29" x14ac:dyDescent="0.35">
      <c r="A189" t="s">
        <v>1241</v>
      </c>
      <c r="B189" s="6">
        <v>6245</v>
      </c>
      <c r="C189" s="6">
        <v>7358</v>
      </c>
      <c r="D189" s="6">
        <v>7428</v>
      </c>
      <c r="E189" s="6">
        <v>7484</v>
      </c>
      <c r="F189" s="6">
        <v>4677</v>
      </c>
      <c r="G189" s="6">
        <v>5714</v>
      </c>
      <c r="H189" s="6">
        <v>8497</v>
      </c>
      <c r="I189" s="6">
        <v>5372</v>
      </c>
      <c r="J189" s="6">
        <v>5462</v>
      </c>
      <c r="K189" s="6">
        <v>8134</v>
      </c>
      <c r="L189" s="6">
        <v>8069</v>
      </c>
      <c r="M189" s="6">
        <v>5365</v>
      </c>
      <c r="N189" s="6">
        <v>5971</v>
      </c>
      <c r="O189" s="6">
        <v>8802</v>
      </c>
      <c r="P189" s="6">
        <v>7655</v>
      </c>
      <c r="Q189" s="6">
        <v>8170</v>
      </c>
      <c r="R189" s="6">
        <v>9594</v>
      </c>
      <c r="S189" s="6">
        <v>11532</v>
      </c>
      <c r="T189" s="6">
        <v>10134</v>
      </c>
      <c r="U189" s="6">
        <v>10036</v>
      </c>
      <c r="V189" s="6">
        <v>10089</v>
      </c>
      <c r="W189" s="6">
        <v>9617</v>
      </c>
      <c r="X189" s="6">
        <v>10376</v>
      </c>
      <c r="Y189" s="6">
        <v>11418</v>
      </c>
      <c r="Z189" s="6">
        <v>11479</v>
      </c>
      <c r="AA189" s="6">
        <v>9355</v>
      </c>
      <c r="AB189" s="6">
        <v>8390</v>
      </c>
      <c r="AC189" s="6">
        <v>10644</v>
      </c>
    </row>
    <row r="190" spans="1:29" x14ac:dyDescent="0.35">
      <c r="A190" t="s">
        <v>1242</v>
      </c>
      <c r="B190" s="54">
        <v>0.63500000000000001</v>
      </c>
      <c r="C190" s="54">
        <v>0.64100000000000001</v>
      </c>
      <c r="D190" s="3">
        <v>0.30099999999999999</v>
      </c>
      <c r="E190" s="3">
        <v>0.28299999999999997</v>
      </c>
      <c r="F190" s="3">
        <v>3.0000000000000001E-3</v>
      </c>
      <c r="G190" s="3">
        <v>2E-3</v>
      </c>
      <c r="H190" s="31">
        <v>0.57999999999999996</v>
      </c>
      <c r="I190" s="3">
        <v>7.0000000000000001E-3</v>
      </c>
      <c r="J190" s="3">
        <v>1E-3</v>
      </c>
      <c r="K190" s="31">
        <v>0.81399999999999995</v>
      </c>
      <c r="L190" s="31">
        <v>0.82399999999999995</v>
      </c>
      <c r="M190" s="3">
        <v>1.2999999999999999E-2</v>
      </c>
      <c r="N190" s="3">
        <v>5.0000000000000001E-3</v>
      </c>
      <c r="O190" s="3">
        <v>0.749</v>
      </c>
      <c r="P190" s="3">
        <v>7.1999999999999995E-2</v>
      </c>
      <c r="Q190" s="3">
        <v>5.1999999999999998E-2</v>
      </c>
      <c r="R190" s="31">
        <v>0.624</v>
      </c>
      <c r="S190" s="31">
        <v>0.752</v>
      </c>
      <c r="T190" s="3">
        <v>0.13500000000000001</v>
      </c>
      <c r="U190" s="3">
        <v>5.1999999999999998E-2</v>
      </c>
      <c r="V190" s="3">
        <v>4.9000000000000002E-2</v>
      </c>
      <c r="W190" s="3">
        <v>0.114</v>
      </c>
      <c r="X190" s="3">
        <v>0.10199999999999999</v>
      </c>
      <c r="Y190" s="3">
        <v>0.16700000000000001</v>
      </c>
      <c r="Z190" s="3">
        <v>0.20200000000000001</v>
      </c>
      <c r="AA190" s="3">
        <v>9.4E-2</v>
      </c>
      <c r="AB190" s="3">
        <v>4.7E-2</v>
      </c>
      <c r="AC190" s="3">
        <v>0.628</v>
      </c>
    </row>
    <row r="191" spans="1:29" x14ac:dyDescent="0.35">
      <c r="A191" t="s">
        <v>1243</v>
      </c>
      <c r="B191" s="6">
        <v>2425</v>
      </c>
      <c r="C191" s="6">
        <v>2875</v>
      </c>
      <c r="D191" s="6">
        <v>1718</v>
      </c>
      <c r="E191" s="6">
        <v>1649</v>
      </c>
      <c r="F191">
        <v>14</v>
      </c>
      <c r="G191">
        <v>13</v>
      </c>
      <c r="H191" s="6">
        <v>3119</v>
      </c>
      <c r="I191">
        <v>37</v>
      </c>
      <c r="J191">
        <v>3</v>
      </c>
      <c r="K191" s="6">
        <v>3649</v>
      </c>
      <c r="L191" s="6">
        <v>3646</v>
      </c>
      <c r="M191">
        <v>69</v>
      </c>
      <c r="N191">
        <v>30</v>
      </c>
      <c r="O191" s="6">
        <v>3770</v>
      </c>
      <c r="P191">
        <v>515</v>
      </c>
      <c r="Q191">
        <v>405</v>
      </c>
      <c r="R191" s="6">
        <v>3688</v>
      </c>
      <c r="S191" s="6">
        <v>4951</v>
      </c>
      <c r="T191" s="6">
        <v>1206</v>
      </c>
      <c r="U191">
        <v>494</v>
      </c>
      <c r="V191">
        <v>473</v>
      </c>
      <c r="W191">
        <v>982</v>
      </c>
      <c r="X191">
        <v>965</v>
      </c>
      <c r="Y191" s="6">
        <v>1634</v>
      </c>
      <c r="Z191" s="6">
        <v>1931</v>
      </c>
      <c r="AA191">
        <v>805</v>
      </c>
      <c r="AB191">
        <v>377</v>
      </c>
      <c r="AC191" s="6">
        <v>4108</v>
      </c>
    </row>
    <row r="192" spans="1:29" x14ac:dyDescent="0.35">
      <c r="A192" t="s">
        <v>1244</v>
      </c>
      <c r="B192" s="6">
        <v>3820</v>
      </c>
      <c r="C192" s="6">
        <v>4483</v>
      </c>
      <c r="D192" s="6">
        <v>5711</v>
      </c>
      <c r="E192" s="6">
        <v>5835</v>
      </c>
      <c r="F192" s="6">
        <v>4663</v>
      </c>
      <c r="G192" s="6">
        <v>5701</v>
      </c>
      <c r="H192" s="6">
        <v>5377</v>
      </c>
      <c r="I192" s="6">
        <v>5335</v>
      </c>
      <c r="J192" s="6">
        <v>5459</v>
      </c>
      <c r="K192" s="6">
        <v>4485</v>
      </c>
      <c r="L192" s="6">
        <v>4423</v>
      </c>
      <c r="M192" s="6">
        <v>5296</v>
      </c>
      <c r="N192" s="6">
        <v>5941</v>
      </c>
      <c r="O192" s="6">
        <v>5032</v>
      </c>
      <c r="P192" s="6">
        <v>7140</v>
      </c>
      <c r="Q192" s="6">
        <v>7765</v>
      </c>
      <c r="R192" s="6">
        <v>5906</v>
      </c>
      <c r="S192" s="6">
        <v>6580</v>
      </c>
      <c r="T192" s="6">
        <v>8928</v>
      </c>
      <c r="U192" s="6">
        <v>9542</v>
      </c>
      <c r="V192" s="6">
        <v>9616</v>
      </c>
      <c r="W192" s="6">
        <v>8635</v>
      </c>
      <c r="X192" s="6">
        <v>9412</v>
      </c>
      <c r="Y192" s="6">
        <v>9784</v>
      </c>
      <c r="Z192" s="6">
        <v>9548</v>
      </c>
      <c r="AA192" s="6">
        <v>8550</v>
      </c>
      <c r="AB192" s="6">
        <v>8013</v>
      </c>
      <c r="AC192" s="6">
        <v>6537</v>
      </c>
    </row>
    <row r="193" spans="1:29" x14ac:dyDescent="0.35">
      <c r="A193" t="s">
        <v>1245</v>
      </c>
      <c r="B193" s="7">
        <v>2.95</v>
      </c>
      <c r="C193" s="7">
        <v>2.96</v>
      </c>
      <c r="D193" s="7">
        <v>2.93</v>
      </c>
      <c r="E193" s="7">
        <v>2.92</v>
      </c>
      <c r="F193" s="7">
        <v>3.53</v>
      </c>
      <c r="G193" s="7">
        <v>3.53</v>
      </c>
      <c r="H193" s="7">
        <v>2.93</v>
      </c>
      <c r="I193" s="7">
        <v>3.52</v>
      </c>
      <c r="J193" s="7">
        <v>3.53</v>
      </c>
      <c r="K193" s="7">
        <v>2.96</v>
      </c>
      <c r="L193" s="7">
        <v>2.95</v>
      </c>
      <c r="M193" s="7">
        <v>3.53</v>
      </c>
      <c r="N193" s="7">
        <v>3.53</v>
      </c>
      <c r="O193" s="7">
        <v>3.02</v>
      </c>
      <c r="P193" s="7">
        <v>3.52</v>
      </c>
      <c r="Q193" s="7">
        <v>3.52</v>
      </c>
      <c r="R193" s="7">
        <v>3.27</v>
      </c>
      <c r="S193" s="7">
        <v>3.32</v>
      </c>
      <c r="T193" s="7">
        <v>3.53</v>
      </c>
      <c r="U193" s="7">
        <v>3.53</v>
      </c>
      <c r="V193" s="7">
        <v>3.52</v>
      </c>
      <c r="W193" s="7">
        <v>3.53</v>
      </c>
      <c r="X193" s="7">
        <v>3.53</v>
      </c>
      <c r="Y193" s="7">
        <v>3.34</v>
      </c>
      <c r="Z193" s="7">
        <v>3.33</v>
      </c>
      <c r="AA193" s="7">
        <v>3.53</v>
      </c>
      <c r="AB193" s="7">
        <v>3.53</v>
      </c>
      <c r="AC193" s="7">
        <v>3.32</v>
      </c>
    </row>
    <row r="194" spans="1:29" x14ac:dyDescent="0.35">
      <c r="B194" s="6">
        <f>SUM(B192:C192)</f>
        <v>8303</v>
      </c>
      <c r="C194" s="6">
        <f>SUM(B191:C191)</f>
        <v>5300</v>
      </c>
      <c r="D194" s="11">
        <f>C194/B194</f>
        <v>0.63832349753101292</v>
      </c>
      <c r="H194" s="6">
        <f>H192</f>
        <v>5377</v>
      </c>
      <c r="I194" s="6">
        <f>H191</f>
        <v>3119</v>
      </c>
      <c r="J194">
        <f>I194/H194</f>
        <v>0.58006323228566115</v>
      </c>
      <c r="K194" s="6">
        <f>SUM(K192:L192)</f>
        <v>8908</v>
      </c>
      <c r="L194" s="6">
        <f>SUM(K191:L191)</f>
        <v>7295</v>
      </c>
      <c r="M194">
        <f>L194/K194</f>
        <v>0.81892680736416701</v>
      </c>
      <c r="R194" s="6">
        <f>SUM(R192:S192)</f>
        <v>12486</v>
      </c>
      <c r="S194" s="6">
        <f>SUM(R191:S191)</f>
        <v>8639</v>
      </c>
      <c r="T194">
        <f>S194/R194</f>
        <v>0.69189492231299055</v>
      </c>
    </row>
    <row r="195" spans="1:29" x14ac:dyDescent="0.35">
      <c r="K195" s="6"/>
    </row>
    <row r="196" spans="1:29" x14ac:dyDescent="0.35">
      <c r="A196" t="s">
        <v>1240</v>
      </c>
      <c r="B196" s="5">
        <v>46026</v>
      </c>
      <c r="C196" s="5">
        <v>46033</v>
      </c>
      <c r="D196" s="5">
        <v>46040</v>
      </c>
      <c r="E196" s="5">
        <v>46047</v>
      </c>
      <c r="F196" s="5">
        <v>46054</v>
      </c>
      <c r="G196" s="5">
        <v>46061</v>
      </c>
      <c r="H196" s="5">
        <v>46068</v>
      </c>
      <c r="I196" s="5">
        <v>46075</v>
      </c>
      <c r="J196" s="5">
        <v>46082</v>
      </c>
      <c r="K196" s="5">
        <v>46089</v>
      </c>
      <c r="L196" s="5">
        <v>46096</v>
      </c>
      <c r="M196" s="5">
        <v>46103</v>
      </c>
      <c r="N196" s="5">
        <v>46110</v>
      </c>
      <c r="O196" s="5">
        <v>46117</v>
      </c>
      <c r="P196" s="5">
        <v>46124</v>
      </c>
      <c r="Q196" s="5">
        <v>46131</v>
      </c>
      <c r="R196" s="5">
        <v>46138</v>
      </c>
      <c r="S196" s="5">
        <v>46145</v>
      </c>
      <c r="T196" s="5">
        <v>46152</v>
      </c>
      <c r="U196" s="5">
        <v>46159</v>
      </c>
      <c r="V196" s="5">
        <v>46166</v>
      </c>
      <c r="W196" s="5">
        <v>46173</v>
      </c>
      <c r="X196" s="5">
        <v>46180</v>
      </c>
      <c r="Y196" s="5">
        <v>46187</v>
      </c>
      <c r="Z196" s="5">
        <v>46194</v>
      </c>
      <c r="AA196" s="5">
        <v>46201</v>
      </c>
      <c r="AB196" s="5">
        <v>46208</v>
      </c>
      <c r="AC196" s="5">
        <v>46215</v>
      </c>
    </row>
    <row r="197" spans="1:29" x14ac:dyDescent="0.35">
      <c r="A197" t="s">
        <v>1242</v>
      </c>
      <c r="B197" s="3">
        <v>0.63500000000000001</v>
      </c>
      <c r="C197" s="3">
        <v>0.64100000000000001</v>
      </c>
      <c r="D197" s="3">
        <v>0.30099999999999999</v>
      </c>
      <c r="E197" s="3">
        <v>0.28299999999999997</v>
      </c>
      <c r="F197" s="3">
        <v>3.0000000000000001E-3</v>
      </c>
      <c r="G197" s="3">
        <v>2E-3</v>
      </c>
      <c r="H197" s="3">
        <v>0.57999999999999996</v>
      </c>
      <c r="I197" s="3">
        <v>7.0000000000000001E-3</v>
      </c>
      <c r="J197" s="3">
        <v>1E-3</v>
      </c>
      <c r="K197" s="3">
        <v>0.81399999999999995</v>
      </c>
      <c r="L197" s="3">
        <v>0.82399999999999995</v>
      </c>
      <c r="M197" s="3">
        <v>1.2999999999999999E-2</v>
      </c>
      <c r="N197" s="3">
        <v>5.0000000000000001E-3</v>
      </c>
      <c r="O197" s="3">
        <v>0.749</v>
      </c>
      <c r="P197" s="3">
        <v>7.1999999999999995E-2</v>
      </c>
      <c r="Q197" s="3">
        <v>5.1999999999999998E-2</v>
      </c>
      <c r="R197" s="3">
        <v>0.624</v>
      </c>
      <c r="S197" s="3">
        <v>0.752</v>
      </c>
      <c r="T197" s="3">
        <v>0.13500000000000001</v>
      </c>
      <c r="U197" s="3">
        <v>5.1999999999999998E-2</v>
      </c>
      <c r="V197" s="3">
        <v>4.9000000000000002E-2</v>
      </c>
      <c r="W197" s="3">
        <v>0.114</v>
      </c>
      <c r="X197" s="3">
        <v>0.10199999999999999</v>
      </c>
      <c r="Y197" s="3">
        <v>0.16700000000000001</v>
      </c>
      <c r="Z197" s="3">
        <v>0.20200000000000001</v>
      </c>
      <c r="AA197" s="3">
        <v>9.4E-2</v>
      </c>
      <c r="AB197" s="3">
        <v>4.7E-2</v>
      </c>
      <c r="AC197" s="3">
        <v>0.628</v>
      </c>
    </row>
    <row r="198" spans="1:29" x14ac:dyDescent="0.35">
      <c r="A198" t="s">
        <v>1247</v>
      </c>
      <c r="B198" s="54">
        <v>0.11700000000000001</v>
      </c>
      <c r="C198" s="54">
        <v>0.11700000000000001</v>
      </c>
      <c r="D198" s="37">
        <v>0.16200000000000001</v>
      </c>
      <c r="E198" s="37">
        <v>0.157</v>
      </c>
      <c r="F198" s="26">
        <v>0.24</v>
      </c>
      <c r="G198" s="26">
        <v>0.17100000000000001</v>
      </c>
      <c r="H198" s="31">
        <v>0.114</v>
      </c>
      <c r="I198" s="3">
        <v>0.11899999999999999</v>
      </c>
      <c r="J198" s="3">
        <v>0.12</v>
      </c>
      <c r="K198" s="31">
        <v>0.129</v>
      </c>
      <c r="L198" s="31">
        <v>0.13500000000000001</v>
      </c>
      <c r="M198" s="3">
        <v>4.7E-2</v>
      </c>
      <c r="N198" s="3">
        <v>0.23599999999999999</v>
      </c>
      <c r="O198" s="3">
        <v>0.11799999999999999</v>
      </c>
      <c r="P198" s="3">
        <v>2.1000000000000001E-2</v>
      </c>
      <c r="Q198" s="3">
        <v>2.1999999999999999E-2</v>
      </c>
      <c r="R198" s="31">
        <v>7.3999999999999996E-2</v>
      </c>
      <c r="S198" s="31">
        <v>7.2999999999999995E-2</v>
      </c>
      <c r="T198" s="3">
        <v>1.6E-2</v>
      </c>
      <c r="U198" s="3">
        <v>2.1000000000000001E-2</v>
      </c>
      <c r="V198" s="3">
        <v>0.01</v>
      </c>
      <c r="W198" s="3">
        <v>0</v>
      </c>
      <c r="X198" s="3">
        <v>2E-3</v>
      </c>
      <c r="Y198" s="3">
        <v>0.11</v>
      </c>
      <c r="Z198" s="3">
        <v>9.1999999999999998E-2</v>
      </c>
      <c r="AA198" s="3">
        <v>-4.0000000000000001E-3</v>
      </c>
      <c r="AB198" s="3">
        <v>7.0000000000000001E-3</v>
      </c>
      <c r="AC198" s="3">
        <v>6.0999999999999999E-2</v>
      </c>
    </row>
    <row r="199" spans="1:29" x14ac:dyDescent="0.35">
      <c r="A199" t="s">
        <v>1248</v>
      </c>
      <c r="B199" s="7">
        <v>0.39</v>
      </c>
      <c r="C199" s="7">
        <v>0.39</v>
      </c>
      <c r="D199" s="7">
        <v>0.52</v>
      </c>
      <c r="E199" s="7">
        <v>0.5</v>
      </c>
      <c r="F199" s="7">
        <v>0.85</v>
      </c>
      <c r="G199" s="7">
        <v>0.61</v>
      </c>
      <c r="H199" s="7">
        <v>0.38</v>
      </c>
      <c r="I199" s="7">
        <v>0.42</v>
      </c>
      <c r="J199" s="7">
        <v>0.42</v>
      </c>
      <c r="K199" s="7">
        <v>0.44</v>
      </c>
      <c r="L199" s="7">
        <v>0.46</v>
      </c>
      <c r="M199" s="7">
        <v>0.17</v>
      </c>
      <c r="N199" s="7">
        <v>0.84</v>
      </c>
      <c r="O199" s="7">
        <v>0.4</v>
      </c>
      <c r="P199" s="7">
        <v>7.0000000000000007E-2</v>
      </c>
      <c r="Q199" s="7">
        <v>0.08</v>
      </c>
      <c r="R199" s="7">
        <v>0.26</v>
      </c>
      <c r="S199" s="7">
        <v>0.26</v>
      </c>
      <c r="T199" s="7">
        <v>0.06</v>
      </c>
      <c r="U199" s="7">
        <v>7.0000000000000007E-2</v>
      </c>
      <c r="V199" s="7">
        <v>0.03</v>
      </c>
      <c r="W199" s="7">
        <v>0</v>
      </c>
      <c r="X199" s="7">
        <v>0.01</v>
      </c>
      <c r="Y199" s="7">
        <v>0.38</v>
      </c>
      <c r="Z199" s="7">
        <v>0.32</v>
      </c>
      <c r="AA199" s="7">
        <v>-0.01</v>
      </c>
      <c r="AB199" s="7">
        <v>0.02</v>
      </c>
      <c r="AC199" s="7">
        <v>0.21</v>
      </c>
    </row>
    <row r="200" spans="1:29" x14ac:dyDescent="0.35">
      <c r="A200" t="s">
        <v>1249</v>
      </c>
      <c r="B200" s="7">
        <v>2.94</v>
      </c>
      <c r="C200" s="7">
        <v>2.94</v>
      </c>
      <c r="D200" s="7">
        <v>2.71</v>
      </c>
      <c r="E200" s="7">
        <v>2.7</v>
      </c>
      <c r="F200" s="7">
        <v>2.69</v>
      </c>
      <c r="G200" s="7">
        <v>2.93</v>
      </c>
      <c r="H200" s="7">
        <v>2.92</v>
      </c>
      <c r="I200" s="7">
        <v>3.11</v>
      </c>
      <c r="J200" s="7">
        <v>3.11</v>
      </c>
      <c r="K200" s="7">
        <v>2.94</v>
      </c>
      <c r="L200" s="7">
        <v>2.93</v>
      </c>
      <c r="M200" s="7">
        <v>3.38</v>
      </c>
      <c r="N200" s="7">
        <v>2.7</v>
      </c>
      <c r="O200" s="7">
        <v>3</v>
      </c>
      <c r="P200" s="7">
        <v>3.48</v>
      </c>
      <c r="Q200" s="7">
        <v>3.46</v>
      </c>
      <c r="R200" s="7">
        <v>3.25</v>
      </c>
      <c r="S200" s="7">
        <v>3.29</v>
      </c>
      <c r="T200" s="7">
        <v>3.51</v>
      </c>
      <c r="U200" s="7">
        <v>3.47</v>
      </c>
      <c r="V200" s="7">
        <v>3.5</v>
      </c>
      <c r="W200" s="7">
        <v>3.54</v>
      </c>
      <c r="X200" s="7">
        <v>3.53</v>
      </c>
      <c r="Y200" s="7">
        <v>3.07</v>
      </c>
      <c r="Z200" s="7">
        <v>3.13</v>
      </c>
      <c r="AA200" s="7">
        <v>3.55</v>
      </c>
      <c r="AB200" s="7">
        <v>3.52</v>
      </c>
      <c r="AC200" s="7">
        <v>3.3</v>
      </c>
    </row>
    <row r="201" spans="1:29" x14ac:dyDescent="0.35">
      <c r="A201" t="s">
        <v>1250</v>
      </c>
      <c r="B201" s="7">
        <v>3.33</v>
      </c>
      <c r="C201" s="7">
        <v>3.33</v>
      </c>
      <c r="D201" s="7">
        <v>3.24</v>
      </c>
      <c r="E201" s="7">
        <v>3.2</v>
      </c>
      <c r="F201" s="7">
        <v>3.54</v>
      </c>
      <c r="G201" s="7">
        <v>3.54</v>
      </c>
      <c r="H201" s="7">
        <v>3.3</v>
      </c>
      <c r="I201" s="7">
        <v>3.53</v>
      </c>
      <c r="J201" s="7">
        <v>3.53</v>
      </c>
      <c r="K201" s="7">
        <v>3.37</v>
      </c>
      <c r="L201" s="7">
        <v>3.38</v>
      </c>
      <c r="M201" s="7">
        <v>3.55</v>
      </c>
      <c r="N201" s="7">
        <v>3.54</v>
      </c>
      <c r="O201" s="7">
        <v>3.4</v>
      </c>
      <c r="P201" s="7">
        <v>3.55</v>
      </c>
      <c r="Q201" s="7">
        <v>3.54</v>
      </c>
      <c r="R201" s="7">
        <v>3.51</v>
      </c>
      <c r="S201" s="7">
        <v>3.55</v>
      </c>
      <c r="T201" s="7">
        <v>3.57</v>
      </c>
      <c r="U201" s="7">
        <v>3.55</v>
      </c>
      <c r="V201" s="7">
        <v>3.53</v>
      </c>
      <c r="W201" s="7">
        <v>3.54</v>
      </c>
      <c r="X201" s="7">
        <v>3.54</v>
      </c>
      <c r="Y201" s="7">
        <v>3.46</v>
      </c>
      <c r="Z201" s="7">
        <v>3.45</v>
      </c>
      <c r="AA201" s="7">
        <v>3.53</v>
      </c>
      <c r="AB201" s="7">
        <v>3.54</v>
      </c>
      <c r="AC201" s="7">
        <v>3.51</v>
      </c>
    </row>
    <row r="202" spans="1:29" x14ac:dyDescent="0.35">
      <c r="A202" t="s">
        <v>1245</v>
      </c>
      <c r="B202" s="7">
        <v>2.95</v>
      </c>
      <c r="C202" s="7">
        <v>2.96</v>
      </c>
      <c r="D202" s="7">
        <v>2.93</v>
      </c>
      <c r="E202" s="7">
        <v>2.92</v>
      </c>
      <c r="F202" s="7">
        <v>3.53</v>
      </c>
      <c r="G202" s="7">
        <v>3.53</v>
      </c>
      <c r="H202" s="7">
        <v>2.93</v>
      </c>
      <c r="I202" s="7">
        <v>3.52</v>
      </c>
      <c r="J202" s="7">
        <v>3.53</v>
      </c>
      <c r="K202" s="7">
        <v>2.96</v>
      </c>
      <c r="L202" s="7">
        <v>2.95</v>
      </c>
      <c r="M202" s="7">
        <v>3.53</v>
      </c>
      <c r="N202" s="7">
        <v>3.53</v>
      </c>
      <c r="O202" s="7">
        <v>3.02</v>
      </c>
      <c r="P202" s="7">
        <v>3.52</v>
      </c>
      <c r="Q202" s="7">
        <v>3.52</v>
      </c>
      <c r="R202" s="7">
        <v>3.27</v>
      </c>
      <c r="S202" s="7">
        <v>3.32</v>
      </c>
      <c r="T202" s="7">
        <v>3.53</v>
      </c>
      <c r="U202" s="7">
        <v>3.53</v>
      </c>
      <c r="V202" s="7">
        <v>3.52</v>
      </c>
      <c r="W202" s="7">
        <v>3.53</v>
      </c>
      <c r="X202" s="7">
        <v>3.53</v>
      </c>
      <c r="Y202" s="7">
        <v>3.34</v>
      </c>
      <c r="Z202" s="7">
        <v>3.33</v>
      </c>
      <c r="AA202" s="7">
        <v>3.53</v>
      </c>
      <c r="AB202" s="7">
        <v>3.53</v>
      </c>
      <c r="AC202" s="7">
        <v>3.32</v>
      </c>
    </row>
    <row r="205" spans="1:29" x14ac:dyDescent="0.35">
      <c r="A205" s="4" t="s">
        <v>1287</v>
      </c>
    </row>
    <row r="206" spans="1:29" x14ac:dyDescent="0.35">
      <c r="A206" t="s">
        <v>1254</v>
      </c>
      <c r="B206" s="5">
        <v>46026</v>
      </c>
      <c r="C206" s="5">
        <v>46033</v>
      </c>
      <c r="D206" s="5">
        <v>46040</v>
      </c>
      <c r="E206" s="5">
        <v>46047</v>
      </c>
      <c r="F206" s="5">
        <v>46054</v>
      </c>
      <c r="G206" s="5">
        <v>46061</v>
      </c>
      <c r="H206" s="5">
        <v>46068</v>
      </c>
      <c r="I206" s="5">
        <v>46075</v>
      </c>
      <c r="J206" s="5">
        <v>46082</v>
      </c>
      <c r="K206" s="5">
        <v>46089</v>
      </c>
      <c r="L206" s="5">
        <v>46096</v>
      </c>
      <c r="M206" s="5">
        <v>46103</v>
      </c>
      <c r="N206" s="5">
        <v>46110</v>
      </c>
      <c r="O206" s="5">
        <v>46117</v>
      </c>
      <c r="P206" s="5">
        <v>46124</v>
      </c>
      <c r="Q206" s="5">
        <v>46131</v>
      </c>
      <c r="R206" s="5">
        <v>46138</v>
      </c>
      <c r="S206" s="5">
        <v>46145</v>
      </c>
      <c r="T206" s="5">
        <v>46152</v>
      </c>
      <c r="U206" s="5">
        <v>46159</v>
      </c>
      <c r="V206" s="5">
        <v>46166</v>
      </c>
      <c r="W206" s="5">
        <v>46173</v>
      </c>
      <c r="X206" s="5">
        <v>46180</v>
      </c>
      <c r="Y206" s="5">
        <v>46187</v>
      </c>
      <c r="Z206" s="5">
        <v>46194</v>
      </c>
      <c r="AA206" s="5">
        <v>46201</v>
      </c>
      <c r="AB206" s="5">
        <v>46208</v>
      </c>
      <c r="AC206" s="5">
        <v>46215</v>
      </c>
    </row>
    <row r="207" spans="1:29" x14ac:dyDescent="0.35">
      <c r="A207" t="s">
        <v>1241</v>
      </c>
      <c r="B207" s="6">
        <v>1107</v>
      </c>
      <c r="C207" s="6">
        <v>1559</v>
      </c>
      <c r="D207" s="6">
        <v>2252</v>
      </c>
      <c r="E207" s="6">
        <v>2260</v>
      </c>
      <c r="F207" s="6">
        <v>1634</v>
      </c>
      <c r="G207" s="6">
        <v>1803</v>
      </c>
      <c r="H207" s="6">
        <v>1917</v>
      </c>
      <c r="I207" s="6">
        <v>2089</v>
      </c>
      <c r="J207" s="6">
        <v>2237</v>
      </c>
      <c r="K207" s="6">
        <v>1762</v>
      </c>
      <c r="L207" s="6">
        <v>1735</v>
      </c>
      <c r="M207" s="6">
        <v>1694</v>
      </c>
      <c r="N207" s="6">
        <v>1825</v>
      </c>
      <c r="O207" s="6">
        <v>2932</v>
      </c>
      <c r="P207" s="6">
        <v>2121</v>
      </c>
      <c r="Q207" s="6">
        <v>2242</v>
      </c>
      <c r="R207" s="6">
        <v>2218</v>
      </c>
      <c r="S207" s="6">
        <v>2350</v>
      </c>
      <c r="T207" s="6">
        <v>2387</v>
      </c>
      <c r="U207" s="6">
        <v>2666</v>
      </c>
      <c r="V207" s="6">
        <v>2509</v>
      </c>
      <c r="W207" s="6">
        <v>2064</v>
      </c>
      <c r="X207" s="6">
        <v>2246</v>
      </c>
      <c r="Y207" s="6">
        <v>2727</v>
      </c>
      <c r="Z207" s="6">
        <v>2656</v>
      </c>
      <c r="AA207" s="6">
        <v>2197</v>
      </c>
      <c r="AB207" s="6">
        <v>1770</v>
      </c>
      <c r="AC207" s="6">
        <v>1936</v>
      </c>
    </row>
    <row r="208" spans="1:29" x14ac:dyDescent="0.35">
      <c r="A208" t="s">
        <v>1242</v>
      </c>
      <c r="B208" s="3">
        <v>0.32</v>
      </c>
      <c r="C208" s="3">
        <v>0.35699999999999998</v>
      </c>
      <c r="D208" s="31">
        <v>0.24099999999999999</v>
      </c>
      <c r="E208" s="31">
        <v>0.20200000000000001</v>
      </c>
      <c r="F208" s="3">
        <v>7.0000000000000001E-3</v>
      </c>
      <c r="G208" s="3">
        <v>0</v>
      </c>
      <c r="H208" s="3">
        <v>0.28100000000000003</v>
      </c>
      <c r="I208" s="31">
        <v>9.6000000000000002E-2</v>
      </c>
      <c r="J208" s="31">
        <v>0.10299999999999999</v>
      </c>
      <c r="K208" s="3">
        <v>0.26500000000000001</v>
      </c>
      <c r="L208" s="3">
        <v>0.27900000000000003</v>
      </c>
      <c r="M208" s="3">
        <v>5.0000000000000001E-3</v>
      </c>
      <c r="N208" s="3">
        <v>2E-3</v>
      </c>
      <c r="O208" s="3">
        <v>0.34399999999999997</v>
      </c>
      <c r="P208" s="3">
        <v>4.0000000000000001E-3</v>
      </c>
      <c r="Q208" s="3">
        <v>1E-3</v>
      </c>
      <c r="R208" s="3">
        <v>0.20499999999999999</v>
      </c>
      <c r="S208" s="3">
        <v>0.156</v>
      </c>
      <c r="T208" s="3">
        <v>4.0000000000000001E-3</v>
      </c>
      <c r="U208" s="3">
        <v>7.1999999999999995E-2</v>
      </c>
      <c r="V208" s="3">
        <v>6.5000000000000002E-2</v>
      </c>
      <c r="W208" s="3">
        <v>0</v>
      </c>
      <c r="X208" s="3">
        <v>1E-3</v>
      </c>
      <c r="Y208" s="3">
        <v>0.2</v>
      </c>
      <c r="Z208" s="3">
        <v>0.185</v>
      </c>
      <c r="AA208" s="3">
        <v>2E-3</v>
      </c>
      <c r="AB208" s="3">
        <v>1E-3</v>
      </c>
      <c r="AC208" s="3">
        <v>0.40799999999999997</v>
      </c>
    </row>
    <row r="209" spans="1:29" x14ac:dyDescent="0.35">
      <c r="A209" t="s">
        <v>1243</v>
      </c>
      <c r="B209">
        <v>268</v>
      </c>
      <c r="C209">
        <v>410</v>
      </c>
      <c r="D209" s="30">
        <v>437</v>
      </c>
      <c r="E209" s="30">
        <v>380</v>
      </c>
      <c r="F209">
        <v>12</v>
      </c>
      <c r="G209">
        <v>0</v>
      </c>
      <c r="H209">
        <v>420</v>
      </c>
      <c r="I209">
        <v>182</v>
      </c>
      <c r="J209">
        <v>208</v>
      </c>
      <c r="K209">
        <v>369</v>
      </c>
      <c r="L209">
        <v>379</v>
      </c>
      <c r="M209">
        <v>8</v>
      </c>
      <c r="N209">
        <v>4</v>
      </c>
      <c r="O209">
        <v>751</v>
      </c>
      <c r="P209">
        <v>8</v>
      </c>
      <c r="Q209">
        <v>3</v>
      </c>
      <c r="R209">
        <v>377</v>
      </c>
      <c r="S209">
        <v>317</v>
      </c>
      <c r="T209">
        <v>10</v>
      </c>
      <c r="U209">
        <v>180</v>
      </c>
      <c r="V209">
        <v>154</v>
      </c>
      <c r="W209">
        <v>0</v>
      </c>
      <c r="X209">
        <v>3</v>
      </c>
      <c r="Y209">
        <v>455</v>
      </c>
      <c r="Z209">
        <v>414</v>
      </c>
      <c r="AA209">
        <v>5</v>
      </c>
      <c r="AB209">
        <v>1</v>
      </c>
      <c r="AC209">
        <v>561</v>
      </c>
    </row>
    <row r="210" spans="1:29" x14ac:dyDescent="0.35">
      <c r="A210" t="s">
        <v>1244</v>
      </c>
      <c r="B210">
        <v>839</v>
      </c>
      <c r="C210" s="6">
        <v>1149</v>
      </c>
      <c r="D210" s="6">
        <v>1815</v>
      </c>
      <c r="E210" s="6">
        <v>1880</v>
      </c>
      <c r="F210" s="6">
        <v>1622</v>
      </c>
      <c r="G210" s="6">
        <v>1803</v>
      </c>
      <c r="H210" s="6">
        <v>1497</v>
      </c>
      <c r="I210" s="6">
        <v>1907</v>
      </c>
      <c r="J210" s="6">
        <v>2029</v>
      </c>
      <c r="K210" s="6">
        <v>1393</v>
      </c>
      <c r="L210" s="6">
        <v>1356</v>
      </c>
      <c r="M210" s="6">
        <v>1686</v>
      </c>
      <c r="N210" s="6">
        <v>1822</v>
      </c>
      <c r="O210" s="6">
        <v>2181</v>
      </c>
      <c r="P210" s="6">
        <v>2114</v>
      </c>
      <c r="Q210" s="6">
        <v>2239</v>
      </c>
      <c r="R210" s="6">
        <v>1840</v>
      </c>
      <c r="S210" s="6">
        <v>2033</v>
      </c>
      <c r="T210" s="6">
        <v>2377</v>
      </c>
      <c r="U210" s="6">
        <v>2486</v>
      </c>
      <c r="V210" s="6">
        <v>2356</v>
      </c>
      <c r="W210" s="6">
        <v>2063</v>
      </c>
      <c r="X210" s="6">
        <v>2244</v>
      </c>
      <c r="Y210" s="6">
        <v>2272</v>
      </c>
      <c r="Z210" s="6">
        <v>2242</v>
      </c>
      <c r="AA210" s="6">
        <v>2192</v>
      </c>
      <c r="AB210" s="6">
        <v>1769</v>
      </c>
      <c r="AC210" s="6">
        <v>1376</v>
      </c>
    </row>
    <row r="211" spans="1:29" x14ac:dyDescent="0.35">
      <c r="A211" t="s">
        <v>1245</v>
      </c>
      <c r="B211" s="7">
        <v>11.01</v>
      </c>
      <c r="C211" s="7">
        <v>11.02</v>
      </c>
      <c r="D211" s="7">
        <v>9.4600000000000009</v>
      </c>
      <c r="E211" s="7">
        <v>9.41</v>
      </c>
      <c r="F211" s="7">
        <v>10.96</v>
      </c>
      <c r="G211" s="7">
        <v>11.02</v>
      </c>
      <c r="H211" s="7">
        <v>11.02</v>
      </c>
      <c r="I211" s="7">
        <v>10.26</v>
      </c>
      <c r="J211" s="7">
        <v>10.27</v>
      </c>
      <c r="K211" s="7">
        <v>10.97</v>
      </c>
      <c r="L211" s="7">
        <v>10.99</v>
      </c>
      <c r="M211" s="7">
        <v>11.03</v>
      </c>
      <c r="N211" s="7">
        <v>11</v>
      </c>
      <c r="O211" s="7">
        <v>9.6</v>
      </c>
      <c r="P211" s="7">
        <v>11.02</v>
      </c>
      <c r="Q211" s="7">
        <v>11.02</v>
      </c>
      <c r="R211" s="7">
        <v>11.03</v>
      </c>
      <c r="S211" s="7">
        <v>11.05</v>
      </c>
      <c r="T211" s="7">
        <v>11.06</v>
      </c>
      <c r="U211" s="7">
        <v>10.54</v>
      </c>
      <c r="V211" s="7">
        <v>10.57</v>
      </c>
      <c r="W211" s="7">
        <v>11.04</v>
      </c>
      <c r="X211" s="7">
        <v>11.06</v>
      </c>
      <c r="Y211" s="7">
        <v>9.8800000000000008</v>
      </c>
      <c r="Z211" s="7">
        <v>9.86</v>
      </c>
      <c r="AA211" s="7">
        <v>11.05</v>
      </c>
      <c r="AB211" s="7">
        <v>11.05</v>
      </c>
      <c r="AC211" s="7">
        <v>11.06</v>
      </c>
    </row>
    <row r="212" spans="1:29" x14ac:dyDescent="0.35">
      <c r="D212" s="6">
        <f>SUM(D210:E210)</f>
        <v>3695</v>
      </c>
      <c r="E212">
        <f>SUM(D209:E209)</f>
        <v>817</v>
      </c>
      <c r="I212" s="6">
        <f>SUM(I210:J210)</f>
        <v>3936</v>
      </c>
      <c r="J212">
        <f>SUM(I209:J209)</f>
        <v>390</v>
      </c>
    </row>
    <row r="213" spans="1:29" x14ac:dyDescent="0.35">
      <c r="A213" t="s">
        <v>1254</v>
      </c>
      <c r="B213" s="5">
        <v>46026</v>
      </c>
      <c r="C213" s="5">
        <v>46033</v>
      </c>
      <c r="D213" s="5">
        <v>46040</v>
      </c>
      <c r="E213" s="5">
        <v>46047</v>
      </c>
      <c r="F213" s="5">
        <v>46054</v>
      </c>
      <c r="G213" s="5">
        <v>46061</v>
      </c>
      <c r="H213" s="5">
        <v>46068</v>
      </c>
      <c r="I213" s="5">
        <v>46075</v>
      </c>
      <c r="J213" s="5">
        <v>46082</v>
      </c>
      <c r="K213" s="5">
        <v>46089</v>
      </c>
      <c r="L213" s="5">
        <v>46096</v>
      </c>
      <c r="M213" s="5">
        <v>46103</v>
      </c>
      <c r="N213" s="5">
        <v>46110</v>
      </c>
      <c r="O213" s="5">
        <v>46117</v>
      </c>
      <c r="P213" s="5">
        <v>46124</v>
      </c>
      <c r="Q213" s="5">
        <v>46131</v>
      </c>
      <c r="R213" s="5">
        <v>46138</v>
      </c>
      <c r="S213" s="5">
        <v>46145</v>
      </c>
      <c r="T213" s="5">
        <v>46152</v>
      </c>
      <c r="U213" s="5">
        <v>46159</v>
      </c>
      <c r="V213" s="5">
        <v>46166</v>
      </c>
      <c r="W213" s="5">
        <v>46173</v>
      </c>
      <c r="X213" s="5">
        <v>46180</v>
      </c>
      <c r="Y213" s="5">
        <v>46187</v>
      </c>
      <c r="Z213" s="5">
        <v>46194</v>
      </c>
      <c r="AA213" s="5">
        <v>46201</v>
      </c>
      <c r="AB213" s="5">
        <v>46208</v>
      </c>
      <c r="AC213" s="5">
        <v>46215</v>
      </c>
    </row>
    <row r="214" spans="1:29" x14ac:dyDescent="0.35">
      <c r="A214" t="s">
        <v>1242</v>
      </c>
      <c r="B214" s="3">
        <v>0.32</v>
      </c>
      <c r="C214" s="3">
        <v>0.35699999999999998</v>
      </c>
      <c r="D214" s="3">
        <v>0.24099999999999999</v>
      </c>
      <c r="E214" s="3">
        <v>0.20200000000000001</v>
      </c>
      <c r="F214" s="3">
        <v>7.0000000000000001E-3</v>
      </c>
      <c r="G214" s="3">
        <v>0</v>
      </c>
      <c r="H214" s="3">
        <v>0.28100000000000003</v>
      </c>
      <c r="I214" s="3">
        <v>9.6000000000000002E-2</v>
      </c>
      <c r="J214" s="3">
        <v>0.10299999999999999</v>
      </c>
      <c r="K214" s="3">
        <v>0.26500000000000001</v>
      </c>
      <c r="L214" s="3">
        <v>0.27900000000000003</v>
      </c>
      <c r="M214" s="3">
        <v>5.0000000000000001E-3</v>
      </c>
      <c r="N214" s="3">
        <v>2E-3</v>
      </c>
      <c r="O214" s="3">
        <v>0.34399999999999997</v>
      </c>
      <c r="P214" s="3">
        <v>4.0000000000000001E-3</v>
      </c>
      <c r="Q214" s="3">
        <v>1E-3</v>
      </c>
      <c r="R214" s="3">
        <v>0.20499999999999999</v>
      </c>
      <c r="S214" s="3">
        <v>0.156</v>
      </c>
      <c r="T214" s="3">
        <v>4.0000000000000001E-3</v>
      </c>
      <c r="U214" s="3">
        <v>7.1999999999999995E-2</v>
      </c>
      <c r="V214" s="3">
        <v>6.5000000000000002E-2</v>
      </c>
      <c r="W214" s="3">
        <v>0</v>
      </c>
      <c r="X214" s="3">
        <v>1E-3</v>
      </c>
      <c r="Y214" s="3">
        <v>0.2</v>
      </c>
      <c r="Z214" s="3">
        <v>0.185</v>
      </c>
      <c r="AA214" s="3">
        <v>2E-3</v>
      </c>
      <c r="AB214" s="3">
        <v>1E-3</v>
      </c>
      <c r="AC214" s="3">
        <v>0.40799999999999997</v>
      </c>
    </row>
    <row r="215" spans="1:29" x14ac:dyDescent="0.35">
      <c r="A215" t="s">
        <v>1247</v>
      </c>
      <c r="B215" s="3">
        <v>1.7999999999999999E-2</v>
      </c>
      <c r="C215" s="3">
        <v>1.9E-2</v>
      </c>
      <c r="D215" s="31">
        <v>8.3000000000000004E-2</v>
      </c>
      <c r="E215" s="31">
        <v>7.2999999999999995E-2</v>
      </c>
      <c r="F215" s="3">
        <v>0.13</v>
      </c>
      <c r="G215" s="3">
        <v>3.0000000000000001E-3</v>
      </c>
      <c r="H215" s="3">
        <v>1.4E-2</v>
      </c>
      <c r="I215" s="31">
        <v>4.2999999999999997E-2</v>
      </c>
      <c r="J215" s="31">
        <v>3.9E-2</v>
      </c>
      <c r="K215" s="3">
        <v>1.6E-2</v>
      </c>
      <c r="L215" s="3">
        <v>1.4999999999999999E-2</v>
      </c>
      <c r="M215" s="3">
        <v>8.9999999999999993E-3</v>
      </c>
      <c r="N215" s="3">
        <v>0.192</v>
      </c>
      <c r="O215" s="3">
        <v>9.5000000000000001E-2</v>
      </c>
      <c r="P215" s="3">
        <v>0.115</v>
      </c>
      <c r="Q215" s="3">
        <v>7.4999999999999997E-2</v>
      </c>
      <c r="R215" s="3">
        <v>0.01</v>
      </c>
      <c r="S215" s="3">
        <v>1.2E-2</v>
      </c>
      <c r="T215" s="3">
        <v>4.2000000000000003E-2</v>
      </c>
      <c r="U215" s="3">
        <v>6.3E-2</v>
      </c>
      <c r="V215" s="3">
        <v>6.7000000000000004E-2</v>
      </c>
      <c r="W215" s="3">
        <v>0.17899999999999999</v>
      </c>
      <c r="X215" s="3">
        <v>0.16200000000000001</v>
      </c>
      <c r="Y215" s="3">
        <v>0.124</v>
      </c>
      <c r="Z215" s="3">
        <v>0.13</v>
      </c>
      <c r="AA215" s="3">
        <v>0.187</v>
      </c>
      <c r="AB215" s="3">
        <v>7.1999999999999995E-2</v>
      </c>
      <c r="AC215" s="3">
        <v>2.4E-2</v>
      </c>
    </row>
    <row r="216" spans="1:29" x14ac:dyDescent="0.35">
      <c r="A216" t="s">
        <v>1248</v>
      </c>
      <c r="B216" s="7">
        <v>0.2</v>
      </c>
      <c r="C216" s="7">
        <v>0.21</v>
      </c>
      <c r="D216" s="7">
        <v>0.83</v>
      </c>
      <c r="E216" s="7">
        <v>0.72</v>
      </c>
      <c r="F216" s="7">
        <v>1.43</v>
      </c>
      <c r="G216" s="7">
        <v>0.03</v>
      </c>
      <c r="H216" s="7">
        <v>0.16</v>
      </c>
      <c r="I216" s="7">
        <v>0.45</v>
      </c>
      <c r="J216" s="7">
        <v>0.4</v>
      </c>
      <c r="K216" s="7">
        <v>0.18</v>
      </c>
      <c r="L216" s="7">
        <v>0.16</v>
      </c>
      <c r="M216" s="7">
        <v>0.1</v>
      </c>
      <c r="N216" s="7">
        <v>2.11</v>
      </c>
      <c r="O216" s="7">
        <v>0.99</v>
      </c>
      <c r="P216" s="7">
        <v>1.27</v>
      </c>
      <c r="Q216" s="7">
        <v>0.83</v>
      </c>
      <c r="R216" s="7">
        <v>0.11</v>
      </c>
      <c r="S216" s="7">
        <v>0.13</v>
      </c>
      <c r="T216" s="7">
        <v>0.46</v>
      </c>
      <c r="U216" s="7">
        <v>0.68</v>
      </c>
      <c r="V216" s="7">
        <v>0.72</v>
      </c>
      <c r="W216" s="7">
        <v>1.98</v>
      </c>
      <c r="X216" s="7">
        <v>1.79</v>
      </c>
      <c r="Y216" s="7">
        <v>1.31</v>
      </c>
      <c r="Z216" s="7">
        <v>1.36</v>
      </c>
      <c r="AA216" s="7">
        <v>2.0699999999999998</v>
      </c>
      <c r="AB216" s="7">
        <v>0.8</v>
      </c>
      <c r="AC216" s="7">
        <v>0.27</v>
      </c>
    </row>
    <row r="217" spans="1:29" x14ac:dyDescent="0.35">
      <c r="A217" t="s">
        <v>1249</v>
      </c>
      <c r="B217" s="7">
        <v>10.98</v>
      </c>
      <c r="C217" s="7">
        <v>10.99</v>
      </c>
      <c r="D217" s="7">
        <v>9.24</v>
      </c>
      <c r="E217" s="7">
        <v>9.2100000000000009</v>
      </c>
      <c r="F217" s="7">
        <v>9.56</v>
      </c>
      <c r="G217" s="7">
        <v>10.99</v>
      </c>
      <c r="H217" s="7">
        <v>10.98</v>
      </c>
      <c r="I217" s="7">
        <v>10.050000000000001</v>
      </c>
      <c r="J217" s="7">
        <v>10.06</v>
      </c>
      <c r="K217" s="7">
        <v>10.93</v>
      </c>
      <c r="L217" s="7">
        <v>10.96</v>
      </c>
      <c r="M217" s="7">
        <v>10.94</v>
      </c>
      <c r="N217" s="7">
        <v>8.9</v>
      </c>
      <c r="O217" s="7">
        <v>9.41</v>
      </c>
      <c r="P217" s="7">
        <v>9.76</v>
      </c>
      <c r="Q217" s="7">
        <v>10.19</v>
      </c>
      <c r="R217" s="7">
        <v>10.99</v>
      </c>
      <c r="S217" s="7">
        <v>10.99</v>
      </c>
      <c r="T217" s="7">
        <v>10.61</v>
      </c>
      <c r="U217" s="7">
        <v>10.029999999999999</v>
      </c>
      <c r="V217" s="7">
        <v>10.02</v>
      </c>
      <c r="W217" s="7">
        <v>9.06</v>
      </c>
      <c r="X217" s="7">
        <v>9.2799999999999994</v>
      </c>
      <c r="Y217" s="7">
        <v>9.19</v>
      </c>
      <c r="Z217" s="7">
        <v>9.1199999999999992</v>
      </c>
      <c r="AA217" s="7">
        <v>8.99</v>
      </c>
      <c r="AB217" s="7">
        <v>10.26</v>
      </c>
      <c r="AC217" s="7">
        <v>11.03</v>
      </c>
    </row>
    <row r="218" spans="1:29" x14ac:dyDescent="0.35">
      <c r="A218" t="s">
        <v>1250</v>
      </c>
      <c r="B218" s="7">
        <v>11.18</v>
      </c>
      <c r="C218" s="7">
        <v>11.19</v>
      </c>
      <c r="D218" s="7">
        <v>10.07</v>
      </c>
      <c r="E218" s="7">
        <v>9.93</v>
      </c>
      <c r="F218" s="7">
        <v>10.99</v>
      </c>
      <c r="G218" s="7">
        <v>11.02</v>
      </c>
      <c r="H218" s="7">
        <v>11.13</v>
      </c>
      <c r="I218" s="7">
        <v>10.5</v>
      </c>
      <c r="J218" s="7">
        <v>10.47</v>
      </c>
      <c r="K218" s="7">
        <v>11.11</v>
      </c>
      <c r="L218" s="7">
        <v>11.12</v>
      </c>
      <c r="M218" s="7">
        <v>11.04</v>
      </c>
      <c r="N218" s="7">
        <v>11.01</v>
      </c>
      <c r="O218" s="7">
        <v>10.4</v>
      </c>
      <c r="P218" s="7">
        <v>11.03</v>
      </c>
      <c r="Q218" s="7">
        <v>11.02</v>
      </c>
      <c r="R218" s="7">
        <v>11.1</v>
      </c>
      <c r="S218" s="7">
        <v>11.12</v>
      </c>
      <c r="T218" s="7">
        <v>11.07</v>
      </c>
      <c r="U218" s="7">
        <v>10.71</v>
      </c>
      <c r="V218" s="7">
        <v>10.74</v>
      </c>
      <c r="W218" s="7">
        <v>11.04</v>
      </c>
      <c r="X218" s="7">
        <v>11.06</v>
      </c>
      <c r="Y218" s="7">
        <v>10.5</v>
      </c>
      <c r="Z218" s="7">
        <v>10.48</v>
      </c>
      <c r="AA218" s="7">
        <v>11.06</v>
      </c>
      <c r="AB218" s="7">
        <v>11.05</v>
      </c>
      <c r="AC218" s="7">
        <v>11.3</v>
      </c>
    </row>
    <row r="219" spans="1:29" x14ac:dyDescent="0.35">
      <c r="A219" t="s">
        <v>1245</v>
      </c>
      <c r="B219" s="7">
        <v>11.01</v>
      </c>
      <c r="C219" s="7">
        <v>11.02</v>
      </c>
      <c r="D219" s="7">
        <v>9.4600000000000009</v>
      </c>
      <c r="E219" s="7">
        <v>9.41</v>
      </c>
      <c r="F219" s="7">
        <v>10.96</v>
      </c>
      <c r="G219" s="7">
        <v>11.02</v>
      </c>
      <c r="H219" s="7">
        <v>11.02</v>
      </c>
      <c r="I219" s="7">
        <v>10.26</v>
      </c>
      <c r="J219" s="7">
        <v>10.27</v>
      </c>
      <c r="K219" s="7">
        <v>10.97</v>
      </c>
      <c r="L219" s="7">
        <v>10.99</v>
      </c>
      <c r="M219" s="7">
        <v>11.03</v>
      </c>
      <c r="N219" s="7">
        <v>11</v>
      </c>
      <c r="O219" s="7">
        <v>9.6</v>
      </c>
      <c r="P219" s="7">
        <v>11.02</v>
      </c>
      <c r="Q219" s="7">
        <v>11.02</v>
      </c>
      <c r="R219" s="7">
        <v>11.03</v>
      </c>
      <c r="S219" s="7">
        <v>11.05</v>
      </c>
      <c r="T219" s="7">
        <v>11.06</v>
      </c>
      <c r="U219" s="7">
        <v>10.54</v>
      </c>
      <c r="V219" s="7">
        <v>10.57</v>
      </c>
      <c r="W219" s="7">
        <v>11.04</v>
      </c>
      <c r="X219" s="7">
        <v>11.06</v>
      </c>
      <c r="Y219" s="7">
        <v>9.8800000000000008</v>
      </c>
      <c r="Z219" s="7">
        <v>9.86</v>
      </c>
      <c r="AA219" s="7">
        <v>11.05</v>
      </c>
      <c r="AB219" s="7">
        <v>11.05</v>
      </c>
      <c r="AC219" s="7">
        <v>11.06</v>
      </c>
    </row>
    <row r="221" spans="1:29" s="66" customFormat="1" x14ac:dyDescent="0.35"/>
    <row r="223" spans="1:29" x14ac:dyDescent="0.35">
      <c r="A223" s="49" t="s">
        <v>1291</v>
      </c>
    </row>
    <row r="224" spans="1:29" x14ac:dyDescent="0.35">
      <c r="A224" t="s">
        <v>1240</v>
      </c>
      <c r="B224" s="5">
        <v>46026</v>
      </c>
      <c r="C224" s="72">
        <v>46033</v>
      </c>
      <c r="D224" s="72">
        <v>46040</v>
      </c>
      <c r="E224" s="5">
        <v>46047</v>
      </c>
      <c r="F224" s="5">
        <v>46054</v>
      </c>
      <c r="G224" s="5">
        <v>46061</v>
      </c>
      <c r="H224" s="5">
        <v>46068</v>
      </c>
      <c r="I224" s="5">
        <v>46075</v>
      </c>
      <c r="J224" s="5">
        <v>46082</v>
      </c>
      <c r="K224" s="5">
        <v>46089</v>
      </c>
      <c r="L224" s="5">
        <v>46096</v>
      </c>
      <c r="M224" s="5">
        <v>46103</v>
      </c>
      <c r="N224" s="5">
        <v>46110</v>
      </c>
      <c r="O224" s="5">
        <v>46117</v>
      </c>
      <c r="P224" s="5">
        <v>46124</v>
      </c>
      <c r="Q224" s="5">
        <v>46131</v>
      </c>
      <c r="R224" s="5">
        <v>46138</v>
      </c>
      <c r="S224" s="5">
        <v>46145</v>
      </c>
      <c r="T224" s="5">
        <v>46152</v>
      </c>
      <c r="U224" s="72">
        <v>46159</v>
      </c>
      <c r="V224" s="72">
        <v>46166</v>
      </c>
      <c r="W224" s="72">
        <v>46173</v>
      </c>
      <c r="X224" s="72">
        <v>46180</v>
      </c>
      <c r="Y224" s="72">
        <v>46187</v>
      </c>
      <c r="Z224" s="72">
        <v>46194</v>
      </c>
      <c r="AA224" s="5">
        <v>46201</v>
      </c>
      <c r="AB224" s="5">
        <v>46208</v>
      </c>
      <c r="AC224" s="5">
        <v>46215</v>
      </c>
    </row>
    <row r="225" spans="1:29" x14ac:dyDescent="0.35">
      <c r="A225" t="s">
        <v>1241</v>
      </c>
      <c r="B225" s="6">
        <v>1012</v>
      </c>
      <c r="C225" s="6">
        <v>1522</v>
      </c>
      <c r="D225" s="6">
        <v>1542</v>
      </c>
      <c r="E225" s="6">
        <v>1263</v>
      </c>
      <c r="F225" s="6">
        <v>1055</v>
      </c>
      <c r="G225" s="6">
        <v>1329</v>
      </c>
      <c r="H225" s="6">
        <v>1336</v>
      </c>
      <c r="I225" s="6">
        <v>1226</v>
      </c>
      <c r="J225" s="6">
        <v>1256</v>
      </c>
      <c r="K225" s="6">
        <v>1241</v>
      </c>
      <c r="L225" s="6">
        <v>1286</v>
      </c>
      <c r="M225" s="6">
        <v>1108</v>
      </c>
      <c r="N225" s="6">
        <v>1149</v>
      </c>
      <c r="O225" s="6">
        <v>1144</v>
      </c>
      <c r="P225">
        <v>996</v>
      </c>
      <c r="Q225">
        <v>959</v>
      </c>
      <c r="R225">
        <v>963</v>
      </c>
      <c r="S225">
        <v>889</v>
      </c>
      <c r="T225" s="6">
        <v>1051</v>
      </c>
      <c r="U225" s="6">
        <v>1579</v>
      </c>
      <c r="V225" s="6">
        <v>2498</v>
      </c>
      <c r="W225" s="6">
        <v>4251</v>
      </c>
      <c r="X225" s="6">
        <v>4087</v>
      </c>
      <c r="Y225" s="6">
        <v>1695</v>
      </c>
      <c r="Z225" s="6">
        <v>1280</v>
      </c>
      <c r="AA225" s="6">
        <v>1078</v>
      </c>
      <c r="AB225">
        <v>911</v>
      </c>
      <c r="AC225">
        <v>901</v>
      </c>
    </row>
    <row r="226" spans="1:29" x14ac:dyDescent="0.35">
      <c r="A226" t="s">
        <v>1242</v>
      </c>
      <c r="B226" s="3">
        <v>6.0000000000000001E-3</v>
      </c>
      <c r="C226" s="60">
        <v>0.52100000000000002</v>
      </c>
      <c r="D226" s="60">
        <v>0.54300000000000004</v>
      </c>
      <c r="E226" s="3">
        <v>0</v>
      </c>
      <c r="F226" s="3">
        <v>3.0000000000000001E-3</v>
      </c>
      <c r="G226" s="3">
        <v>8.0000000000000002E-3</v>
      </c>
      <c r="H226" s="3">
        <v>6.0000000000000001E-3</v>
      </c>
      <c r="I226" s="3">
        <v>4.0000000000000001E-3</v>
      </c>
      <c r="J226" s="3">
        <v>1E-3</v>
      </c>
      <c r="K226" s="3">
        <v>1.0999999999999999E-2</v>
      </c>
      <c r="L226" s="3">
        <v>8.0000000000000002E-3</v>
      </c>
      <c r="M226" s="3">
        <v>0</v>
      </c>
      <c r="N226" s="3">
        <v>2E-3</v>
      </c>
      <c r="O226" s="3">
        <v>3.0000000000000001E-3</v>
      </c>
      <c r="P226" s="3">
        <v>8.9999999999999993E-3</v>
      </c>
      <c r="Q226" s="3">
        <v>0</v>
      </c>
      <c r="R226" s="3">
        <v>0</v>
      </c>
      <c r="S226" s="3">
        <v>0</v>
      </c>
      <c r="T226" s="3">
        <v>4.0000000000000001E-3</v>
      </c>
      <c r="U226" s="60">
        <v>0.29499999999999998</v>
      </c>
      <c r="V226" s="60">
        <v>0.28699999999999998</v>
      </c>
      <c r="W226" s="60">
        <v>1.1870000000000001</v>
      </c>
      <c r="X226" s="60">
        <v>1.62</v>
      </c>
      <c r="Y226" s="60">
        <v>0.56699999999999995</v>
      </c>
      <c r="Z226" s="60">
        <v>0.308</v>
      </c>
      <c r="AA226" s="3">
        <v>1.4999999999999999E-2</v>
      </c>
      <c r="AB226" s="3">
        <v>3.4000000000000002E-2</v>
      </c>
      <c r="AC226" s="3">
        <v>8.9999999999999993E-3</v>
      </c>
    </row>
    <row r="227" spans="1:29" x14ac:dyDescent="0.35">
      <c r="A227" t="s">
        <v>1243</v>
      </c>
      <c r="B227">
        <v>6</v>
      </c>
      <c r="C227">
        <v>521</v>
      </c>
      <c r="D227">
        <v>543</v>
      </c>
      <c r="E227">
        <v>0</v>
      </c>
      <c r="F227">
        <v>3</v>
      </c>
      <c r="G227">
        <v>11</v>
      </c>
      <c r="H227">
        <v>8</v>
      </c>
      <c r="I227">
        <v>5</v>
      </c>
      <c r="J227">
        <v>1</v>
      </c>
      <c r="K227">
        <v>13</v>
      </c>
      <c r="L227">
        <v>10</v>
      </c>
      <c r="M227">
        <v>0</v>
      </c>
      <c r="N227">
        <v>2</v>
      </c>
      <c r="O227">
        <v>3</v>
      </c>
      <c r="P227">
        <v>9</v>
      </c>
      <c r="Q227">
        <v>0</v>
      </c>
      <c r="R227">
        <v>0</v>
      </c>
      <c r="S227">
        <v>0</v>
      </c>
      <c r="T227">
        <v>5</v>
      </c>
      <c r="U227">
        <v>360</v>
      </c>
      <c r="V227">
        <v>556</v>
      </c>
      <c r="W227" s="6">
        <v>2308</v>
      </c>
      <c r="X227" s="6">
        <v>2527</v>
      </c>
      <c r="Y227">
        <v>613</v>
      </c>
      <c r="Z227">
        <v>301</v>
      </c>
      <c r="AA227">
        <v>16</v>
      </c>
      <c r="AB227">
        <v>30</v>
      </c>
      <c r="AC227">
        <v>8</v>
      </c>
    </row>
    <row r="228" spans="1:29" x14ac:dyDescent="0.35">
      <c r="A228" t="s">
        <v>1244</v>
      </c>
      <c r="B228" s="6">
        <v>1006</v>
      </c>
      <c r="C228" s="6">
        <v>1001</v>
      </c>
      <c r="D228" s="6">
        <v>1000</v>
      </c>
      <c r="E228" s="6">
        <v>1263</v>
      </c>
      <c r="F228" s="6">
        <v>1052</v>
      </c>
      <c r="G228" s="6">
        <v>1319</v>
      </c>
      <c r="H228" s="6">
        <v>1328</v>
      </c>
      <c r="I228" s="6">
        <v>1221</v>
      </c>
      <c r="J228" s="6">
        <v>1255</v>
      </c>
      <c r="K228" s="6">
        <v>1228</v>
      </c>
      <c r="L228" s="6">
        <v>1276</v>
      </c>
      <c r="M228" s="6">
        <v>1108</v>
      </c>
      <c r="N228" s="6">
        <v>1147</v>
      </c>
      <c r="O228" s="6">
        <v>1141</v>
      </c>
      <c r="P228">
        <v>987</v>
      </c>
      <c r="Q228">
        <v>959</v>
      </c>
      <c r="R228">
        <v>963</v>
      </c>
      <c r="S228">
        <v>889</v>
      </c>
      <c r="T228" s="6">
        <v>1046</v>
      </c>
      <c r="U228" s="6">
        <v>1219</v>
      </c>
      <c r="V228" s="6">
        <v>1942</v>
      </c>
      <c r="W228" s="6">
        <v>1944</v>
      </c>
      <c r="X228" s="6">
        <v>1560</v>
      </c>
      <c r="Y228" s="6">
        <v>1082</v>
      </c>
      <c r="Z228">
        <v>979</v>
      </c>
      <c r="AA228" s="6">
        <v>1062</v>
      </c>
      <c r="AB228">
        <v>881</v>
      </c>
      <c r="AC228">
        <v>893</v>
      </c>
    </row>
    <row r="229" spans="1:29" x14ac:dyDescent="0.35">
      <c r="A229" t="s">
        <v>1245</v>
      </c>
      <c r="B229" s="7">
        <v>2.98</v>
      </c>
      <c r="C229" s="7">
        <v>2.4900000000000002</v>
      </c>
      <c r="D229" s="7">
        <v>2.54</v>
      </c>
      <c r="E229" s="7">
        <v>2.99</v>
      </c>
      <c r="F229" s="7">
        <v>2.99</v>
      </c>
      <c r="G229" s="7">
        <v>2.98</v>
      </c>
      <c r="H229" s="7">
        <v>2.98</v>
      </c>
      <c r="I229" s="7">
        <v>2.98</v>
      </c>
      <c r="J229" s="7">
        <v>2.98</v>
      </c>
      <c r="K229" s="7">
        <v>2.97</v>
      </c>
      <c r="L229" s="7">
        <v>2.98</v>
      </c>
      <c r="M229" s="7">
        <v>2.98</v>
      </c>
      <c r="N229" s="7">
        <v>2.98</v>
      </c>
      <c r="O229" s="7">
        <v>2.98</v>
      </c>
      <c r="P229" s="7">
        <v>2.97</v>
      </c>
      <c r="Q229" s="7">
        <v>3.1</v>
      </c>
      <c r="R229" s="7">
        <v>3.26</v>
      </c>
      <c r="S229" s="7">
        <v>3.25</v>
      </c>
      <c r="T229" s="7">
        <v>3.02</v>
      </c>
      <c r="U229" s="7">
        <v>2.5299999999999998</v>
      </c>
      <c r="V229" s="7">
        <v>2.4900000000000002</v>
      </c>
      <c r="W229" s="7">
        <v>1.78</v>
      </c>
      <c r="X229" s="7">
        <v>1.77</v>
      </c>
      <c r="Y229" s="7">
        <v>2.4900000000000002</v>
      </c>
      <c r="Z229" s="7">
        <v>2.72</v>
      </c>
      <c r="AA229" s="7">
        <v>2.98</v>
      </c>
      <c r="AB229" s="7">
        <v>2.96</v>
      </c>
      <c r="AC229" s="7">
        <v>2.97</v>
      </c>
    </row>
    <row r="231" spans="1:29" x14ac:dyDescent="0.35">
      <c r="A231" t="s">
        <v>1292</v>
      </c>
    </row>
    <row r="232" spans="1:29" x14ac:dyDescent="0.35">
      <c r="A232" t="s">
        <v>1240</v>
      </c>
      <c r="B232" s="5">
        <v>46026</v>
      </c>
      <c r="C232" s="5">
        <v>46033</v>
      </c>
      <c r="D232" s="5">
        <v>46040</v>
      </c>
      <c r="E232" s="5">
        <v>46047</v>
      </c>
      <c r="F232" s="5">
        <v>46054</v>
      </c>
      <c r="G232" s="5">
        <v>46061</v>
      </c>
      <c r="H232" s="5">
        <v>46068</v>
      </c>
      <c r="I232" s="5">
        <v>46075</v>
      </c>
      <c r="J232" s="5">
        <v>46082</v>
      </c>
      <c r="K232" s="5">
        <v>46089</v>
      </c>
      <c r="L232" s="5">
        <v>46096</v>
      </c>
      <c r="M232" s="5">
        <v>46103</v>
      </c>
      <c r="N232" s="5">
        <v>46110</v>
      </c>
      <c r="O232" s="5">
        <v>46117</v>
      </c>
      <c r="P232" s="5">
        <v>46124</v>
      </c>
      <c r="Q232" s="5">
        <v>46131</v>
      </c>
      <c r="R232" s="5">
        <v>46138</v>
      </c>
      <c r="S232" s="5">
        <v>46145</v>
      </c>
      <c r="T232" s="5">
        <v>46152</v>
      </c>
      <c r="U232" s="5">
        <v>46159</v>
      </c>
      <c r="V232" s="5">
        <v>46166</v>
      </c>
      <c r="W232" s="5">
        <v>46173</v>
      </c>
      <c r="X232" s="5">
        <v>46180</v>
      </c>
      <c r="Y232" s="5">
        <v>46187</v>
      </c>
      <c r="Z232" s="5">
        <v>46194</v>
      </c>
      <c r="AA232" s="5">
        <v>46201</v>
      </c>
      <c r="AB232" s="5">
        <v>46208</v>
      </c>
      <c r="AC232" s="5">
        <v>46215</v>
      </c>
    </row>
    <row r="233" spans="1:29" x14ac:dyDescent="0.35">
      <c r="A233" t="s">
        <v>1293</v>
      </c>
      <c r="B233" s="3">
        <v>4.0000000000000001E-3</v>
      </c>
      <c r="C233" s="3">
        <v>0.33200000000000002</v>
      </c>
      <c r="D233" s="3">
        <v>0.372</v>
      </c>
      <c r="E233" s="3">
        <v>0</v>
      </c>
      <c r="F233" s="3">
        <v>3.0000000000000001E-3</v>
      </c>
      <c r="G233" s="3">
        <v>6.0000000000000001E-3</v>
      </c>
      <c r="H233" s="3">
        <v>5.0000000000000001E-3</v>
      </c>
      <c r="I233" s="3">
        <v>3.0000000000000001E-3</v>
      </c>
      <c r="J233" s="3">
        <v>0</v>
      </c>
      <c r="K233" s="3">
        <v>8.9999999999999993E-3</v>
      </c>
      <c r="L233" s="3">
        <v>6.0000000000000001E-3</v>
      </c>
      <c r="M233" s="3">
        <v>0</v>
      </c>
      <c r="N233" s="3">
        <v>1E-3</v>
      </c>
      <c r="O233" s="3">
        <v>2E-3</v>
      </c>
      <c r="P233" s="3">
        <v>7.0000000000000001E-3</v>
      </c>
      <c r="Q233" s="3">
        <v>0</v>
      </c>
      <c r="R233" s="3">
        <v>0</v>
      </c>
      <c r="S233" s="3">
        <v>0</v>
      </c>
      <c r="T233" s="3">
        <v>4.0000000000000001E-3</v>
      </c>
      <c r="U233" s="60">
        <v>0.20899999999999999</v>
      </c>
      <c r="V233" s="60">
        <v>0.21199999999999999</v>
      </c>
      <c r="W233" s="60">
        <v>0.44400000000000001</v>
      </c>
      <c r="X233" s="60">
        <v>0.67300000000000004</v>
      </c>
      <c r="Y233" s="60">
        <v>0.39700000000000002</v>
      </c>
      <c r="Z233" s="60">
        <v>0.24399999999999999</v>
      </c>
      <c r="AA233" s="3">
        <v>1.2999999999999999E-2</v>
      </c>
      <c r="AB233" s="3">
        <v>2.4E-2</v>
      </c>
      <c r="AC233" s="3">
        <v>7.0000000000000001E-3</v>
      </c>
    </row>
    <row r="234" spans="1:29" x14ac:dyDescent="0.35">
      <c r="A234" t="s">
        <v>1247</v>
      </c>
      <c r="B234" s="3">
        <v>8.7999999999999995E-2</v>
      </c>
      <c r="C234" s="60">
        <v>0.13600000000000001</v>
      </c>
      <c r="D234" s="60">
        <v>0.128</v>
      </c>
      <c r="E234" s="3">
        <v>6.8000000000000005E-2</v>
      </c>
      <c r="F234" s="3">
        <v>6.3E-2</v>
      </c>
      <c r="G234" s="3">
        <v>7.9000000000000001E-2</v>
      </c>
      <c r="H234" s="3">
        <v>7.1999999999999995E-2</v>
      </c>
      <c r="I234" s="3">
        <v>8.5999999999999993E-2</v>
      </c>
      <c r="J234" s="3">
        <v>9.2999999999999999E-2</v>
      </c>
      <c r="K234" s="3">
        <v>0.10299999999999999</v>
      </c>
      <c r="L234" s="3">
        <v>6.7000000000000004E-2</v>
      </c>
      <c r="M234" s="3">
        <v>9.0999999999999998E-2</v>
      </c>
      <c r="N234" s="3">
        <v>8.4000000000000005E-2</v>
      </c>
      <c r="O234" s="3">
        <v>7.9000000000000001E-2</v>
      </c>
      <c r="P234" s="3">
        <v>0.122</v>
      </c>
      <c r="Q234" s="3">
        <v>0.14399999999999999</v>
      </c>
      <c r="R234" s="3">
        <v>0.20699999999999999</v>
      </c>
      <c r="S234" s="3">
        <v>0.37</v>
      </c>
      <c r="T234" s="3">
        <v>0.126</v>
      </c>
      <c r="U234" s="3">
        <v>6.4000000000000001E-2</v>
      </c>
      <c r="V234" s="3">
        <v>5.8000000000000003E-2</v>
      </c>
      <c r="W234" s="3">
        <v>0.371</v>
      </c>
      <c r="X234" s="3">
        <v>0.38100000000000001</v>
      </c>
      <c r="Y234" s="3">
        <v>0.109</v>
      </c>
      <c r="Z234" s="3">
        <v>7.6999999999999999E-2</v>
      </c>
      <c r="AA234" s="3">
        <v>3.7999999999999999E-2</v>
      </c>
      <c r="AB234" s="3">
        <v>7.0999999999999994E-2</v>
      </c>
      <c r="AC234" s="3">
        <v>0.122</v>
      </c>
    </row>
    <row r="235" spans="1:29" x14ac:dyDescent="0.35">
      <c r="A235" t="s">
        <v>1248</v>
      </c>
      <c r="B235" s="7">
        <v>0.26</v>
      </c>
      <c r="C235" s="7">
        <v>0.39</v>
      </c>
      <c r="D235" s="7">
        <v>0.37</v>
      </c>
      <c r="E235" s="7">
        <v>0.2</v>
      </c>
      <c r="F235" s="7">
        <v>0.19</v>
      </c>
      <c r="G235" s="7">
        <v>0.24</v>
      </c>
      <c r="H235" s="7">
        <v>0.22</v>
      </c>
      <c r="I235" s="7">
        <v>0.26</v>
      </c>
      <c r="J235" s="7">
        <v>0.28000000000000003</v>
      </c>
      <c r="K235" s="7">
        <v>0.31</v>
      </c>
      <c r="L235" s="7">
        <v>0.2</v>
      </c>
      <c r="M235" s="7">
        <v>0.27</v>
      </c>
      <c r="N235" s="7">
        <v>0.25</v>
      </c>
      <c r="O235" s="7">
        <v>0.24</v>
      </c>
      <c r="P235" s="7">
        <v>0.36</v>
      </c>
      <c r="Q235" s="7">
        <v>0.45</v>
      </c>
      <c r="R235" s="7">
        <v>0.68</v>
      </c>
      <c r="S235" s="7">
        <v>1.2</v>
      </c>
      <c r="T235" s="7">
        <v>0.38</v>
      </c>
      <c r="U235" s="7">
        <v>0.17</v>
      </c>
      <c r="V235" s="7">
        <v>0.15</v>
      </c>
      <c r="W235" s="7">
        <v>1</v>
      </c>
      <c r="X235" s="7">
        <v>1.06</v>
      </c>
      <c r="Y235" s="7">
        <v>0.3</v>
      </c>
      <c r="Z235" s="7">
        <v>0.22</v>
      </c>
      <c r="AA235" s="7">
        <v>0.11</v>
      </c>
      <c r="AB235" s="7">
        <v>0.21</v>
      </c>
      <c r="AC235" s="7">
        <v>0.36</v>
      </c>
    </row>
    <row r="236" spans="1:29" x14ac:dyDescent="0.35">
      <c r="A236" t="s">
        <v>1249</v>
      </c>
      <c r="B236" s="7">
        <v>2.72</v>
      </c>
      <c r="C236" s="7">
        <v>2.46</v>
      </c>
      <c r="D236" s="7">
        <v>2.4900000000000002</v>
      </c>
      <c r="E236" s="7">
        <v>2.78</v>
      </c>
      <c r="F236" s="7">
        <v>2.8</v>
      </c>
      <c r="G236" s="7">
        <v>2.75</v>
      </c>
      <c r="H236" s="7">
        <v>2.77</v>
      </c>
      <c r="I236" s="7">
        <v>2.73</v>
      </c>
      <c r="J236" s="7">
        <v>2.71</v>
      </c>
      <c r="K236" s="7">
        <v>2.67</v>
      </c>
      <c r="L236" s="7">
        <v>2.79</v>
      </c>
      <c r="M236" s="7">
        <v>2.71</v>
      </c>
      <c r="N236" s="7">
        <v>2.74</v>
      </c>
      <c r="O236" s="7">
        <v>2.75</v>
      </c>
      <c r="P236" s="7">
        <v>2.62</v>
      </c>
      <c r="Q236" s="7">
        <v>2.65</v>
      </c>
      <c r="R236" s="7">
        <v>2.58</v>
      </c>
      <c r="S236" s="7">
        <v>2.0499999999999998</v>
      </c>
      <c r="T236" s="7">
        <v>2.64</v>
      </c>
      <c r="U236" s="59">
        <v>2.5299999999999998</v>
      </c>
      <c r="V236" s="59">
        <v>2.4900000000000002</v>
      </c>
      <c r="W236" s="59">
        <v>1.7</v>
      </c>
      <c r="X236" s="59">
        <v>1.72</v>
      </c>
      <c r="Y236" s="59">
        <v>2.4900000000000002</v>
      </c>
      <c r="Z236" s="59">
        <v>2.64</v>
      </c>
      <c r="AA236" s="7">
        <v>2.87</v>
      </c>
      <c r="AB236" s="7">
        <v>2.77</v>
      </c>
      <c r="AC236" s="7">
        <v>2.61</v>
      </c>
    </row>
    <row r="237" spans="1:29" x14ac:dyDescent="0.35">
      <c r="A237" t="s">
        <v>1245</v>
      </c>
      <c r="B237" s="7">
        <v>2.98</v>
      </c>
      <c r="C237" s="7">
        <v>2.4900000000000002</v>
      </c>
      <c r="D237" s="7">
        <v>2.54</v>
      </c>
      <c r="E237" s="7">
        <v>2.99</v>
      </c>
      <c r="F237" s="7">
        <v>2.99</v>
      </c>
      <c r="G237" s="7">
        <v>2.98</v>
      </c>
      <c r="H237" s="7">
        <v>2.98</v>
      </c>
      <c r="I237" s="7">
        <v>2.98</v>
      </c>
      <c r="J237" s="7">
        <v>2.98</v>
      </c>
      <c r="K237" s="7">
        <v>2.97</v>
      </c>
      <c r="L237" s="7">
        <v>2.98</v>
      </c>
      <c r="M237" s="7">
        <v>2.98</v>
      </c>
      <c r="N237" s="7">
        <v>2.98</v>
      </c>
      <c r="O237" s="7">
        <v>2.98</v>
      </c>
      <c r="P237" s="7">
        <v>2.97</v>
      </c>
      <c r="Q237" s="7">
        <v>3.1</v>
      </c>
      <c r="R237" s="7">
        <v>3.26</v>
      </c>
      <c r="S237" s="7">
        <v>3.25</v>
      </c>
      <c r="T237" s="7">
        <v>3.02</v>
      </c>
      <c r="U237" s="7">
        <v>2.5299999999999998</v>
      </c>
      <c r="V237" s="7">
        <v>2.4900000000000002</v>
      </c>
      <c r="W237" s="7">
        <v>1.78</v>
      </c>
      <c r="X237" s="7">
        <v>1.77</v>
      </c>
      <c r="Y237" s="7">
        <v>2.4900000000000002</v>
      </c>
      <c r="Z237" s="7">
        <v>2.72</v>
      </c>
      <c r="AA237" s="7">
        <v>2.98</v>
      </c>
      <c r="AB237" s="7">
        <v>2.96</v>
      </c>
      <c r="AC237" s="7">
        <v>2.97</v>
      </c>
    </row>
    <row r="239" spans="1:29" s="68" customFormat="1" x14ac:dyDescent="0.35"/>
    <row r="241" spans="1:29" x14ac:dyDescent="0.35">
      <c r="A241" s="49" t="s">
        <v>302</v>
      </c>
    </row>
    <row r="242" spans="1:29" x14ac:dyDescent="0.35">
      <c r="A242" t="s">
        <v>1240</v>
      </c>
      <c r="B242" s="5">
        <v>46026</v>
      </c>
      <c r="C242" s="5">
        <v>46033</v>
      </c>
      <c r="D242" s="5">
        <v>46040</v>
      </c>
      <c r="E242" s="5">
        <v>46047</v>
      </c>
      <c r="F242" s="5">
        <v>46054</v>
      </c>
      <c r="G242" s="5">
        <v>46061</v>
      </c>
      <c r="H242" s="5">
        <v>46068</v>
      </c>
      <c r="I242" s="5">
        <v>46075</v>
      </c>
      <c r="J242" s="5">
        <v>46082</v>
      </c>
      <c r="K242" s="5">
        <v>46089</v>
      </c>
      <c r="L242" s="72">
        <v>46096</v>
      </c>
      <c r="M242" s="72">
        <v>46103</v>
      </c>
      <c r="N242" s="5">
        <v>46110</v>
      </c>
      <c r="O242" s="5">
        <v>46117</v>
      </c>
      <c r="P242" s="5">
        <v>46124</v>
      </c>
      <c r="Q242" s="5">
        <v>46131</v>
      </c>
      <c r="R242" s="5">
        <v>46138</v>
      </c>
      <c r="S242" s="5">
        <v>46145</v>
      </c>
      <c r="T242" s="5">
        <v>46152</v>
      </c>
      <c r="U242" s="72">
        <v>46159</v>
      </c>
      <c r="V242" s="72">
        <v>46166</v>
      </c>
      <c r="W242" s="5">
        <v>46173</v>
      </c>
      <c r="X242" s="5">
        <v>46180</v>
      </c>
      <c r="Y242" s="5">
        <v>46187</v>
      </c>
      <c r="Z242" s="5">
        <v>46194</v>
      </c>
      <c r="AA242" s="5">
        <v>46201</v>
      </c>
      <c r="AB242" s="5">
        <v>46208</v>
      </c>
      <c r="AC242" s="5">
        <v>46215</v>
      </c>
    </row>
    <row r="243" spans="1:29" x14ac:dyDescent="0.35">
      <c r="A243" t="s">
        <v>1241</v>
      </c>
      <c r="B243">
        <v>501</v>
      </c>
      <c r="C243">
        <v>701</v>
      </c>
      <c r="D243">
        <v>757</v>
      </c>
      <c r="E243">
        <v>668</v>
      </c>
      <c r="F243">
        <v>783</v>
      </c>
      <c r="G243">
        <v>779</v>
      </c>
      <c r="H243">
        <v>665</v>
      </c>
      <c r="I243">
        <v>702</v>
      </c>
      <c r="J243">
        <v>693</v>
      </c>
      <c r="K243">
        <v>835</v>
      </c>
      <c r="L243" s="6">
        <v>1050</v>
      </c>
      <c r="M243" s="6">
        <v>1152</v>
      </c>
      <c r="N243">
        <v>858</v>
      </c>
      <c r="O243">
        <v>841</v>
      </c>
      <c r="P243">
        <v>883</v>
      </c>
      <c r="Q243">
        <v>863</v>
      </c>
      <c r="R243">
        <v>907</v>
      </c>
      <c r="S243">
        <v>998</v>
      </c>
      <c r="T243" s="6">
        <v>1071</v>
      </c>
      <c r="U243" s="6">
        <v>1180</v>
      </c>
      <c r="V243" s="6">
        <v>1126</v>
      </c>
      <c r="W243" s="6">
        <v>1015</v>
      </c>
      <c r="X243">
        <v>948</v>
      </c>
      <c r="Y243">
        <v>699</v>
      </c>
      <c r="Z243">
        <v>640</v>
      </c>
      <c r="AA243">
        <v>599</v>
      </c>
      <c r="AB243">
        <v>573</v>
      </c>
      <c r="AC243">
        <v>801</v>
      </c>
    </row>
    <row r="244" spans="1:29" x14ac:dyDescent="0.35">
      <c r="A244" t="s">
        <v>1242</v>
      </c>
      <c r="B244" s="3">
        <v>0</v>
      </c>
      <c r="C244" s="3">
        <v>0</v>
      </c>
      <c r="D244" s="3">
        <v>0</v>
      </c>
      <c r="E244" s="3">
        <v>0</v>
      </c>
      <c r="F244" s="3">
        <v>0</v>
      </c>
      <c r="G244" s="3">
        <v>0</v>
      </c>
      <c r="H244" s="3">
        <v>0</v>
      </c>
      <c r="I244" s="3">
        <v>0.02</v>
      </c>
      <c r="J244" s="3">
        <v>0.03</v>
      </c>
      <c r="K244" s="3">
        <v>1.4E-2</v>
      </c>
      <c r="L244" s="60">
        <v>0.58499999999999996</v>
      </c>
      <c r="M244" s="60">
        <v>0.78400000000000003</v>
      </c>
      <c r="N244" s="3">
        <v>0.35799999999999998</v>
      </c>
      <c r="O244" s="3">
        <v>0.42499999999999999</v>
      </c>
      <c r="P244" s="3">
        <v>0.45600000000000002</v>
      </c>
      <c r="Q244" s="3">
        <v>0.39900000000000002</v>
      </c>
      <c r="R244" s="3">
        <v>0.46899999999999997</v>
      </c>
      <c r="S244" s="3">
        <v>0.51500000000000001</v>
      </c>
      <c r="T244" s="3">
        <v>0.19400000000000001</v>
      </c>
      <c r="U244" s="60">
        <v>0.54200000000000004</v>
      </c>
      <c r="V244" s="60">
        <v>0.47199999999999998</v>
      </c>
      <c r="W244" s="3">
        <v>0.36599999999999999</v>
      </c>
      <c r="X244" s="3">
        <v>0</v>
      </c>
      <c r="Y244" s="3">
        <v>0</v>
      </c>
      <c r="Z244" s="3">
        <v>0</v>
      </c>
      <c r="AA244" s="3">
        <v>0</v>
      </c>
      <c r="AB244" s="3">
        <v>0</v>
      </c>
      <c r="AC244" s="3">
        <v>0</v>
      </c>
    </row>
    <row r="245" spans="1:29" x14ac:dyDescent="0.35">
      <c r="A245" t="s">
        <v>1243</v>
      </c>
      <c r="B245">
        <v>0</v>
      </c>
      <c r="C245">
        <v>0</v>
      </c>
      <c r="D245">
        <v>0</v>
      </c>
      <c r="E245">
        <v>0</v>
      </c>
      <c r="F245">
        <v>0</v>
      </c>
      <c r="G245">
        <v>0</v>
      </c>
      <c r="H245">
        <v>0</v>
      </c>
      <c r="I245">
        <v>14</v>
      </c>
      <c r="J245">
        <v>20</v>
      </c>
      <c r="K245">
        <v>11</v>
      </c>
      <c r="L245">
        <v>388</v>
      </c>
      <c r="M245">
        <v>506</v>
      </c>
      <c r="N245">
        <v>226</v>
      </c>
      <c r="O245">
        <v>251</v>
      </c>
      <c r="P245">
        <v>276</v>
      </c>
      <c r="Q245">
        <v>246</v>
      </c>
      <c r="R245">
        <v>290</v>
      </c>
      <c r="S245">
        <v>339</v>
      </c>
      <c r="T245">
        <v>174</v>
      </c>
      <c r="U245">
        <v>415</v>
      </c>
      <c r="V245">
        <v>361</v>
      </c>
      <c r="W245">
        <v>272</v>
      </c>
      <c r="X245">
        <v>0</v>
      </c>
      <c r="Y245">
        <v>0</v>
      </c>
      <c r="Z245">
        <v>0</v>
      </c>
      <c r="AA245">
        <v>0</v>
      </c>
      <c r="AB245">
        <v>0</v>
      </c>
      <c r="AC245">
        <v>0</v>
      </c>
    </row>
    <row r="246" spans="1:29" x14ac:dyDescent="0.35">
      <c r="A246" t="s">
        <v>1244</v>
      </c>
      <c r="B246">
        <v>501</v>
      </c>
      <c r="C246">
        <v>701</v>
      </c>
      <c r="D246">
        <v>757</v>
      </c>
      <c r="E246">
        <v>668</v>
      </c>
      <c r="F246">
        <v>783</v>
      </c>
      <c r="G246">
        <v>779</v>
      </c>
      <c r="H246">
        <v>665</v>
      </c>
      <c r="I246">
        <v>688</v>
      </c>
      <c r="J246">
        <v>673</v>
      </c>
      <c r="K246">
        <v>824</v>
      </c>
      <c r="L246">
        <v>662</v>
      </c>
      <c r="M246">
        <v>646</v>
      </c>
      <c r="N246">
        <v>632</v>
      </c>
      <c r="O246">
        <v>590</v>
      </c>
      <c r="P246">
        <v>607</v>
      </c>
      <c r="Q246">
        <v>617</v>
      </c>
      <c r="R246">
        <v>617</v>
      </c>
      <c r="S246">
        <v>659</v>
      </c>
      <c r="T246">
        <v>897</v>
      </c>
      <c r="U246">
        <v>765</v>
      </c>
      <c r="V246">
        <v>765</v>
      </c>
      <c r="W246">
        <v>743</v>
      </c>
      <c r="X246">
        <v>948</v>
      </c>
      <c r="Y246">
        <v>699</v>
      </c>
      <c r="Z246">
        <v>640</v>
      </c>
      <c r="AA246">
        <v>599</v>
      </c>
      <c r="AB246">
        <v>573</v>
      </c>
      <c r="AC246">
        <v>801</v>
      </c>
    </row>
    <row r="247" spans="1:29" x14ac:dyDescent="0.35">
      <c r="A247" t="s">
        <v>1245</v>
      </c>
      <c r="B247" s="7">
        <v>3.49</v>
      </c>
      <c r="C247" s="7">
        <v>3.49</v>
      </c>
      <c r="D247" s="7">
        <v>3.49</v>
      </c>
      <c r="E247" s="7">
        <v>3.49</v>
      </c>
      <c r="F247" s="7">
        <v>3.49</v>
      </c>
      <c r="G247" s="7">
        <v>3.49</v>
      </c>
      <c r="H247" s="7">
        <v>3.49</v>
      </c>
      <c r="I247" s="7">
        <v>3.43</v>
      </c>
      <c r="J247" s="7">
        <v>3.41</v>
      </c>
      <c r="K247" s="7">
        <v>3.45</v>
      </c>
      <c r="L247" s="7">
        <v>2.67</v>
      </c>
      <c r="M247" s="7">
        <v>2.5099999999999998</v>
      </c>
      <c r="N247" s="7">
        <v>2.99</v>
      </c>
      <c r="O247" s="7">
        <v>3.07</v>
      </c>
      <c r="P247" s="7">
        <v>2.99</v>
      </c>
      <c r="Q247" s="7">
        <v>2.99</v>
      </c>
      <c r="R247" s="7">
        <v>2.99</v>
      </c>
      <c r="S247" s="7">
        <v>2.99</v>
      </c>
      <c r="T247" s="7">
        <v>2.56</v>
      </c>
      <c r="U247" s="7">
        <v>2.5</v>
      </c>
      <c r="V247" s="7">
        <v>2.5</v>
      </c>
      <c r="W247" s="7">
        <v>2.5</v>
      </c>
      <c r="X247" s="7">
        <v>2.97</v>
      </c>
      <c r="Y247" s="7">
        <v>3.49</v>
      </c>
      <c r="Z247" s="7">
        <v>3.49</v>
      </c>
      <c r="AA247" s="7">
        <v>3.49</v>
      </c>
      <c r="AB247" s="7">
        <v>3.49</v>
      </c>
      <c r="AC247" s="7">
        <v>3.49</v>
      </c>
    </row>
    <row r="250" spans="1:29" x14ac:dyDescent="0.35">
      <c r="A250" t="s">
        <v>1240</v>
      </c>
      <c r="B250" s="5">
        <v>46026</v>
      </c>
      <c r="C250" s="5">
        <v>46033</v>
      </c>
      <c r="D250" s="5">
        <v>46040</v>
      </c>
      <c r="E250" s="5">
        <v>46047</v>
      </c>
      <c r="F250" s="5">
        <v>46054</v>
      </c>
      <c r="G250" s="5">
        <v>46061</v>
      </c>
      <c r="H250" s="5">
        <v>46068</v>
      </c>
      <c r="I250" s="5">
        <v>46075</v>
      </c>
      <c r="J250" s="5">
        <v>46082</v>
      </c>
      <c r="K250" s="5">
        <v>46089</v>
      </c>
      <c r="L250" s="5">
        <v>46096</v>
      </c>
      <c r="M250" s="5">
        <v>46103</v>
      </c>
      <c r="N250" s="5">
        <v>46110</v>
      </c>
      <c r="O250" s="5">
        <v>46117</v>
      </c>
      <c r="P250" s="5">
        <v>46124</v>
      </c>
      <c r="Q250" s="5">
        <v>46131</v>
      </c>
      <c r="R250" s="5">
        <v>46138</v>
      </c>
      <c r="S250" s="5">
        <v>46145</v>
      </c>
      <c r="T250" s="5">
        <v>46152</v>
      </c>
      <c r="U250" s="5">
        <v>46159</v>
      </c>
      <c r="V250" s="5">
        <v>46166</v>
      </c>
      <c r="W250" s="5">
        <v>46173</v>
      </c>
      <c r="X250" s="5">
        <v>46180</v>
      </c>
      <c r="Y250" s="5">
        <v>46187</v>
      </c>
      <c r="Z250" s="5">
        <v>46194</v>
      </c>
      <c r="AA250" s="5">
        <v>46201</v>
      </c>
      <c r="AB250" s="5">
        <v>46208</v>
      </c>
      <c r="AC250" s="5">
        <v>46215</v>
      </c>
    </row>
    <row r="251" spans="1:29" x14ac:dyDescent="0.35">
      <c r="A251" t="s">
        <v>1293</v>
      </c>
      <c r="B251" s="3">
        <v>0</v>
      </c>
      <c r="C251" s="3">
        <v>0</v>
      </c>
      <c r="D251" s="3">
        <v>0</v>
      </c>
      <c r="E251" s="3">
        <v>0</v>
      </c>
      <c r="F251" s="3">
        <v>0</v>
      </c>
      <c r="G251" s="3">
        <v>0</v>
      </c>
      <c r="H251" s="3">
        <v>0</v>
      </c>
      <c r="I251" s="3">
        <v>5.0000000000000001E-3</v>
      </c>
      <c r="J251" s="3">
        <v>0.01</v>
      </c>
      <c r="K251" s="3">
        <v>7.0000000000000001E-3</v>
      </c>
      <c r="L251" s="3">
        <v>0.29199999999999998</v>
      </c>
      <c r="M251" s="3">
        <v>0.38600000000000001</v>
      </c>
      <c r="N251" s="3">
        <v>0.22900000000000001</v>
      </c>
      <c r="O251" s="3">
        <v>0.32900000000000001</v>
      </c>
      <c r="P251" s="3">
        <v>0.317</v>
      </c>
      <c r="Q251" s="3">
        <v>0.28599999999999998</v>
      </c>
      <c r="R251" s="3">
        <v>0.34100000000000003</v>
      </c>
      <c r="S251" s="3">
        <v>0.38800000000000001</v>
      </c>
      <c r="T251" s="3">
        <v>0.114</v>
      </c>
      <c r="U251" s="3">
        <v>0.33300000000000002</v>
      </c>
      <c r="V251" s="3">
        <v>0.30499999999999999</v>
      </c>
      <c r="W251" s="3">
        <v>0.24199999999999999</v>
      </c>
      <c r="X251" s="3">
        <v>0</v>
      </c>
      <c r="Y251" s="3">
        <v>0</v>
      </c>
      <c r="Z251" s="3">
        <v>0</v>
      </c>
      <c r="AA251" s="3">
        <v>0</v>
      </c>
      <c r="AB251" s="3">
        <v>0</v>
      </c>
      <c r="AC251" s="3">
        <v>0</v>
      </c>
    </row>
    <row r="252" spans="1:29" x14ac:dyDescent="0.35">
      <c r="A252" t="s">
        <v>1247</v>
      </c>
      <c r="B252" t="s">
        <v>1272</v>
      </c>
      <c r="C252" t="s">
        <v>1272</v>
      </c>
      <c r="D252" t="s">
        <v>1272</v>
      </c>
      <c r="E252" t="s">
        <v>1272</v>
      </c>
      <c r="F252" t="s">
        <v>1272</v>
      </c>
      <c r="G252" t="s">
        <v>1272</v>
      </c>
      <c r="H252" t="s">
        <v>1272</v>
      </c>
      <c r="I252" s="3">
        <v>0.27500000000000002</v>
      </c>
      <c r="J252" s="3">
        <v>0.28199999999999997</v>
      </c>
      <c r="K252" s="3">
        <v>0.27900000000000003</v>
      </c>
      <c r="L252" s="60">
        <v>0.191</v>
      </c>
      <c r="M252" s="60">
        <v>0.22600000000000001</v>
      </c>
      <c r="N252" s="3">
        <v>0.126</v>
      </c>
      <c r="O252" s="3">
        <v>6.9000000000000006E-2</v>
      </c>
      <c r="P252" s="3">
        <v>9.5000000000000001E-2</v>
      </c>
      <c r="Q252" s="3">
        <v>8.1000000000000003E-2</v>
      </c>
      <c r="R252" s="3">
        <v>8.6999999999999994E-2</v>
      </c>
      <c r="S252" s="3">
        <v>8.4000000000000005E-2</v>
      </c>
      <c r="T252" s="3">
        <v>5.8999999999999997E-2</v>
      </c>
      <c r="U252" s="60">
        <v>0.13600000000000001</v>
      </c>
      <c r="V252" s="60">
        <v>0.113</v>
      </c>
      <c r="W252" s="3">
        <v>9.0999999999999998E-2</v>
      </c>
      <c r="X252" t="s">
        <v>1272</v>
      </c>
      <c r="Y252" t="s">
        <v>1272</v>
      </c>
      <c r="Z252" t="s">
        <v>1272</v>
      </c>
      <c r="AA252" t="s">
        <v>1272</v>
      </c>
      <c r="AB252" t="s">
        <v>1272</v>
      </c>
      <c r="AC252" t="s">
        <v>1272</v>
      </c>
    </row>
    <row r="253" spans="1:29" x14ac:dyDescent="0.35">
      <c r="A253" t="s">
        <v>1248</v>
      </c>
      <c r="B253" t="s">
        <v>1272</v>
      </c>
      <c r="C253" t="s">
        <v>1272</v>
      </c>
      <c r="D253" t="s">
        <v>1272</v>
      </c>
      <c r="E253" t="s">
        <v>1272</v>
      </c>
      <c r="F253" t="s">
        <v>1272</v>
      </c>
      <c r="G253" t="s">
        <v>1272</v>
      </c>
      <c r="H253" t="s">
        <v>1272</v>
      </c>
      <c r="I253" s="7">
        <v>0.96</v>
      </c>
      <c r="J253" s="7">
        <v>0.98</v>
      </c>
      <c r="K253" s="7">
        <v>0.97</v>
      </c>
      <c r="L253" s="7">
        <v>0.63</v>
      </c>
      <c r="M253" s="7">
        <v>0.73</v>
      </c>
      <c r="N253" s="7">
        <v>0.42</v>
      </c>
      <c r="O253" s="7">
        <v>0.23</v>
      </c>
      <c r="P253" s="7">
        <v>0.32</v>
      </c>
      <c r="Q253" s="7">
        <v>0.26</v>
      </c>
      <c r="R253" s="7">
        <v>0.28999999999999998</v>
      </c>
      <c r="S253" s="7">
        <v>0.27</v>
      </c>
      <c r="T253" s="7">
        <v>0.16</v>
      </c>
      <c r="U253" s="7">
        <v>0.39</v>
      </c>
      <c r="V253" s="7">
        <v>0.32</v>
      </c>
      <c r="W253" s="7">
        <v>0.25</v>
      </c>
      <c r="X253" t="s">
        <v>1272</v>
      </c>
      <c r="Y253" t="s">
        <v>1272</v>
      </c>
      <c r="Z253" t="s">
        <v>1272</v>
      </c>
      <c r="AA253" t="s">
        <v>1272</v>
      </c>
      <c r="AB253" t="s">
        <v>1272</v>
      </c>
      <c r="AC253" t="s">
        <v>1272</v>
      </c>
    </row>
    <row r="254" spans="1:29" x14ac:dyDescent="0.35">
      <c r="A254" t="s">
        <v>1249</v>
      </c>
      <c r="B254" t="s">
        <v>1272</v>
      </c>
      <c r="C254" t="s">
        <v>1272</v>
      </c>
      <c r="D254" t="s">
        <v>1272</v>
      </c>
      <c r="E254" t="s">
        <v>1272</v>
      </c>
      <c r="F254" t="s">
        <v>1272</v>
      </c>
      <c r="G254" t="s">
        <v>1272</v>
      </c>
      <c r="H254" t="s">
        <v>1272</v>
      </c>
      <c r="I254" s="7">
        <v>2.52</v>
      </c>
      <c r="J254" s="7">
        <v>2.5</v>
      </c>
      <c r="K254" s="7">
        <v>2.5</v>
      </c>
      <c r="L254" s="7">
        <v>2.65</v>
      </c>
      <c r="M254" s="7">
        <v>2.5</v>
      </c>
      <c r="N254" s="7">
        <v>2.89</v>
      </c>
      <c r="O254" s="7">
        <v>3.06</v>
      </c>
      <c r="P254" s="7">
        <v>2.99</v>
      </c>
      <c r="Q254" s="7">
        <v>2.99</v>
      </c>
      <c r="R254" s="7">
        <v>2.99</v>
      </c>
      <c r="S254" s="7">
        <v>2.99</v>
      </c>
      <c r="T254" s="7">
        <v>2.58</v>
      </c>
      <c r="U254" s="7">
        <v>2.5</v>
      </c>
      <c r="V254" s="7">
        <v>2.5</v>
      </c>
      <c r="W254" s="7">
        <v>2.5</v>
      </c>
      <c r="X254" t="s">
        <v>1272</v>
      </c>
      <c r="Y254" t="s">
        <v>1272</v>
      </c>
      <c r="Z254" t="s">
        <v>1272</v>
      </c>
      <c r="AA254" t="s">
        <v>1272</v>
      </c>
      <c r="AB254" t="s">
        <v>1272</v>
      </c>
      <c r="AC254" t="s">
        <v>1272</v>
      </c>
    </row>
    <row r="255" spans="1:29" x14ac:dyDescent="0.35">
      <c r="A255" t="s">
        <v>1245</v>
      </c>
      <c r="B255" s="7">
        <v>3.49</v>
      </c>
      <c r="C255" s="7">
        <v>3.49</v>
      </c>
      <c r="D255" s="7">
        <v>3.49</v>
      </c>
      <c r="E255" s="7">
        <v>3.49</v>
      </c>
      <c r="F255" s="7">
        <v>3.49</v>
      </c>
      <c r="G255" s="7">
        <v>3.49</v>
      </c>
      <c r="H255" s="7">
        <v>3.49</v>
      </c>
      <c r="I255" s="7">
        <v>3.43</v>
      </c>
      <c r="J255" s="7">
        <v>3.41</v>
      </c>
      <c r="K255" s="7">
        <v>3.45</v>
      </c>
      <c r="L255" s="7">
        <v>2.67</v>
      </c>
      <c r="M255" s="7">
        <v>2.5099999999999998</v>
      </c>
      <c r="N255" s="7">
        <v>2.99</v>
      </c>
      <c r="O255" s="7">
        <v>3.07</v>
      </c>
      <c r="P255" s="7">
        <v>2.99</v>
      </c>
      <c r="Q255" s="7">
        <v>2.99</v>
      </c>
      <c r="R255" s="7">
        <v>2.99</v>
      </c>
      <c r="S255" s="7">
        <v>2.99</v>
      </c>
      <c r="T255" s="7">
        <v>2.56</v>
      </c>
      <c r="U255" s="7">
        <v>2.5</v>
      </c>
      <c r="V255" s="7">
        <v>2.5</v>
      </c>
      <c r="W255" s="7">
        <v>2.5</v>
      </c>
      <c r="X255" s="7">
        <v>2.97</v>
      </c>
      <c r="Y255" s="7">
        <v>3.49</v>
      </c>
      <c r="Z255" s="7">
        <v>3.49</v>
      </c>
      <c r="AA255" s="7">
        <v>3.49</v>
      </c>
      <c r="AB255" s="7">
        <v>3.49</v>
      </c>
      <c r="AC255" s="7">
        <v>3.49</v>
      </c>
    </row>
    <row r="258" spans="1:29" x14ac:dyDescent="0.35">
      <c r="A258" t="s">
        <v>1254</v>
      </c>
      <c r="B258" s="5">
        <v>46026</v>
      </c>
      <c r="C258" s="5">
        <v>46033</v>
      </c>
      <c r="D258" s="5">
        <v>46040</v>
      </c>
      <c r="E258" s="5">
        <v>46047</v>
      </c>
      <c r="F258" s="5">
        <v>46054</v>
      </c>
      <c r="G258" s="5">
        <v>46061</v>
      </c>
      <c r="H258" s="5">
        <v>46068</v>
      </c>
      <c r="I258" s="5">
        <v>46075</v>
      </c>
      <c r="J258" s="5">
        <v>46082</v>
      </c>
      <c r="K258" s="5">
        <v>46089</v>
      </c>
      <c r="L258" s="5">
        <v>46096</v>
      </c>
      <c r="M258" s="5">
        <v>46103</v>
      </c>
      <c r="N258" s="5">
        <v>46110</v>
      </c>
      <c r="O258" s="5">
        <v>46117</v>
      </c>
      <c r="P258" s="5">
        <v>46124</v>
      </c>
      <c r="Q258" s="5">
        <v>46131</v>
      </c>
      <c r="R258" s="5">
        <v>46138</v>
      </c>
      <c r="S258" s="5">
        <v>46145</v>
      </c>
      <c r="T258" s="72">
        <v>46152</v>
      </c>
      <c r="U258" s="72">
        <v>46159</v>
      </c>
      <c r="V258" s="72">
        <v>46166</v>
      </c>
      <c r="W258" s="72">
        <v>46173</v>
      </c>
      <c r="X258" s="5">
        <v>46180</v>
      </c>
      <c r="Y258" s="5">
        <v>46187</v>
      </c>
      <c r="Z258" s="5">
        <v>46194</v>
      </c>
      <c r="AA258" s="5">
        <v>46201</v>
      </c>
      <c r="AB258" s="5">
        <v>46208</v>
      </c>
      <c r="AC258" s="5">
        <v>46215</v>
      </c>
    </row>
    <row r="259" spans="1:29" x14ac:dyDescent="0.35">
      <c r="A259" t="s">
        <v>1241</v>
      </c>
      <c r="B259">
        <v>101</v>
      </c>
      <c r="C259">
        <v>150</v>
      </c>
      <c r="D259">
        <v>127</v>
      </c>
      <c r="E259">
        <v>132</v>
      </c>
      <c r="F259">
        <v>138</v>
      </c>
      <c r="G259">
        <v>133</v>
      </c>
      <c r="H259">
        <v>119</v>
      </c>
      <c r="I259">
        <v>123</v>
      </c>
      <c r="J259">
        <v>114</v>
      </c>
      <c r="K259">
        <v>146</v>
      </c>
      <c r="L259">
        <v>113</v>
      </c>
      <c r="M259">
        <v>110</v>
      </c>
      <c r="N259">
        <v>105</v>
      </c>
      <c r="O259">
        <v>107</v>
      </c>
      <c r="P259">
        <v>120</v>
      </c>
      <c r="Q259">
        <v>125</v>
      </c>
      <c r="R259">
        <v>120</v>
      </c>
      <c r="S259">
        <v>110</v>
      </c>
      <c r="T259">
        <v>161</v>
      </c>
      <c r="U259">
        <v>153</v>
      </c>
      <c r="V259">
        <v>193</v>
      </c>
      <c r="W259">
        <v>193</v>
      </c>
      <c r="X259">
        <v>129</v>
      </c>
      <c r="Y259">
        <v>113</v>
      </c>
      <c r="Z259">
        <v>110</v>
      </c>
      <c r="AA259">
        <v>109</v>
      </c>
      <c r="AB259">
        <v>81</v>
      </c>
      <c r="AC259">
        <v>135</v>
      </c>
    </row>
    <row r="260" spans="1:29" x14ac:dyDescent="0.35">
      <c r="A260" t="s">
        <v>1242</v>
      </c>
      <c r="B260" s="3">
        <v>0</v>
      </c>
      <c r="C260" s="3">
        <v>0</v>
      </c>
      <c r="D260" s="3">
        <v>0</v>
      </c>
      <c r="E260" s="3">
        <v>0</v>
      </c>
      <c r="F260" s="3">
        <v>0</v>
      </c>
      <c r="G260" s="3">
        <v>0</v>
      </c>
      <c r="H260" s="3">
        <v>0</v>
      </c>
      <c r="I260" s="3">
        <v>0</v>
      </c>
      <c r="J260" s="3">
        <v>0</v>
      </c>
      <c r="K260" s="3">
        <v>0</v>
      </c>
      <c r="L260" s="3">
        <v>0</v>
      </c>
      <c r="M260" s="3">
        <v>0</v>
      </c>
      <c r="N260" s="3">
        <v>0</v>
      </c>
      <c r="O260" s="3">
        <v>0</v>
      </c>
      <c r="P260" s="3">
        <v>0</v>
      </c>
      <c r="Q260" s="3">
        <v>0</v>
      </c>
      <c r="R260" s="3">
        <v>0</v>
      </c>
      <c r="S260" s="3">
        <v>0</v>
      </c>
      <c r="T260" s="60">
        <v>0.439</v>
      </c>
      <c r="U260" s="60">
        <v>0.61899999999999999</v>
      </c>
      <c r="V260" s="60">
        <v>0.72899999999999998</v>
      </c>
      <c r="W260" s="60">
        <v>0.73899999999999999</v>
      </c>
      <c r="X260" s="3">
        <v>0</v>
      </c>
      <c r="Y260" s="3">
        <v>0</v>
      </c>
      <c r="Z260" s="3">
        <v>0</v>
      </c>
      <c r="AA260" s="3">
        <v>0</v>
      </c>
      <c r="AB260" s="3">
        <v>0</v>
      </c>
      <c r="AC260" s="3">
        <v>0.36799999999999999</v>
      </c>
    </row>
    <row r="261" spans="1:29" x14ac:dyDescent="0.35">
      <c r="A261" t="s">
        <v>1243</v>
      </c>
      <c r="B261">
        <v>0</v>
      </c>
      <c r="C261">
        <v>0</v>
      </c>
      <c r="D261">
        <v>0</v>
      </c>
      <c r="E261">
        <v>0</v>
      </c>
      <c r="F261">
        <v>0</v>
      </c>
      <c r="G261">
        <v>0</v>
      </c>
      <c r="H261">
        <v>0</v>
      </c>
      <c r="I261">
        <v>0</v>
      </c>
      <c r="J261">
        <v>0</v>
      </c>
      <c r="K261">
        <v>0</v>
      </c>
      <c r="L261">
        <v>0</v>
      </c>
      <c r="M261">
        <v>0</v>
      </c>
      <c r="N261">
        <v>0</v>
      </c>
      <c r="O261">
        <v>0</v>
      </c>
      <c r="P261">
        <v>0</v>
      </c>
      <c r="Q261">
        <v>0</v>
      </c>
      <c r="R261">
        <v>0</v>
      </c>
      <c r="S261">
        <v>0</v>
      </c>
      <c r="T261">
        <v>49</v>
      </c>
      <c r="U261">
        <v>59</v>
      </c>
      <c r="V261">
        <v>81</v>
      </c>
      <c r="W261">
        <v>82</v>
      </c>
      <c r="X261">
        <v>0</v>
      </c>
      <c r="Y261">
        <v>0</v>
      </c>
      <c r="Z261">
        <v>0</v>
      </c>
      <c r="AA261">
        <v>0</v>
      </c>
      <c r="AB261">
        <v>0</v>
      </c>
      <c r="AC261">
        <v>36</v>
      </c>
    </row>
    <row r="262" spans="1:29" x14ac:dyDescent="0.35">
      <c r="A262" t="s">
        <v>1244</v>
      </c>
      <c r="B262">
        <v>101</v>
      </c>
      <c r="C262">
        <v>150</v>
      </c>
      <c r="D262">
        <v>127</v>
      </c>
      <c r="E262">
        <v>132</v>
      </c>
      <c r="F262">
        <v>138</v>
      </c>
      <c r="G262">
        <v>133</v>
      </c>
      <c r="H262">
        <v>119</v>
      </c>
      <c r="I262">
        <v>123</v>
      </c>
      <c r="J262">
        <v>114</v>
      </c>
      <c r="K262">
        <v>146</v>
      </c>
      <c r="L262">
        <v>113</v>
      </c>
      <c r="M262">
        <v>110</v>
      </c>
      <c r="N262">
        <v>105</v>
      </c>
      <c r="O262">
        <v>107</v>
      </c>
      <c r="P262">
        <v>120</v>
      </c>
      <c r="Q262">
        <v>125</v>
      </c>
      <c r="R262">
        <v>120</v>
      </c>
      <c r="S262">
        <v>110</v>
      </c>
      <c r="T262">
        <v>112</v>
      </c>
      <c r="U262">
        <v>95</v>
      </c>
      <c r="V262">
        <v>112</v>
      </c>
      <c r="W262">
        <v>111</v>
      </c>
      <c r="X262">
        <v>129</v>
      </c>
      <c r="Y262">
        <v>113</v>
      </c>
      <c r="Z262">
        <v>110</v>
      </c>
      <c r="AA262">
        <v>109</v>
      </c>
      <c r="AB262">
        <v>81</v>
      </c>
      <c r="AC262">
        <v>99</v>
      </c>
    </row>
    <row r="263" spans="1:29" x14ac:dyDescent="0.35">
      <c r="A263" t="s">
        <v>1245</v>
      </c>
      <c r="B263" s="7">
        <v>11.99</v>
      </c>
      <c r="C263" s="7">
        <v>11.99</v>
      </c>
      <c r="D263" s="7">
        <v>11.99</v>
      </c>
      <c r="E263" s="7">
        <v>11.99</v>
      </c>
      <c r="F263" s="7">
        <v>11.99</v>
      </c>
      <c r="G263" s="7">
        <v>11.99</v>
      </c>
      <c r="H263" s="7">
        <v>11.99</v>
      </c>
      <c r="I263" s="7">
        <v>11.99</v>
      </c>
      <c r="J263" s="7">
        <v>11.99</v>
      </c>
      <c r="K263" s="7">
        <v>11.99</v>
      </c>
      <c r="L263" s="7">
        <v>11.99</v>
      </c>
      <c r="M263" s="7">
        <v>11.99</v>
      </c>
      <c r="N263" s="7">
        <v>11.99</v>
      </c>
      <c r="O263" s="7">
        <v>11.99</v>
      </c>
      <c r="P263" s="7">
        <v>11.99</v>
      </c>
      <c r="Q263" s="7">
        <v>11.99</v>
      </c>
      <c r="R263" s="7">
        <v>11.99</v>
      </c>
      <c r="S263" s="7">
        <v>11.99</v>
      </c>
      <c r="T263" s="7">
        <v>9.4</v>
      </c>
      <c r="U263" s="7">
        <v>8.99</v>
      </c>
      <c r="V263" s="7">
        <v>8.99</v>
      </c>
      <c r="W263" s="7">
        <v>8.99</v>
      </c>
      <c r="X263" s="7">
        <v>11.99</v>
      </c>
      <c r="Y263" s="7">
        <v>11.99</v>
      </c>
      <c r="Z263" s="7">
        <v>11.99</v>
      </c>
      <c r="AA263" s="7">
        <v>11.99</v>
      </c>
      <c r="AB263" s="7">
        <v>11.99</v>
      </c>
      <c r="AC263" s="7">
        <v>9.5500000000000007</v>
      </c>
    </row>
    <row r="265" spans="1:29" x14ac:dyDescent="0.35">
      <c r="A265" t="s">
        <v>1254</v>
      </c>
      <c r="B265" s="5">
        <v>46026</v>
      </c>
      <c r="C265" s="5">
        <v>46033</v>
      </c>
      <c r="D265" s="5">
        <v>46040</v>
      </c>
      <c r="E265" s="5">
        <v>46047</v>
      </c>
      <c r="F265" s="5">
        <v>46054</v>
      </c>
      <c r="G265" s="5">
        <v>46061</v>
      </c>
      <c r="H265" s="5">
        <v>46068</v>
      </c>
      <c r="I265" s="5">
        <v>46075</v>
      </c>
      <c r="J265" s="5">
        <v>46082</v>
      </c>
      <c r="K265" s="5">
        <v>46089</v>
      </c>
      <c r="L265" s="5">
        <v>46096</v>
      </c>
      <c r="M265" s="5">
        <v>46103</v>
      </c>
      <c r="N265" s="5">
        <v>46110</v>
      </c>
      <c r="O265" s="5">
        <v>46117</v>
      </c>
      <c r="P265" s="5">
        <v>46124</v>
      </c>
      <c r="Q265" s="5">
        <v>46131</v>
      </c>
      <c r="R265" s="5">
        <v>46138</v>
      </c>
      <c r="S265" s="5">
        <v>46145</v>
      </c>
      <c r="T265" s="72">
        <v>46152</v>
      </c>
      <c r="U265" s="72">
        <v>46159</v>
      </c>
      <c r="V265" s="72">
        <v>46166</v>
      </c>
      <c r="W265" s="72">
        <v>46173</v>
      </c>
      <c r="X265" s="5">
        <v>46180</v>
      </c>
      <c r="Y265" s="5">
        <v>46187</v>
      </c>
      <c r="Z265" s="5">
        <v>46194</v>
      </c>
      <c r="AA265" s="5">
        <v>46201</v>
      </c>
      <c r="AB265" s="5">
        <v>46208</v>
      </c>
      <c r="AC265" s="5">
        <v>46215</v>
      </c>
    </row>
    <row r="266" spans="1:29" x14ac:dyDescent="0.35">
      <c r="A266" t="s">
        <v>1293</v>
      </c>
      <c r="B266" s="3">
        <v>0</v>
      </c>
      <c r="C266" s="3">
        <v>0</v>
      </c>
      <c r="D266" s="3">
        <v>0</v>
      </c>
      <c r="E266" s="3">
        <v>0</v>
      </c>
      <c r="F266" s="3">
        <v>0</v>
      </c>
      <c r="G266" s="3">
        <v>0</v>
      </c>
      <c r="H266" s="3">
        <v>0</v>
      </c>
      <c r="I266" s="3">
        <v>0</v>
      </c>
      <c r="J266" s="3">
        <v>0</v>
      </c>
      <c r="K266" s="3">
        <v>0</v>
      </c>
      <c r="L266" s="3">
        <v>0</v>
      </c>
      <c r="M266" s="3">
        <v>0</v>
      </c>
      <c r="N266" s="3">
        <v>0</v>
      </c>
      <c r="O266" s="3">
        <v>0</v>
      </c>
      <c r="P266" s="3">
        <v>0</v>
      </c>
      <c r="Q266" s="3">
        <v>0</v>
      </c>
      <c r="R266" s="3">
        <v>0</v>
      </c>
      <c r="S266" s="3">
        <v>0</v>
      </c>
      <c r="T266" s="3">
        <v>0.22700000000000001</v>
      </c>
      <c r="U266" s="3">
        <v>0.33100000000000002</v>
      </c>
      <c r="V266" s="3">
        <v>0.41399999999999998</v>
      </c>
      <c r="W266" s="3">
        <v>0.38200000000000001</v>
      </c>
      <c r="X266" s="3">
        <v>0</v>
      </c>
      <c r="Y266" s="3">
        <v>0</v>
      </c>
      <c r="Z266" s="3">
        <v>0</v>
      </c>
      <c r="AA266" s="3">
        <v>0</v>
      </c>
      <c r="AB266" s="3">
        <v>0</v>
      </c>
      <c r="AC266" s="3">
        <v>0.159</v>
      </c>
    </row>
    <row r="267" spans="1:29" x14ac:dyDescent="0.35">
      <c r="A267" t="s">
        <v>1247</v>
      </c>
      <c r="B267" t="s">
        <v>1272</v>
      </c>
      <c r="C267" t="s">
        <v>1272</v>
      </c>
      <c r="D267" t="s">
        <v>1272</v>
      </c>
      <c r="E267" t="s">
        <v>1272</v>
      </c>
      <c r="F267" t="s">
        <v>1272</v>
      </c>
      <c r="G267" t="s">
        <v>1272</v>
      </c>
      <c r="H267" t="s">
        <v>1272</v>
      </c>
      <c r="I267" t="s">
        <v>1272</v>
      </c>
      <c r="J267" t="s">
        <v>1272</v>
      </c>
      <c r="K267" t="s">
        <v>1272</v>
      </c>
      <c r="L267" t="s">
        <v>1272</v>
      </c>
      <c r="M267" t="s">
        <v>1272</v>
      </c>
      <c r="N267" t="s">
        <v>1272</v>
      </c>
      <c r="O267" t="s">
        <v>1272</v>
      </c>
      <c r="P267" t="s">
        <v>1272</v>
      </c>
      <c r="Q267" t="s">
        <v>1272</v>
      </c>
      <c r="R267" t="s">
        <v>1272</v>
      </c>
      <c r="S267" t="s">
        <v>1272</v>
      </c>
      <c r="T267" s="60">
        <v>0.14699999999999999</v>
      </c>
      <c r="U267" s="60">
        <v>0.17799999999999999</v>
      </c>
      <c r="V267" s="60">
        <v>0.182</v>
      </c>
      <c r="W267" s="60">
        <v>0.20499999999999999</v>
      </c>
      <c r="X267" t="s">
        <v>1272</v>
      </c>
      <c r="Y267" t="s">
        <v>1272</v>
      </c>
      <c r="Z267" t="s">
        <v>1272</v>
      </c>
      <c r="AA267" t="s">
        <v>1272</v>
      </c>
      <c r="AB267" t="s">
        <v>1272</v>
      </c>
      <c r="AC267" s="3">
        <v>0.16800000000000001</v>
      </c>
    </row>
    <row r="268" spans="1:29" x14ac:dyDescent="0.35">
      <c r="A268" t="s">
        <v>1248</v>
      </c>
      <c r="B268" t="s">
        <v>1272</v>
      </c>
      <c r="C268" t="s">
        <v>1272</v>
      </c>
      <c r="D268" t="s">
        <v>1272</v>
      </c>
      <c r="E268" t="s">
        <v>1272</v>
      </c>
      <c r="F268" t="s">
        <v>1272</v>
      </c>
      <c r="G268" t="s">
        <v>1272</v>
      </c>
      <c r="H268" t="s">
        <v>1272</v>
      </c>
      <c r="I268" t="s">
        <v>1272</v>
      </c>
      <c r="J268" t="s">
        <v>1272</v>
      </c>
      <c r="K268" t="s">
        <v>1272</v>
      </c>
      <c r="L268" t="s">
        <v>1272</v>
      </c>
      <c r="M268" t="s">
        <v>1272</v>
      </c>
      <c r="N268" t="s">
        <v>1272</v>
      </c>
      <c r="O268" t="s">
        <v>1272</v>
      </c>
      <c r="P268" t="s">
        <v>1272</v>
      </c>
      <c r="Q268" t="s">
        <v>1272</v>
      </c>
      <c r="R268" t="s">
        <v>1272</v>
      </c>
      <c r="S268" t="s">
        <v>1272</v>
      </c>
      <c r="T268" s="7">
        <v>1.63</v>
      </c>
      <c r="U268" s="7">
        <v>1.95</v>
      </c>
      <c r="V268" s="7">
        <v>2</v>
      </c>
      <c r="W268" s="7">
        <v>2.3199999999999998</v>
      </c>
      <c r="X268" t="s">
        <v>1272</v>
      </c>
      <c r="Y268" t="s">
        <v>1272</v>
      </c>
      <c r="Z268" t="s">
        <v>1272</v>
      </c>
      <c r="AA268" t="s">
        <v>1272</v>
      </c>
      <c r="AB268" t="s">
        <v>1272</v>
      </c>
      <c r="AC268" s="7">
        <v>1.89</v>
      </c>
    </row>
    <row r="269" spans="1:29" x14ac:dyDescent="0.35">
      <c r="A269" t="s">
        <v>1249</v>
      </c>
      <c r="B269" t="s">
        <v>1272</v>
      </c>
      <c r="C269" t="s">
        <v>1272</v>
      </c>
      <c r="D269" t="s">
        <v>1272</v>
      </c>
      <c r="E269" t="s">
        <v>1272</v>
      </c>
      <c r="F269" t="s">
        <v>1272</v>
      </c>
      <c r="G269" t="s">
        <v>1272</v>
      </c>
      <c r="H269" t="s">
        <v>1272</v>
      </c>
      <c r="I269" t="s">
        <v>1272</v>
      </c>
      <c r="J269" t="s">
        <v>1272</v>
      </c>
      <c r="K269" t="s">
        <v>1272</v>
      </c>
      <c r="L269" t="s">
        <v>1272</v>
      </c>
      <c r="M269" t="s">
        <v>1272</v>
      </c>
      <c r="N269" t="s">
        <v>1272</v>
      </c>
      <c r="O269" t="s">
        <v>1272</v>
      </c>
      <c r="P269" t="s">
        <v>1272</v>
      </c>
      <c r="Q269" t="s">
        <v>1272</v>
      </c>
      <c r="R269" t="s">
        <v>1272</v>
      </c>
      <c r="S269" t="s">
        <v>1272</v>
      </c>
      <c r="T269" s="7">
        <v>9.4</v>
      </c>
      <c r="U269" s="7">
        <v>8.99</v>
      </c>
      <c r="V269" s="7">
        <v>8.99</v>
      </c>
      <c r="W269" s="7">
        <v>8.99</v>
      </c>
      <c r="X269" t="s">
        <v>1272</v>
      </c>
      <c r="Y269" t="s">
        <v>1272</v>
      </c>
      <c r="Z269" t="s">
        <v>1272</v>
      </c>
      <c r="AA269" t="s">
        <v>1272</v>
      </c>
      <c r="AB269" t="s">
        <v>1272</v>
      </c>
      <c r="AC269" s="7">
        <v>9.3699999999999992</v>
      </c>
    </row>
    <row r="270" spans="1:29" x14ac:dyDescent="0.35">
      <c r="A270" t="s">
        <v>1245</v>
      </c>
      <c r="B270" s="7">
        <v>11.99</v>
      </c>
      <c r="C270" s="7">
        <v>11.99</v>
      </c>
      <c r="D270" s="7">
        <v>11.99</v>
      </c>
      <c r="E270" s="7">
        <v>11.99</v>
      </c>
      <c r="F270" s="7">
        <v>11.99</v>
      </c>
      <c r="G270" s="7">
        <v>11.99</v>
      </c>
      <c r="H270" s="7">
        <v>11.99</v>
      </c>
      <c r="I270" s="7">
        <v>11.99</v>
      </c>
      <c r="J270" s="7">
        <v>11.99</v>
      </c>
      <c r="K270" s="7">
        <v>11.99</v>
      </c>
      <c r="L270" s="7">
        <v>11.99</v>
      </c>
      <c r="M270" s="7">
        <v>11.99</v>
      </c>
      <c r="N270" s="7">
        <v>11.99</v>
      </c>
      <c r="O270" s="7">
        <v>11.99</v>
      </c>
      <c r="P270" s="7">
        <v>11.99</v>
      </c>
      <c r="Q270" s="7">
        <v>11.99</v>
      </c>
      <c r="R270" s="7">
        <v>11.99</v>
      </c>
      <c r="S270" s="7">
        <v>11.99</v>
      </c>
      <c r="T270" s="7">
        <v>9.4</v>
      </c>
      <c r="U270" s="7">
        <v>8.99</v>
      </c>
      <c r="V270" s="7">
        <v>8.99</v>
      </c>
      <c r="W270" s="7">
        <v>8.99</v>
      </c>
      <c r="X270" s="7">
        <v>11.99</v>
      </c>
      <c r="Y270" s="7">
        <v>11.99</v>
      </c>
      <c r="Z270" s="7">
        <v>11.99</v>
      </c>
      <c r="AA270" s="7">
        <v>11.99</v>
      </c>
      <c r="AB270" s="7">
        <v>11.99</v>
      </c>
      <c r="AC270" s="7">
        <v>9.5500000000000007</v>
      </c>
    </row>
    <row r="273" spans="1:29" s="36" customFormat="1" x14ac:dyDescent="0.35"/>
    <row r="275" spans="1:29" x14ac:dyDescent="0.35">
      <c r="A275" s="49" t="s">
        <v>1299</v>
      </c>
    </row>
    <row r="277" spans="1:29" x14ac:dyDescent="0.35">
      <c r="A277" t="s">
        <v>1240</v>
      </c>
      <c r="B277" s="5">
        <v>46026</v>
      </c>
      <c r="C277" s="5">
        <v>46033</v>
      </c>
      <c r="D277" s="5">
        <v>46040</v>
      </c>
      <c r="E277" s="5">
        <v>46047</v>
      </c>
      <c r="F277" s="75">
        <v>46054</v>
      </c>
      <c r="G277" s="72">
        <v>46061</v>
      </c>
      <c r="H277" s="72">
        <v>46068</v>
      </c>
      <c r="I277" s="72">
        <v>46075</v>
      </c>
      <c r="J277" s="75">
        <v>46082</v>
      </c>
      <c r="K277" s="5">
        <v>46089</v>
      </c>
      <c r="L277" s="5">
        <v>46096</v>
      </c>
      <c r="M277" s="5">
        <v>46103</v>
      </c>
      <c r="N277" s="5">
        <v>46110</v>
      </c>
      <c r="O277" s="5">
        <v>46117</v>
      </c>
      <c r="P277" s="5">
        <v>46124</v>
      </c>
      <c r="Q277" s="5">
        <v>46131</v>
      </c>
      <c r="R277" s="5">
        <v>46138</v>
      </c>
      <c r="S277" s="5">
        <v>46145</v>
      </c>
      <c r="T277" s="5">
        <v>46152</v>
      </c>
      <c r="U277" s="5">
        <v>46159</v>
      </c>
      <c r="V277" s="5">
        <v>46166</v>
      </c>
      <c r="W277" s="5">
        <v>46173</v>
      </c>
      <c r="X277" s="72">
        <v>46180</v>
      </c>
      <c r="Y277" s="72">
        <v>46187</v>
      </c>
      <c r="Z277" s="72">
        <v>46194</v>
      </c>
      <c r="AA277" s="72">
        <v>46201</v>
      </c>
      <c r="AB277" s="5">
        <v>46208</v>
      </c>
      <c r="AC277" s="5">
        <v>46215</v>
      </c>
    </row>
    <row r="278" spans="1:29" x14ac:dyDescent="0.35">
      <c r="A278" t="s">
        <v>1241</v>
      </c>
      <c r="B278" s="6">
        <v>3784</v>
      </c>
      <c r="C278" s="6">
        <v>4690</v>
      </c>
      <c r="D278" s="6">
        <v>4573</v>
      </c>
      <c r="E278" s="6">
        <v>5429</v>
      </c>
      <c r="F278" s="25">
        <v>5937</v>
      </c>
      <c r="G278" s="6">
        <v>10096</v>
      </c>
      <c r="H278" s="6">
        <v>8201</v>
      </c>
      <c r="I278" s="6">
        <v>8588</v>
      </c>
      <c r="J278" s="25">
        <v>6947</v>
      </c>
      <c r="K278" s="6">
        <v>4482</v>
      </c>
      <c r="L278" s="6">
        <v>4292</v>
      </c>
      <c r="M278" s="6">
        <v>4135</v>
      </c>
      <c r="N278" s="6">
        <v>4079</v>
      </c>
      <c r="O278" s="6">
        <v>3876</v>
      </c>
      <c r="P278" s="6">
        <v>3195</v>
      </c>
      <c r="Q278" s="6">
        <v>3937</v>
      </c>
      <c r="R278" s="6">
        <v>3564</v>
      </c>
      <c r="S278" s="6">
        <v>3427</v>
      </c>
      <c r="T278" s="6">
        <v>3972</v>
      </c>
      <c r="U278" s="6">
        <v>4223</v>
      </c>
      <c r="V278" s="6">
        <v>4125</v>
      </c>
      <c r="W278" s="6">
        <v>4174</v>
      </c>
      <c r="X278" s="6">
        <v>5520</v>
      </c>
      <c r="Y278" s="6">
        <v>5370</v>
      </c>
      <c r="Z278" s="6">
        <v>5587</v>
      </c>
      <c r="AA278" s="6">
        <v>5060</v>
      </c>
      <c r="AB278" s="6">
        <v>4201</v>
      </c>
      <c r="AC278" s="6">
        <v>2981</v>
      </c>
    </row>
    <row r="279" spans="1:29" x14ac:dyDescent="0.35">
      <c r="A279" t="s">
        <v>1242</v>
      </c>
      <c r="B279" s="3">
        <v>3.2000000000000001E-2</v>
      </c>
      <c r="C279" s="3">
        <v>2.7E-2</v>
      </c>
      <c r="D279" s="3">
        <v>1.2999999999999999E-2</v>
      </c>
      <c r="E279" s="3">
        <v>2.4E-2</v>
      </c>
      <c r="F279" s="26">
        <v>0.39400000000000002</v>
      </c>
      <c r="G279" s="60">
        <v>0.92900000000000005</v>
      </c>
      <c r="H279" s="60">
        <v>0.70099999999999996</v>
      </c>
      <c r="I279" s="60">
        <v>0.83099999999999996</v>
      </c>
      <c r="J279" s="26">
        <v>0.26300000000000001</v>
      </c>
      <c r="K279" s="3">
        <v>5.0000000000000001E-3</v>
      </c>
      <c r="L279" s="3">
        <v>6.0000000000000001E-3</v>
      </c>
      <c r="M279" s="3">
        <v>4.9000000000000002E-2</v>
      </c>
      <c r="N279" s="3">
        <v>2.5999999999999999E-2</v>
      </c>
      <c r="O279" s="3">
        <v>3.1E-2</v>
      </c>
      <c r="P279" s="3">
        <v>2.8000000000000001E-2</v>
      </c>
      <c r="Q279" s="3">
        <v>2.8000000000000001E-2</v>
      </c>
      <c r="R279" s="3">
        <v>8.9999999999999993E-3</v>
      </c>
      <c r="S279" s="3">
        <v>0</v>
      </c>
      <c r="T279" s="3">
        <v>0.17100000000000001</v>
      </c>
      <c r="U279" s="3">
        <v>0.36399999999999999</v>
      </c>
      <c r="V279" s="3">
        <v>0.38100000000000001</v>
      </c>
      <c r="W279" s="3">
        <v>0.42199999999999999</v>
      </c>
      <c r="X279" s="60">
        <v>0.79600000000000004</v>
      </c>
      <c r="Y279" s="60">
        <v>0.81699999999999995</v>
      </c>
      <c r="Z279" s="60">
        <v>0.88700000000000001</v>
      </c>
      <c r="AA279" s="60">
        <v>0.69799999999999995</v>
      </c>
      <c r="AB279" s="3">
        <v>0.499</v>
      </c>
      <c r="AC279" s="3">
        <v>2E-3</v>
      </c>
    </row>
    <row r="280" spans="1:29" x14ac:dyDescent="0.35">
      <c r="A280" t="s">
        <v>1243</v>
      </c>
      <c r="B280">
        <v>118</v>
      </c>
      <c r="C280">
        <v>124</v>
      </c>
      <c r="D280">
        <v>59</v>
      </c>
      <c r="E280">
        <v>129</v>
      </c>
      <c r="F280" s="25">
        <v>1679</v>
      </c>
      <c r="G280" s="6">
        <v>4863</v>
      </c>
      <c r="H280" s="6">
        <v>3380</v>
      </c>
      <c r="I280" s="6">
        <v>3898</v>
      </c>
      <c r="J280" s="25">
        <v>1447</v>
      </c>
      <c r="K280">
        <v>24</v>
      </c>
      <c r="L280">
        <v>26</v>
      </c>
      <c r="M280">
        <v>192</v>
      </c>
      <c r="N280">
        <v>105</v>
      </c>
      <c r="O280">
        <v>115</v>
      </c>
      <c r="P280">
        <v>88</v>
      </c>
      <c r="Q280">
        <v>107</v>
      </c>
      <c r="R280">
        <v>33</v>
      </c>
      <c r="S280">
        <v>1</v>
      </c>
      <c r="T280">
        <v>581</v>
      </c>
      <c r="U280" s="6">
        <v>1128</v>
      </c>
      <c r="V280" s="6">
        <v>1139</v>
      </c>
      <c r="W280" s="6">
        <v>1239</v>
      </c>
      <c r="X280" s="6">
        <v>2447</v>
      </c>
      <c r="Y280" s="6">
        <v>2414</v>
      </c>
      <c r="Z280" s="6">
        <v>2626</v>
      </c>
      <c r="AA280" s="6">
        <v>2080</v>
      </c>
      <c r="AB280" s="6">
        <v>1398</v>
      </c>
      <c r="AC280">
        <v>7</v>
      </c>
    </row>
    <row r="281" spans="1:29" x14ac:dyDescent="0.35">
      <c r="A281" t="s">
        <v>1244</v>
      </c>
      <c r="B281" s="6">
        <v>3666</v>
      </c>
      <c r="C281" s="6">
        <v>4566</v>
      </c>
      <c r="D281" s="6">
        <v>4514</v>
      </c>
      <c r="E281" s="6">
        <v>5300</v>
      </c>
      <c r="F281" s="6">
        <v>4258</v>
      </c>
      <c r="G281" s="6">
        <v>5233</v>
      </c>
      <c r="H281" s="6">
        <v>4821</v>
      </c>
      <c r="I281" s="6">
        <v>4690</v>
      </c>
      <c r="J281" s="25">
        <v>5500</v>
      </c>
      <c r="K281" s="6">
        <v>4458</v>
      </c>
      <c r="L281" s="6">
        <v>4266</v>
      </c>
      <c r="M281" s="6">
        <v>3943</v>
      </c>
      <c r="N281" s="6">
        <v>3974</v>
      </c>
      <c r="O281" s="6">
        <v>3761</v>
      </c>
      <c r="P281" s="6">
        <v>3107</v>
      </c>
      <c r="Q281" s="6">
        <v>3830</v>
      </c>
      <c r="R281" s="6">
        <v>3531</v>
      </c>
      <c r="S281" s="6">
        <v>3426</v>
      </c>
      <c r="T281" s="6">
        <v>3391</v>
      </c>
      <c r="U281" s="6">
        <v>3095</v>
      </c>
      <c r="V281" s="6">
        <v>2986</v>
      </c>
      <c r="W281" s="6">
        <v>2935</v>
      </c>
      <c r="X281" s="6">
        <v>3073</v>
      </c>
      <c r="Y281" s="6">
        <v>2956</v>
      </c>
      <c r="Z281" s="6">
        <v>2961</v>
      </c>
      <c r="AA281" s="6">
        <v>2981</v>
      </c>
      <c r="AB281" s="6">
        <v>2803</v>
      </c>
      <c r="AC281" s="6">
        <v>2974</v>
      </c>
    </row>
    <row r="282" spans="1:29" x14ac:dyDescent="0.35">
      <c r="A282" t="s">
        <v>1245</v>
      </c>
      <c r="B282" s="7">
        <v>2.71</v>
      </c>
      <c r="C282" s="7">
        <v>2.72</v>
      </c>
      <c r="D282" s="7">
        <v>2.76</v>
      </c>
      <c r="E282" s="7">
        <v>2.78</v>
      </c>
      <c r="F282" s="7">
        <v>2.2400000000000002</v>
      </c>
      <c r="G282" s="7">
        <v>2.0099999999999998</v>
      </c>
      <c r="H282" s="7">
        <v>2.0099999999999998</v>
      </c>
      <c r="I282" s="7">
        <v>2.0099999999999998</v>
      </c>
      <c r="J282" s="27">
        <v>2.2999999999999998</v>
      </c>
      <c r="K282" s="7">
        <v>3.46</v>
      </c>
      <c r="L282" s="7">
        <v>3.19</v>
      </c>
      <c r="M282" s="7">
        <v>2.78</v>
      </c>
      <c r="N282" s="7">
        <v>2.79</v>
      </c>
      <c r="O282" s="7">
        <v>2.79</v>
      </c>
      <c r="P282" s="7">
        <v>2.78</v>
      </c>
      <c r="Q282" s="7">
        <v>2.78</v>
      </c>
      <c r="R282" s="7">
        <v>2.79</v>
      </c>
      <c r="S282" s="7">
        <v>2.79</v>
      </c>
      <c r="T282" s="7">
        <v>2.65</v>
      </c>
      <c r="U282" s="7">
        <v>2.4900000000000002</v>
      </c>
      <c r="V282" s="7">
        <v>2.5</v>
      </c>
      <c r="W282" s="7">
        <v>2.2599999999999998</v>
      </c>
      <c r="X282" s="7">
        <v>2</v>
      </c>
      <c r="Y282" s="7">
        <v>2</v>
      </c>
      <c r="Z282" s="7">
        <v>2</v>
      </c>
      <c r="AA282" s="7">
        <v>2</v>
      </c>
      <c r="AB282" s="7">
        <v>2.21</v>
      </c>
      <c r="AC282" s="7">
        <v>2.79</v>
      </c>
    </row>
    <row r="283" spans="1:29" x14ac:dyDescent="0.35">
      <c r="J283" s="51"/>
    </row>
    <row r="284" spans="1:29" x14ac:dyDescent="0.35">
      <c r="A284" t="s">
        <v>1240</v>
      </c>
      <c r="B284" s="5">
        <v>46026</v>
      </c>
      <c r="C284" s="5">
        <v>46033</v>
      </c>
      <c r="D284" s="5">
        <v>46040</v>
      </c>
      <c r="E284" s="5">
        <v>46047</v>
      </c>
      <c r="F284" s="75">
        <v>46054</v>
      </c>
      <c r="G284" s="72">
        <v>46061</v>
      </c>
      <c r="H284" s="72">
        <v>46068</v>
      </c>
      <c r="I284" s="72">
        <v>46075</v>
      </c>
      <c r="J284" s="75">
        <v>46082</v>
      </c>
      <c r="K284" s="5">
        <v>46089</v>
      </c>
      <c r="L284" s="5">
        <v>46096</v>
      </c>
      <c r="M284" s="5">
        <v>46103</v>
      </c>
      <c r="N284" s="5">
        <v>46110</v>
      </c>
      <c r="O284" s="5">
        <v>46117</v>
      </c>
      <c r="P284" s="5">
        <v>46124</v>
      </c>
      <c r="Q284" s="5">
        <v>46131</v>
      </c>
      <c r="R284" s="5">
        <v>46138</v>
      </c>
      <c r="S284" s="5">
        <v>46145</v>
      </c>
      <c r="T284" s="5">
        <v>46152</v>
      </c>
      <c r="U284" s="5">
        <v>46159</v>
      </c>
      <c r="V284" s="5">
        <v>46166</v>
      </c>
      <c r="W284" s="5">
        <v>46173</v>
      </c>
      <c r="X284" s="72">
        <v>46180</v>
      </c>
      <c r="Y284" s="72">
        <v>46187</v>
      </c>
      <c r="Z284" s="72">
        <v>46194</v>
      </c>
      <c r="AA284" s="72">
        <v>46201</v>
      </c>
      <c r="AB284" s="5">
        <v>46208</v>
      </c>
      <c r="AC284" s="5">
        <v>46215</v>
      </c>
    </row>
    <row r="285" spans="1:29" x14ac:dyDescent="0.35">
      <c r="A285" t="s">
        <v>1293</v>
      </c>
      <c r="B285" s="3">
        <v>5.0000000000000001E-3</v>
      </c>
      <c r="C285" s="3">
        <v>6.0000000000000001E-3</v>
      </c>
      <c r="D285" s="3">
        <v>5.0000000000000001E-3</v>
      </c>
      <c r="E285" s="3">
        <v>2.1999999999999999E-2</v>
      </c>
      <c r="F285" s="26">
        <v>0.22600000000000001</v>
      </c>
      <c r="G285" s="3">
        <v>0.48</v>
      </c>
      <c r="H285" s="3">
        <v>0.33500000000000002</v>
      </c>
      <c r="I285" s="3">
        <v>0.42099999999999999</v>
      </c>
      <c r="J285" s="26">
        <v>0.16400000000000001</v>
      </c>
      <c r="K285" s="3">
        <v>3.0000000000000001E-3</v>
      </c>
      <c r="L285" s="3">
        <v>3.0000000000000001E-3</v>
      </c>
      <c r="M285" s="3">
        <v>3.2000000000000001E-2</v>
      </c>
      <c r="N285" s="3">
        <v>1.4999999999999999E-2</v>
      </c>
      <c r="O285" s="3">
        <v>2.1999999999999999E-2</v>
      </c>
      <c r="P285" s="3">
        <v>1.7999999999999999E-2</v>
      </c>
      <c r="Q285" s="3">
        <v>1.4999999999999999E-2</v>
      </c>
      <c r="R285" s="3">
        <v>6.0000000000000001E-3</v>
      </c>
      <c r="S285" s="3">
        <v>0</v>
      </c>
      <c r="T285" s="3">
        <v>0.14399999999999999</v>
      </c>
      <c r="U285" s="3">
        <v>0.28699999999999998</v>
      </c>
      <c r="V285" s="3">
        <v>0.30399999999999999</v>
      </c>
      <c r="W285" s="3">
        <v>0.25600000000000001</v>
      </c>
      <c r="X285" s="3">
        <v>0.40400000000000003</v>
      </c>
      <c r="Y285" s="3">
        <v>0.42399999999999999</v>
      </c>
      <c r="Z285" s="3">
        <v>0.46700000000000003</v>
      </c>
      <c r="AA285" s="3">
        <v>0.39200000000000002</v>
      </c>
      <c r="AB285" s="3">
        <v>0.312</v>
      </c>
      <c r="AC285" s="3">
        <v>2E-3</v>
      </c>
    </row>
    <row r="286" spans="1:29" x14ac:dyDescent="0.35">
      <c r="A286" t="s">
        <v>1247</v>
      </c>
      <c r="B286" s="3">
        <v>0.59799999999999998</v>
      </c>
      <c r="C286" s="3">
        <v>0.55100000000000005</v>
      </c>
      <c r="D286" s="3">
        <v>0.437</v>
      </c>
      <c r="E286" s="3">
        <v>2.1999999999999999E-2</v>
      </c>
      <c r="F286" s="26">
        <v>0.13</v>
      </c>
      <c r="G286" s="60">
        <v>0.23300000000000001</v>
      </c>
      <c r="H286" s="60">
        <v>0.215</v>
      </c>
      <c r="I286" s="60">
        <v>0.224</v>
      </c>
      <c r="J286" s="26">
        <v>0.112</v>
      </c>
      <c r="K286" s="3">
        <v>0.28699999999999998</v>
      </c>
      <c r="L286" s="3">
        <v>0.246</v>
      </c>
      <c r="M286" s="3">
        <v>2.7E-2</v>
      </c>
      <c r="N286" s="3">
        <v>1.2999999999999999E-2</v>
      </c>
      <c r="O286" s="3">
        <v>0.01</v>
      </c>
      <c r="P286" s="3">
        <v>1.7000000000000001E-2</v>
      </c>
      <c r="Q286" s="3">
        <v>2.4E-2</v>
      </c>
      <c r="R286" s="3">
        <v>6.0000000000000001E-3</v>
      </c>
      <c r="S286" s="3">
        <v>1.2E-2</v>
      </c>
      <c r="T286" s="3">
        <v>4.8000000000000001E-2</v>
      </c>
      <c r="U286" s="3">
        <v>5.3999999999999999E-2</v>
      </c>
      <c r="V286" s="3">
        <v>5.6000000000000001E-2</v>
      </c>
      <c r="W286" s="3">
        <v>0.11600000000000001</v>
      </c>
      <c r="X286" s="60">
        <v>0.218</v>
      </c>
      <c r="Y286" s="60">
        <v>0.216</v>
      </c>
      <c r="Z286" s="60">
        <v>0.223</v>
      </c>
      <c r="AA286" s="60">
        <v>0.18</v>
      </c>
      <c r="AB286" s="3">
        <v>0.14000000000000001</v>
      </c>
      <c r="AC286" s="3">
        <v>4.2000000000000003E-2</v>
      </c>
    </row>
    <row r="287" spans="1:29" x14ac:dyDescent="0.35">
      <c r="A287" t="s">
        <v>1248</v>
      </c>
      <c r="B287" s="7">
        <v>1.67</v>
      </c>
      <c r="C287" s="7">
        <v>1.53</v>
      </c>
      <c r="D287" s="7">
        <v>1.22</v>
      </c>
      <c r="E287" s="7">
        <v>0.06</v>
      </c>
      <c r="F287" s="27">
        <v>0.33</v>
      </c>
      <c r="G287" s="7">
        <v>0.61</v>
      </c>
      <c r="H287" s="7">
        <v>0.55000000000000004</v>
      </c>
      <c r="I287" s="7">
        <v>0.57999999999999996</v>
      </c>
      <c r="J287" s="7">
        <v>0.28000000000000003</v>
      </c>
      <c r="K287" s="7">
        <v>1</v>
      </c>
      <c r="L287" s="7">
        <v>0.79</v>
      </c>
      <c r="M287" s="7">
        <v>0.08</v>
      </c>
      <c r="N287" s="7">
        <v>0.04</v>
      </c>
      <c r="O287" s="7">
        <v>0.03</v>
      </c>
      <c r="P287" s="7">
        <v>0.05</v>
      </c>
      <c r="Q287" s="7">
        <v>7.0000000000000007E-2</v>
      </c>
      <c r="R287" s="7">
        <v>0.02</v>
      </c>
      <c r="S287" s="7">
        <v>0.03</v>
      </c>
      <c r="T287" s="7">
        <v>0.13</v>
      </c>
      <c r="U287" s="7">
        <v>0.14000000000000001</v>
      </c>
      <c r="V287" s="7">
        <v>0.15</v>
      </c>
      <c r="W287" s="7">
        <v>0.3</v>
      </c>
      <c r="X287" s="7">
        <v>0.56000000000000005</v>
      </c>
      <c r="Y287" s="7">
        <v>0.55000000000000004</v>
      </c>
      <c r="Z287" s="7">
        <v>0.56999999999999995</v>
      </c>
      <c r="AA287" s="7">
        <v>0.44</v>
      </c>
      <c r="AB287" s="7">
        <v>0.35</v>
      </c>
      <c r="AC287" s="7">
        <v>0.12</v>
      </c>
    </row>
    <row r="288" spans="1:29" x14ac:dyDescent="0.35">
      <c r="A288" t="s">
        <v>1249</v>
      </c>
      <c r="B288" s="7">
        <v>1.1200000000000001</v>
      </c>
      <c r="C288" s="7">
        <v>1.25</v>
      </c>
      <c r="D288" s="7">
        <v>1.57</v>
      </c>
      <c r="E288" s="7">
        <v>2.73</v>
      </c>
      <c r="F288" s="7">
        <v>2.21</v>
      </c>
      <c r="G288" s="7">
        <v>2.0099999999999998</v>
      </c>
      <c r="H288" s="7">
        <v>2.0099999999999998</v>
      </c>
      <c r="I288" s="7">
        <v>2.0099999999999998</v>
      </c>
      <c r="J288" s="7">
        <v>2.2200000000000002</v>
      </c>
      <c r="K288" s="7">
        <v>2.4700000000000002</v>
      </c>
      <c r="L288" s="7">
        <v>2.41</v>
      </c>
      <c r="M288" s="7">
        <v>2.75</v>
      </c>
      <c r="N288" s="7">
        <v>2.78</v>
      </c>
      <c r="O288" s="7">
        <v>2.78</v>
      </c>
      <c r="P288" s="7">
        <v>2.77</v>
      </c>
      <c r="Q288" s="7">
        <v>2.75</v>
      </c>
      <c r="R288" s="7">
        <v>2.78</v>
      </c>
      <c r="S288" s="7">
        <v>2.76</v>
      </c>
      <c r="T288" s="7">
        <v>2.58</v>
      </c>
      <c r="U288" s="7">
        <v>2.5</v>
      </c>
      <c r="V288" s="7">
        <v>2.5</v>
      </c>
      <c r="W288" s="7">
        <v>2.2599999999999998</v>
      </c>
      <c r="X288" s="7">
        <v>2</v>
      </c>
      <c r="Y288" s="7">
        <v>2</v>
      </c>
      <c r="Z288" s="7">
        <v>2</v>
      </c>
      <c r="AA288" s="7">
        <v>2</v>
      </c>
      <c r="AB288" s="7">
        <v>2.17</v>
      </c>
      <c r="AC288" s="7">
        <v>2.67</v>
      </c>
    </row>
    <row r="289" spans="1:29" x14ac:dyDescent="0.35">
      <c r="A289" t="s">
        <v>1245</v>
      </c>
      <c r="B289" s="7">
        <v>2.71</v>
      </c>
      <c r="C289" s="7">
        <v>2.72</v>
      </c>
      <c r="D289" s="7">
        <v>2.76</v>
      </c>
      <c r="E289" s="7">
        <v>2.78</v>
      </c>
      <c r="F289" s="7">
        <v>2.2400000000000002</v>
      </c>
      <c r="G289" s="7">
        <v>2.0099999999999998</v>
      </c>
      <c r="H289" s="7">
        <v>2.0099999999999998</v>
      </c>
      <c r="I289" s="7">
        <v>2.0099999999999998</v>
      </c>
      <c r="J289" s="7">
        <v>2.2999999999999998</v>
      </c>
      <c r="K289" s="7">
        <v>3.46</v>
      </c>
      <c r="L289" s="7">
        <v>3.19</v>
      </c>
      <c r="M289" s="7">
        <v>2.78</v>
      </c>
      <c r="N289" s="7">
        <v>2.79</v>
      </c>
      <c r="O289" s="7">
        <v>2.79</v>
      </c>
      <c r="P289" s="7">
        <v>2.78</v>
      </c>
      <c r="Q289" s="7">
        <v>2.78</v>
      </c>
      <c r="R289" s="7">
        <v>2.79</v>
      </c>
      <c r="S289" s="7">
        <v>2.79</v>
      </c>
      <c r="T289" s="7">
        <v>2.65</v>
      </c>
      <c r="U289" s="7">
        <v>2.4900000000000002</v>
      </c>
      <c r="V289" s="7">
        <v>2.5</v>
      </c>
      <c r="W289" s="7">
        <v>2.2599999999999998</v>
      </c>
      <c r="X289" s="7">
        <v>2</v>
      </c>
      <c r="Y289" s="7">
        <v>2</v>
      </c>
      <c r="Z289" s="7">
        <v>2</v>
      </c>
      <c r="AA289" s="7">
        <v>2</v>
      </c>
      <c r="AB289" s="7">
        <v>2.21</v>
      </c>
      <c r="AC289" s="7">
        <v>2.79</v>
      </c>
    </row>
    <row r="290" spans="1:29" x14ac:dyDescent="0.35">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row>
    <row r="292" spans="1:29" x14ac:dyDescent="0.35">
      <c r="A292" t="s">
        <v>1254</v>
      </c>
      <c r="B292" s="5">
        <v>46026</v>
      </c>
      <c r="C292" s="5">
        <v>46033</v>
      </c>
      <c r="D292" s="5">
        <v>46040</v>
      </c>
      <c r="E292" s="5">
        <v>46047</v>
      </c>
      <c r="F292" s="5">
        <v>46054</v>
      </c>
      <c r="G292" s="5">
        <v>46061</v>
      </c>
      <c r="H292" s="5">
        <v>46068</v>
      </c>
      <c r="I292" s="5">
        <v>46075</v>
      </c>
      <c r="J292" s="5">
        <v>46082</v>
      </c>
      <c r="K292" s="5">
        <v>46089</v>
      </c>
      <c r="L292" s="5">
        <v>46096</v>
      </c>
      <c r="M292" s="5">
        <v>46103</v>
      </c>
      <c r="N292" s="5">
        <v>46110</v>
      </c>
      <c r="O292" s="5">
        <v>46117</v>
      </c>
      <c r="P292" s="5">
        <v>46124</v>
      </c>
      <c r="Q292" s="5">
        <v>46131</v>
      </c>
      <c r="R292" s="5">
        <v>46138</v>
      </c>
      <c r="S292" s="5">
        <v>46145</v>
      </c>
      <c r="T292" s="5">
        <v>46152</v>
      </c>
      <c r="U292" s="5">
        <v>46159</v>
      </c>
      <c r="V292" s="5">
        <v>46166</v>
      </c>
      <c r="W292" s="5">
        <v>46173</v>
      </c>
      <c r="X292" s="5">
        <v>46180</v>
      </c>
      <c r="Y292" s="5">
        <v>46187</v>
      </c>
      <c r="Z292" s="5">
        <v>46194</v>
      </c>
      <c r="AA292" s="5">
        <v>46201</v>
      </c>
      <c r="AB292" s="5">
        <v>46208</v>
      </c>
      <c r="AC292" s="5">
        <v>46215</v>
      </c>
    </row>
    <row r="293" spans="1:29" x14ac:dyDescent="0.35">
      <c r="A293" t="s">
        <v>1241</v>
      </c>
      <c r="B293">
        <v>305</v>
      </c>
      <c r="C293">
        <v>307</v>
      </c>
      <c r="D293">
        <v>315</v>
      </c>
      <c r="E293">
        <v>485</v>
      </c>
      <c r="F293">
        <v>287</v>
      </c>
      <c r="G293">
        <v>398</v>
      </c>
      <c r="H293">
        <v>254</v>
      </c>
      <c r="I293">
        <v>301</v>
      </c>
      <c r="J293">
        <v>457</v>
      </c>
      <c r="K293">
        <v>721</v>
      </c>
      <c r="L293">
        <v>845</v>
      </c>
      <c r="M293">
        <v>904</v>
      </c>
      <c r="N293">
        <v>958</v>
      </c>
      <c r="O293">
        <v>879</v>
      </c>
      <c r="P293">
        <v>548</v>
      </c>
      <c r="Q293">
        <v>478</v>
      </c>
      <c r="R293">
        <v>542</v>
      </c>
      <c r="S293">
        <v>554</v>
      </c>
      <c r="T293">
        <v>638</v>
      </c>
      <c r="U293">
        <v>676</v>
      </c>
      <c r="V293">
        <v>611</v>
      </c>
      <c r="W293">
        <v>502</v>
      </c>
      <c r="X293">
        <v>381</v>
      </c>
      <c r="Y293">
        <v>388</v>
      </c>
      <c r="Z293">
        <v>366</v>
      </c>
      <c r="AA293">
        <v>347</v>
      </c>
      <c r="AB293">
        <v>372</v>
      </c>
      <c r="AC293">
        <v>432</v>
      </c>
    </row>
    <row r="294" spans="1:29" x14ac:dyDescent="0.35">
      <c r="A294" t="s">
        <v>1242</v>
      </c>
      <c r="B294" s="3">
        <v>0</v>
      </c>
      <c r="C294" s="3">
        <v>0</v>
      </c>
      <c r="D294" s="3">
        <v>0</v>
      </c>
      <c r="E294" s="3">
        <v>0</v>
      </c>
      <c r="F294" s="3">
        <v>0</v>
      </c>
      <c r="G294" s="3">
        <v>0</v>
      </c>
      <c r="H294" s="3">
        <v>0</v>
      </c>
      <c r="I294" s="3">
        <v>0</v>
      </c>
      <c r="J294" s="3">
        <v>2E-3</v>
      </c>
      <c r="K294" s="3">
        <v>0.49299999999999999</v>
      </c>
      <c r="L294" s="3">
        <v>0.72699999999999998</v>
      </c>
      <c r="M294" s="3">
        <v>0.79100000000000004</v>
      </c>
      <c r="N294" s="3">
        <v>0.875</v>
      </c>
      <c r="O294" s="3">
        <v>0.85799999999999998</v>
      </c>
      <c r="P294" s="3">
        <v>0.35299999999999998</v>
      </c>
      <c r="Q294" s="3">
        <v>0</v>
      </c>
      <c r="R294" s="3">
        <v>7.0000000000000001E-3</v>
      </c>
      <c r="S294" s="3">
        <v>0</v>
      </c>
      <c r="T294" s="3">
        <v>0.188</v>
      </c>
      <c r="U294" s="3">
        <v>0.40200000000000002</v>
      </c>
      <c r="V294" s="3">
        <v>0.35099999999999998</v>
      </c>
      <c r="W294" s="3">
        <v>0.28100000000000003</v>
      </c>
      <c r="X294" s="3">
        <v>1E-3</v>
      </c>
      <c r="Y294" s="3">
        <v>2E-3</v>
      </c>
      <c r="Z294" s="3">
        <v>0</v>
      </c>
      <c r="AA294" s="3">
        <v>0</v>
      </c>
      <c r="AB294" s="3">
        <v>0</v>
      </c>
      <c r="AC294" s="3">
        <v>0</v>
      </c>
    </row>
    <row r="295" spans="1:29" x14ac:dyDescent="0.35">
      <c r="A295" t="s">
        <v>1243</v>
      </c>
      <c r="B295">
        <v>0</v>
      </c>
      <c r="C295">
        <v>0</v>
      </c>
      <c r="D295">
        <v>0</v>
      </c>
      <c r="E295">
        <v>0</v>
      </c>
      <c r="F295">
        <v>0</v>
      </c>
      <c r="G295">
        <v>0</v>
      </c>
      <c r="H295">
        <v>0</v>
      </c>
      <c r="I295">
        <v>0</v>
      </c>
      <c r="J295">
        <v>1</v>
      </c>
      <c r="K295">
        <v>238</v>
      </c>
      <c r="L295">
        <v>356</v>
      </c>
      <c r="M295">
        <v>399</v>
      </c>
      <c r="N295">
        <v>447</v>
      </c>
      <c r="O295">
        <v>406</v>
      </c>
      <c r="P295">
        <v>143</v>
      </c>
      <c r="Q295">
        <v>0</v>
      </c>
      <c r="R295">
        <v>4</v>
      </c>
      <c r="S295">
        <v>0</v>
      </c>
      <c r="T295">
        <v>101</v>
      </c>
      <c r="U295">
        <v>194</v>
      </c>
      <c r="V295">
        <v>159</v>
      </c>
      <c r="W295">
        <v>110</v>
      </c>
      <c r="X295">
        <v>0</v>
      </c>
      <c r="Y295">
        <v>1</v>
      </c>
      <c r="Z295">
        <v>0</v>
      </c>
      <c r="AA295">
        <v>0</v>
      </c>
      <c r="AB295">
        <v>0</v>
      </c>
      <c r="AC295">
        <v>0</v>
      </c>
    </row>
    <row r="296" spans="1:29" x14ac:dyDescent="0.35">
      <c r="A296" t="s">
        <v>1244</v>
      </c>
      <c r="B296">
        <v>305</v>
      </c>
      <c r="C296">
        <v>307</v>
      </c>
      <c r="D296">
        <v>315</v>
      </c>
      <c r="E296">
        <v>485</v>
      </c>
      <c r="F296">
        <v>287</v>
      </c>
      <c r="G296">
        <v>398</v>
      </c>
      <c r="H296">
        <v>254</v>
      </c>
      <c r="I296">
        <v>301</v>
      </c>
      <c r="J296">
        <v>456</v>
      </c>
      <c r="K296">
        <v>483</v>
      </c>
      <c r="L296">
        <v>489</v>
      </c>
      <c r="M296">
        <v>505</v>
      </c>
      <c r="N296">
        <v>511</v>
      </c>
      <c r="O296">
        <v>473</v>
      </c>
      <c r="P296">
        <v>405</v>
      </c>
      <c r="Q296">
        <v>478</v>
      </c>
      <c r="R296">
        <v>538</v>
      </c>
      <c r="S296">
        <v>554</v>
      </c>
      <c r="T296">
        <v>537</v>
      </c>
      <c r="U296">
        <v>482</v>
      </c>
      <c r="V296">
        <v>452</v>
      </c>
      <c r="W296">
        <v>392</v>
      </c>
      <c r="X296">
        <v>381</v>
      </c>
      <c r="Y296">
        <v>387</v>
      </c>
      <c r="Z296">
        <v>366</v>
      </c>
      <c r="AA296">
        <v>347</v>
      </c>
      <c r="AB296">
        <v>372</v>
      </c>
      <c r="AC296">
        <v>432</v>
      </c>
    </row>
    <row r="297" spans="1:29" x14ac:dyDescent="0.35">
      <c r="A297" t="s">
        <v>1245</v>
      </c>
      <c r="B297" s="7">
        <v>9.99</v>
      </c>
      <c r="C297" s="7">
        <v>9.99</v>
      </c>
      <c r="D297" s="7">
        <v>9.99</v>
      </c>
      <c r="E297" s="7">
        <v>9.99</v>
      </c>
      <c r="F297" s="7">
        <v>9.99</v>
      </c>
      <c r="G297" s="7">
        <v>9.99</v>
      </c>
      <c r="H297" s="7">
        <v>9.99</v>
      </c>
      <c r="I297" s="7">
        <v>9.99</v>
      </c>
      <c r="J297" s="7">
        <v>9.94</v>
      </c>
      <c r="K297" s="7">
        <v>8.99</v>
      </c>
      <c r="L297" s="7">
        <v>7.99</v>
      </c>
      <c r="M297" s="7">
        <v>7.95</v>
      </c>
      <c r="N297" s="7">
        <v>7.96</v>
      </c>
      <c r="O297" s="7">
        <v>7.95</v>
      </c>
      <c r="P297" s="7">
        <v>8.49</v>
      </c>
      <c r="Q297" s="7">
        <v>9.99</v>
      </c>
      <c r="R297" s="7">
        <v>9.9</v>
      </c>
      <c r="S297" s="7">
        <v>9.98</v>
      </c>
      <c r="T297" s="7">
        <v>9.27</v>
      </c>
      <c r="U297" s="7">
        <v>8.2899999999999991</v>
      </c>
      <c r="V297" s="7">
        <v>8.2899999999999991</v>
      </c>
      <c r="W297" s="7">
        <v>8.73</v>
      </c>
      <c r="X297" s="7">
        <v>9.98</v>
      </c>
      <c r="Y297" s="7">
        <v>9.9499999999999993</v>
      </c>
      <c r="Z297" s="7">
        <v>9.99</v>
      </c>
      <c r="AA297" s="7">
        <v>9.81</v>
      </c>
      <c r="AB297" s="7">
        <v>9.99</v>
      </c>
      <c r="AC297" s="7">
        <v>9.99</v>
      </c>
    </row>
    <row r="299" spans="1:29" x14ac:dyDescent="0.35">
      <c r="A299" t="s">
        <v>1254</v>
      </c>
      <c r="B299" s="5">
        <v>46026</v>
      </c>
      <c r="C299" s="5">
        <v>46033</v>
      </c>
      <c r="D299" s="5">
        <v>46040</v>
      </c>
      <c r="E299" s="5">
        <v>46047</v>
      </c>
      <c r="F299" s="5">
        <v>46054</v>
      </c>
      <c r="G299" s="5">
        <v>46061</v>
      </c>
      <c r="H299" s="5">
        <v>46068</v>
      </c>
      <c r="I299" s="5">
        <v>46075</v>
      </c>
      <c r="J299" s="5">
        <v>46082</v>
      </c>
      <c r="K299" s="5">
        <v>46089</v>
      </c>
      <c r="L299" s="5">
        <v>46096</v>
      </c>
      <c r="M299" s="5">
        <v>46103</v>
      </c>
      <c r="N299" s="5">
        <v>46110</v>
      </c>
      <c r="O299" s="5">
        <v>46117</v>
      </c>
      <c r="P299" s="5">
        <v>46124</v>
      </c>
      <c r="Q299" s="5">
        <v>46131</v>
      </c>
      <c r="R299" s="5">
        <v>46138</v>
      </c>
      <c r="S299" s="5">
        <v>46145</v>
      </c>
      <c r="T299" s="5">
        <v>46152</v>
      </c>
      <c r="U299" s="5">
        <v>46159</v>
      </c>
      <c r="V299" s="5">
        <v>46166</v>
      </c>
      <c r="W299" s="5">
        <v>46173</v>
      </c>
      <c r="X299" s="5">
        <v>46180</v>
      </c>
      <c r="Y299" s="5">
        <v>46187</v>
      </c>
      <c r="Z299" s="5">
        <v>46194</v>
      </c>
      <c r="AA299" s="5">
        <v>46201</v>
      </c>
      <c r="AB299" s="5">
        <v>46208</v>
      </c>
      <c r="AC299" s="5">
        <v>46215</v>
      </c>
    </row>
    <row r="300" spans="1:29" x14ac:dyDescent="0.35">
      <c r="A300" t="s">
        <v>1293</v>
      </c>
      <c r="B300" s="3">
        <v>0</v>
      </c>
      <c r="C300" s="3">
        <v>0</v>
      </c>
      <c r="D300" s="3">
        <v>0</v>
      </c>
      <c r="E300" s="3">
        <v>0</v>
      </c>
      <c r="F300" s="3">
        <v>0</v>
      </c>
      <c r="G300" s="3">
        <v>0</v>
      </c>
      <c r="H300" s="3">
        <v>0</v>
      </c>
      <c r="I300" s="3">
        <v>0</v>
      </c>
      <c r="J300" s="3">
        <v>2E-3</v>
      </c>
      <c r="K300" s="3">
        <v>0.39200000000000002</v>
      </c>
      <c r="L300" s="3">
        <v>0.45500000000000002</v>
      </c>
      <c r="M300" s="3">
        <v>0.51600000000000001</v>
      </c>
      <c r="N300" s="3">
        <v>0.58199999999999996</v>
      </c>
      <c r="O300" s="3">
        <v>0.56799999999999995</v>
      </c>
      <c r="P300" s="3">
        <v>0.23300000000000001</v>
      </c>
      <c r="Q300" s="3">
        <v>0</v>
      </c>
      <c r="R300" s="3">
        <v>0</v>
      </c>
      <c r="S300" s="3">
        <v>0</v>
      </c>
      <c r="T300" s="3">
        <v>0.14399999999999999</v>
      </c>
      <c r="U300" s="3">
        <v>0.251</v>
      </c>
      <c r="V300" s="3">
        <v>0.21299999999999999</v>
      </c>
      <c r="W300" s="3">
        <v>0.20399999999999999</v>
      </c>
      <c r="X300" s="3">
        <v>0</v>
      </c>
      <c r="Y300" s="3">
        <v>0</v>
      </c>
      <c r="Z300" s="3">
        <v>0</v>
      </c>
      <c r="AA300" s="3">
        <v>0</v>
      </c>
      <c r="AB300" s="3">
        <v>0</v>
      </c>
      <c r="AC300" s="3">
        <v>0</v>
      </c>
    </row>
    <row r="301" spans="1:29" x14ac:dyDescent="0.35">
      <c r="A301" t="s">
        <v>1247</v>
      </c>
      <c r="B301" t="s">
        <v>1272</v>
      </c>
      <c r="C301" t="s">
        <v>1272</v>
      </c>
      <c r="D301" t="s">
        <v>1272</v>
      </c>
      <c r="E301" t="s">
        <v>1272</v>
      </c>
      <c r="F301" t="s">
        <v>1272</v>
      </c>
      <c r="G301" t="s">
        <v>1272</v>
      </c>
      <c r="H301" t="s">
        <v>1272</v>
      </c>
      <c r="I301" t="s">
        <v>1272</v>
      </c>
      <c r="J301" s="3">
        <v>0.13</v>
      </c>
      <c r="K301" s="3">
        <v>8.8999999999999996E-2</v>
      </c>
      <c r="L301" s="3">
        <v>0.158</v>
      </c>
      <c r="M301" s="3">
        <v>0.154</v>
      </c>
      <c r="N301" s="3">
        <v>0.155</v>
      </c>
      <c r="O301" s="3">
        <v>0.154</v>
      </c>
      <c r="P301" s="3">
        <v>0.10299999999999999</v>
      </c>
      <c r="Q301" t="s">
        <v>1272</v>
      </c>
      <c r="R301" s="3">
        <v>0.8</v>
      </c>
      <c r="S301" t="s">
        <v>1272</v>
      </c>
      <c r="T301" s="3">
        <v>6.9000000000000006E-2</v>
      </c>
      <c r="U301" s="3">
        <v>0.107</v>
      </c>
      <c r="V301" s="3">
        <v>0.10199999999999999</v>
      </c>
      <c r="W301" s="3">
        <v>7.3999999999999996E-2</v>
      </c>
      <c r="X301" s="3">
        <v>7.2999999999999995E-2</v>
      </c>
      <c r="Y301" s="3">
        <v>0.8</v>
      </c>
      <c r="Z301" t="s">
        <v>1272</v>
      </c>
      <c r="AA301" s="3">
        <v>0.38900000000000001</v>
      </c>
      <c r="AB301" t="s">
        <v>1272</v>
      </c>
      <c r="AC301" t="s">
        <v>1272</v>
      </c>
    </row>
    <row r="302" spans="1:29" x14ac:dyDescent="0.35">
      <c r="A302" t="s">
        <v>1248</v>
      </c>
      <c r="B302" t="s">
        <v>1272</v>
      </c>
      <c r="C302" t="s">
        <v>1272</v>
      </c>
      <c r="D302" t="s">
        <v>1272</v>
      </c>
      <c r="E302" t="s">
        <v>1272</v>
      </c>
      <c r="F302" t="s">
        <v>1272</v>
      </c>
      <c r="G302" t="s">
        <v>1272</v>
      </c>
      <c r="H302" t="s">
        <v>1272</v>
      </c>
      <c r="I302" t="s">
        <v>1272</v>
      </c>
      <c r="J302" s="7">
        <v>1.29</v>
      </c>
      <c r="K302" s="7">
        <v>0.86</v>
      </c>
      <c r="L302" s="7">
        <v>1.5</v>
      </c>
      <c r="M302" s="7">
        <v>1.45</v>
      </c>
      <c r="N302" s="7">
        <v>1.46</v>
      </c>
      <c r="O302" s="7">
        <v>1.45</v>
      </c>
      <c r="P302" s="7">
        <v>0.96</v>
      </c>
      <c r="Q302" t="s">
        <v>1272</v>
      </c>
      <c r="R302" s="7">
        <v>7.98</v>
      </c>
      <c r="S302" t="s">
        <v>1272</v>
      </c>
      <c r="T302" s="7">
        <v>0.67</v>
      </c>
      <c r="U302" s="7">
        <v>1</v>
      </c>
      <c r="V302" s="7">
        <v>0.94</v>
      </c>
      <c r="W302" s="7">
        <v>0.69</v>
      </c>
      <c r="X302" s="7">
        <v>0.73</v>
      </c>
      <c r="Y302" s="7">
        <v>7.99</v>
      </c>
      <c r="Z302" t="s">
        <v>1272</v>
      </c>
      <c r="AA302" s="7">
        <v>3.81</v>
      </c>
      <c r="AB302" t="s">
        <v>1272</v>
      </c>
      <c r="AC302" t="s">
        <v>1272</v>
      </c>
    </row>
    <row r="303" spans="1:29" x14ac:dyDescent="0.35">
      <c r="A303" t="s">
        <v>1249</v>
      </c>
      <c r="B303" t="s">
        <v>1272</v>
      </c>
      <c r="C303" t="s">
        <v>1272</v>
      </c>
      <c r="D303" t="s">
        <v>1272</v>
      </c>
      <c r="E303" t="s">
        <v>1272</v>
      </c>
      <c r="F303" t="s">
        <v>1272</v>
      </c>
      <c r="G303" t="s">
        <v>1272</v>
      </c>
      <c r="H303" t="s">
        <v>1272</v>
      </c>
      <c r="I303" t="s">
        <v>1272</v>
      </c>
      <c r="J303" s="7">
        <v>8.66</v>
      </c>
      <c r="K303" s="7">
        <v>8.7799999999999994</v>
      </c>
      <c r="L303" s="7">
        <v>7.99</v>
      </c>
      <c r="M303" s="7">
        <v>7.95</v>
      </c>
      <c r="N303" s="7">
        <v>7.97</v>
      </c>
      <c r="O303" s="7">
        <v>7.97</v>
      </c>
      <c r="P303" s="7">
        <v>8.36</v>
      </c>
      <c r="Q303" t="s">
        <v>1272</v>
      </c>
      <c r="R303" s="7">
        <v>2</v>
      </c>
      <c r="S303" t="s">
        <v>1272</v>
      </c>
      <c r="T303" s="7">
        <v>8.9600000000000009</v>
      </c>
      <c r="U303" s="7">
        <v>8.2899999999999991</v>
      </c>
      <c r="V303" s="7">
        <v>8.2899999999999991</v>
      </c>
      <c r="W303" s="7">
        <v>8.6</v>
      </c>
      <c r="X303" s="7">
        <v>9.25</v>
      </c>
      <c r="Y303" s="7">
        <v>2</v>
      </c>
      <c r="Z303" t="s">
        <v>1272</v>
      </c>
      <c r="AA303" s="7">
        <v>6</v>
      </c>
      <c r="AB303" t="s">
        <v>1272</v>
      </c>
      <c r="AC303" t="s">
        <v>1272</v>
      </c>
    </row>
    <row r="304" spans="1:29" x14ac:dyDescent="0.35">
      <c r="A304" t="s">
        <v>1245</v>
      </c>
      <c r="B304" s="7">
        <v>9.99</v>
      </c>
      <c r="C304" s="7">
        <v>9.99</v>
      </c>
      <c r="D304" s="7">
        <v>9.99</v>
      </c>
      <c r="E304" s="7">
        <v>9.99</v>
      </c>
      <c r="F304" s="7">
        <v>9.99</v>
      </c>
      <c r="G304" s="7">
        <v>9.99</v>
      </c>
      <c r="H304" s="7">
        <v>9.99</v>
      </c>
      <c r="I304" s="7">
        <v>9.99</v>
      </c>
      <c r="J304" s="7">
        <v>9.94</v>
      </c>
      <c r="K304" s="7">
        <v>8.99</v>
      </c>
      <c r="L304" s="7">
        <v>7.99</v>
      </c>
      <c r="M304" s="7">
        <v>7.95</v>
      </c>
      <c r="N304" s="7">
        <v>7.96</v>
      </c>
      <c r="O304" s="7">
        <v>7.95</v>
      </c>
      <c r="P304" s="7">
        <v>8.49</v>
      </c>
      <c r="Q304" s="7">
        <v>9.99</v>
      </c>
      <c r="R304" s="7">
        <v>9.9</v>
      </c>
      <c r="S304" s="7">
        <v>9.98</v>
      </c>
      <c r="T304" s="7">
        <v>9.27</v>
      </c>
      <c r="U304" s="7">
        <v>8.2899999999999991</v>
      </c>
      <c r="V304" s="7">
        <v>8.2899999999999991</v>
      </c>
      <c r="W304" s="7">
        <v>8.73</v>
      </c>
      <c r="X304" s="7">
        <v>9.98</v>
      </c>
      <c r="Y304" s="7">
        <v>9.9499999999999993</v>
      </c>
      <c r="Z304" s="7">
        <v>9.99</v>
      </c>
      <c r="AA304" s="7">
        <v>9.81</v>
      </c>
      <c r="AB304" s="7">
        <v>9.99</v>
      </c>
      <c r="AC304" s="7">
        <v>9.99</v>
      </c>
    </row>
    <row r="306" spans="1:29" s="66" customFormat="1" x14ac:dyDescent="0.35"/>
    <row r="307" spans="1:29" x14ac:dyDescent="0.35">
      <c r="A307" s="49" t="s">
        <v>63</v>
      </c>
    </row>
    <row r="309" spans="1:29" x14ac:dyDescent="0.35">
      <c r="A309" t="s">
        <v>1240</v>
      </c>
      <c r="B309" s="72">
        <v>46026</v>
      </c>
      <c r="C309" s="72">
        <v>46033</v>
      </c>
      <c r="D309" s="72">
        <v>46040</v>
      </c>
      <c r="E309" s="72">
        <v>46047</v>
      </c>
      <c r="F309" s="5">
        <v>46054</v>
      </c>
      <c r="G309" s="5">
        <v>46061</v>
      </c>
      <c r="H309" s="5">
        <v>46068</v>
      </c>
      <c r="I309" s="5">
        <v>46075</v>
      </c>
      <c r="J309" s="5">
        <v>46082</v>
      </c>
      <c r="K309" s="5">
        <v>46089</v>
      </c>
      <c r="L309" s="5">
        <v>46096</v>
      </c>
      <c r="M309" s="5">
        <v>46103</v>
      </c>
      <c r="N309" s="5">
        <v>46110</v>
      </c>
      <c r="O309" s="72">
        <v>46117</v>
      </c>
      <c r="P309" s="72">
        <v>46124</v>
      </c>
      <c r="Q309" s="72">
        <v>46131</v>
      </c>
      <c r="R309" s="72">
        <v>46138</v>
      </c>
      <c r="S309" s="5">
        <v>46145</v>
      </c>
      <c r="T309" s="5">
        <v>46152</v>
      </c>
      <c r="U309" s="5">
        <v>46159</v>
      </c>
      <c r="V309" s="5">
        <v>46166</v>
      </c>
      <c r="W309" s="5">
        <v>46173</v>
      </c>
      <c r="X309" s="5">
        <v>46180</v>
      </c>
      <c r="Y309" s="5">
        <v>46187</v>
      </c>
      <c r="Z309" s="5">
        <v>46194</v>
      </c>
      <c r="AA309" s="5">
        <v>46201</v>
      </c>
      <c r="AB309" s="5">
        <v>46208</v>
      </c>
      <c r="AC309" s="5">
        <v>46215</v>
      </c>
    </row>
    <row r="310" spans="1:29" x14ac:dyDescent="0.35">
      <c r="A310" t="s">
        <v>1241</v>
      </c>
      <c r="B310" s="6">
        <v>1619</v>
      </c>
      <c r="C310" s="6">
        <v>1816</v>
      </c>
      <c r="D310" s="6">
        <v>2513</v>
      </c>
      <c r="E310" s="6">
        <v>1876</v>
      </c>
      <c r="F310" s="6">
        <v>1342</v>
      </c>
      <c r="G310" s="6">
        <v>1338</v>
      </c>
      <c r="H310" s="6">
        <v>1415</v>
      </c>
      <c r="I310" s="6">
        <v>1302</v>
      </c>
      <c r="J310" s="6">
        <v>1360</v>
      </c>
      <c r="K310" s="6">
        <v>1183</v>
      </c>
      <c r="L310" s="6">
        <v>1226</v>
      </c>
      <c r="M310" s="6">
        <v>1216</v>
      </c>
      <c r="N310" s="6">
        <v>1281</v>
      </c>
      <c r="O310" s="6">
        <v>1823</v>
      </c>
      <c r="P310" s="6">
        <v>1749</v>
      </c>
      <c r="Q310" s="6">
        <v>1681</v>
      </c>
      <c r="R310" s="6">
        <v>1501</v>
      </c>
      <c r="S310">
        <v>932</v>
      </c>
      <c r="T310">
        <v>891</v>
      </c>
      <c r="U310">
        <v>897</v>
      </c>
      <c r="V310">
        <v>759</v>
      </c>
      <c r="W310">
        <v>905</v>
      </c>
      <c r="X310">
        <v>788</v>
      </c>
      <c r="Y310">
        <v>871</v>
      </c>
      <c r="Z310">
        <v>753</v>
      </c>
      <c r="AA310">
        <v>894</v>
      </c>
      <c r="AB310" s="6">
        <v>1637</v>
      </c>
      <c r="AC310" s="6">
        <v>1670</v>
      </c>
    </row>
    <row r="311" spans="1:29" x14ac:dyDescent="0.35">
      <c r="A311" t="s">
        <v>1242</v>
      </c>
      <c r="B311" s="60">
        <v>0.46899999999999997</v>
      </c>
      <c r="C311" s="60">
        <v>0.44</v>
      </c>
      <c r="D311" s="60">
        <v>0.70099999999999996</v>
      </c>
      <c r="E311" s="60">
        <v>0.41199999999999998</v>
      </c>
      <c r="F311" s="3">
        <v>0.128</v>
      </c>
      <c r="G311" s="3">
        <v>0</v>
      </c>
      <c r="H311" s="3">
        <v>0</v>
      </c>
      <c r="I311" s="3">
        <v>4.0000000000000001E-3</v>
      </c>
      <c r="J311" s="3">
        <v>5.0000000000000001E-3</v>
      </c>
      <c r="K311" s="3">
        <v>7.0000000000000001E-3</v>
      </c>
      <c r="L311" s="3">
        <v>2E-3</v>
      </c>
      <c r="M311" s="3">
        <v>4.0000000000000001E-3</v>
      </c>
      <c r="N311" s="3">
        <v>1.4999999999999999E-2</v>
      </c>
      <c r="O311" s="60">
        <v>0.59599999999999997</v>
      </c>
      <c r="P311" s="60">
        <v>0.56000000000000005</v>
      </c>
      <c r="Q311" s="60">
        <v>0.47299999999999998</v>
      </c>
      <c r="R311" s="60">
        <v>0.45700000000000002</v>
      </c>
      <c r="S311" s="3">
        <v>0</v>
      </c>
      <c r="T311" s="3">
        <v>0</v>
      </c>
      <c r="U311" s="3">
        <v>0</v>
      </c>
      <c r="V311" s="3">
        <v>0.01</v>
      </c>
      <c r="W311" s="3">
        <v>3.0000000000000001E-3</v>
      </c>
      <c r="X311" s="3">
        <v>1E-3</v>
      </c>
      <c r="Y311" s="3">
        <v>0</v>
      </c>
      <c r="Z311" s="3">
        <v>0</v>
      </c>
      <c r="AA311" s="3">
        <v>3.0000000000000001E-3</v>
      </c>
      <c r="AB311" s="3">
        <v>1.1000000000000001</v>
      </c>
      <c r="AC311" s="3">
        <v>1.1819999999999999</v>
      </c>
    </row>
    <row r="312" spans="1:29" x14ac:dyDescent="0.35">
      <c r="A312" t="s">
        <v>1243</v>
      </c>
      <c r="B312">
        <v>517</v>
      </c>
      <c r="C312">
        <v>555</v>
      </c>
      <c r="D312" s="6">
        <v>1036</v>
      </c>
      <c r="E312">
        <v>547</v>
      </c>
      <c r="F312">
        <v>153</v>
      </c>
      <c r="G312">
        <v>0</v>
      </c>
      <c r="H312">
        <v>0</v>
      </c>
      <c r="I312">
        <v>6</v>
      </c>
      <c r="J312">
        <v>6</v>
      </c>
      <c r="K312">
        <v>9</v>
      </c>
      <c r="L312">
        <v>2</v>
      </c>
      <c r="M312">
        <v>5</v>
      </c>
      <c r="N312">
        <v>20</v>
      </c>
      <c r="O312">
        <v>681</v>
      </c>
      <c r="P312">
        <v>628</v>
      </c>
      <c r="Q312">
        <v>540</v>
      </c>
      <c r="R312">
        <v>471</v>
      </c>
      <c r="S312">
        <v>0</v>
      </c>
      <c r="T312">
        <v>0</v>
      </c>
      <c r="U312">
        <v>0</v>
      </c>
      <c r="V312">
        <v>7</v>
      </c>
      <c r="W312">
        <v>3</v>
      </c>
      <c r="X312">
        <v>0</v>
      </c>
      <c r="Y312">
        <v>0</v>
      </c>
      <c r="Z312">
        <v>0</v>
      </c>
      <c r="AA312">
        <v>3</v>
      </c>
      <c r="AB312">
        <v>858</v>
      </c>
      <c r="AC312">
        <v>905</v>
      </c>
    </row>
    <row r="313" spans="1:29" x14ac:dyDescent="0.35">
      <c r="A313" t="s">
        <v>1244</v>
      </c>
      <c r="B313" s="6">
        <v>1102</v>
      </c>
      <c r="C313" s="6">
        <v>1261</v>
      </c>
      <c r="D313" s="6">
        <v>1478</v>
      </c>
      <c r="E313" s="6">
        <v>1329</v>
      </c>
      <c r="F313" s="6">
        <v>1190</v>
      </c>
      <c r="G313" s="6">
        <v>1338</v>
      </c>
      <c r="H313" s="6">
        <v>1415</v>
      </c>
      <c r="I313" s="6">
        <v>1296</v>
      </c>
      <c r="J313" s="6">
        <v>1354</v>
      </c>
      <c r="K313" s="6">
        <v>1174</v>
      </c>
      <c r="L313" s="6">
        <v>1224</v>
      </c>
      <c r="M313" s="6">
        <v>1212</v>
      </c>
      <c r="N313" s="6">
        <v>1262</v>
      </c>
      <c r="O313" s="6">
        <v>1142</v>
      </c>
      <c r="P313" s="6">
        <v>1121</v>
      </c>
      <c r="Q313" s="6">
        <v>1141</v>
      </c>
      <c r="R313" s="6">
        <v>1030</v>
      </c>
      <c r="S313">
        <v>932</v>
      </c>
      <c r="T313">
        <v>891</v>
      </c>
      <c r="U313">
        <v>897</v>
      </c>
      <c r="V313">
        <v>752</v>
      </c>
      <c r="W313">
        <v>902</v>
      </c>
      <c r="X313">
        <v>788</v>
      </c>
      <c r="Y313">
        <v>871</v>
      </c>
      <c r="Z313">
        <v>753</v>
      </c>
      <c r="AA313">
        <v>891</v>
      </c>
      <c r="AB313">
        <v>780</v>
      </c>
      <c r="AC313">
        <v>766</v>
      </c>
    </row>
    <row r="314" spans="1:29" x14ac:dyDescent="0.35">
      <c r="A314" t="s">
        <v>1245</v>
      </c>
      <c r="B314" s="7">
        <v>2.27</v>
      </c>
      <c r="C314" s="7">
        <v>2.27</v>
      </c>
      <c r="D314" s="7">
        <v>1.98</v>
      </c>
      <c r="E314" s="7">
        <v>2.2799999999999998</v>
      </c>
      <c r="F314" s="7">
        <v>2.87</v>
      </c>
      <c r="G314" s="7">
        <v>2.86</v>
      </c>
      <c r="H314" s="7">
        <v>2.87</v>
      </c>
      <c r="I314" s="7">
        <v>2.87</v>
      </c>
      <c r="J314" s="7">
        <v>2.88</v>
      </c>
      <c r="K314" s="7">
        <v>2.87</v>
      </c>
      <c r="L314" s="7">
        <v>2.87</v>
      </c>
      <c r="M314" s="7">
        <v>2.87</v>
      </c>
      <c r="N314" s="7">
        <v>2.87</v>
      </c>
      <c r="O314" s="7">
        <v>2.48</v>
      </c>
      <c r="P314" s="7">
        <v>2.48</v>
      </c>
      <c r="Q314" s="7">
        <v>2.48</v>
      </c>
      <c r="R314" s="7">
        <v>2.48</v>
      </c>
      <c r="S314" s="7">
        <v>2.97</v>
      </c>
      <c r="T314" s="7">
        <v>2.97</v>
      </c>
      <c r="U314" s="7">
        <v>2.97</v>
      </c>
      <c r="V314" s="7">
        <v>2.97</v>
      </c>
      <c r="W314" s="7">
        <v>2.96</v>
      </c>
      <c r="X314" s="7">
        <v>2.97</v>
      </c>
      <c r="Y314" s="7">
        <v>2.98</v>
      </c>
      <c r="Z314" s="7">
        <v>2.97</v>
      </c>
      <c r="AA314" s="7">
        <v>2.97</v>
      </c>
      <c r="AB314" s="7">
        <v>2.31</v>
      </c>
      <c r="AC314" s="7">
        <v>2.41</v>
      </c>
    </row>
    <row r="317" spans="1:29" x14ac:dyDescent="0.35">
      <c r="A317" t="s">
        <v>1240</v>
      </c>
      <c r="B317" s="72">
        <v>46026</v>
      </c>
      <c r="C317" s="72">
        <v>46033</v>
      </c>
      <c r="D317" s="72">
        <v>46040</v>
      </c>
      <c r="E317" s="72">
        <v>46047</v>
      </c>
      <c r="F317" s="5">
        <v>46054</v>
      </c>
      <c r="G317" s="5">
        <v>46061</v>
      </c>
      <c r="H317" s="5">
        <v>46068</v>
      </c>
      <c r="I317" s="5">
        <v>46075</v>
      </c>
      <c r="J317" s="5">
        <v>46082</v>
      </c>
      <c r="K317" s="5">
        <v>46089</v>
      </c>
      <c r="L317" s="5">
        <v>46096</v>
      </c>
      <c r="M317" s="5">
        <v>46103</v>
      </c>
      <c r="N317" s="5">
        <v>46110</v>
      </c>
      <c r="O317" s="72">
        <v>46117</v>
      </c>
      <c r="P317" s="72">
        <v>46124</v>
      </c>
      <c r="Q317" s="72">
        <v>46131</v>
      </c>
      <c r="R317" s="72">
        <v>46138</v>
      </c>
      <c r="S317" s="5">
        <v>46145</v>
      </c>
      <c r="T317" s="5">
        <v>46152</v>
      </c>
      <c r="U317" s="5">
        <v>46159</v>
      </c>
      <c r="V317" s="5">
        <v>46166</v>
      </c>
      <c r="W317" s="5">
        <v>46173</v>
      </c>
      <c r="X317" s="5">
        <v>46180</v>
      </c>
      <c r="Y317" s="5">
        <v>46187</v>
      </c>
      <c r="Z317" s="5">
        <v>46194</v>
      </c>
      <c r="AA317" s="5">
        <v>46201</v>
      </c>
      <c r="AB317" s="5">
        <v>46208</v>
      </c>
      <c r="AC317" s="5">
        <v>46215</v>
      </c>
    </row>
    <row r="318" spans="1:29" x14ac:dyDescent="0.35">
      <c r="A318" t="s">
        <v>1293</v>
      </c>
      <c r="B318" s="3">
        <v>0.28999999999999998</v>
      </c>
      <c r="C318" s="3">
        <v>0.24199999999999999</v>
      </c>
      <c r="D318" s="3">
        <v>0.26600000000000001</v>
      </c>
      <c r="E318" s="3">
        <v>0.255</v>
      </c>
      <c r="F318" s="3">
        <v>0.127</v>
      </c>
      <c r="G318" s="3">
        <v>0</v>
      </c>
      <c r="H318" s="3">
        <v>0</v>
      </c>
      <c r="I318" s="3">
        <v>3.0000000000000001E-3</v>
      </c>
      <c r="J318" s="3">
        <v>4.0000000000000001E-3</v>
      </c>
      <c r="K318" s="3">
        <v>7.0000000000000001E-3</v>
      </c>
      <c r="L318" s="3">
        <v>1E-3</v>
      </c>
      <c r="M318" s="3">
        <v>3.0000000000000001E-3</v>
      </c>
      <c r="N318" s="3">
        <v>1.2999999999999999E-2</v>
      </c>
      <c r="O318" s="3">
        <v>0.438</v>
      </c>
      <c r="P318" s="3">
        <v>0.41</v>
      </c>
      <c r="Q318" s="3">
        <v>0.34200000000000003</v>
      </c>
      <c r="R318" s="3">
        <v>0.35</v>
      </c>
      <c r="S318" s="3">
        <v>0</v>
      </c>
      <c r="T318" s="3">
        <v>0</v>
      </c>
      <c r="U318" s="3">
        <v>0</v>
      </c>
      <c r="V318" s="3">
        <v>8.0000000000000002E-3</v>
      </c>
      <c r="W318" s="3">
        <v>1E-3</v>
      </c>
      <c r="X318" s="3">
        <v>0</v>
      </c>
      <c r="Y318" s="3">
        <v>0</v>
      </c>
      <c r="Z318" s="3">
        <v>0</v>
      </c>
      <c r="AA318" s="3">
        <v>2E-3</v>
      </c>
      <c r="AB318" s="3">
        <v>0.67700000000000005</v>
      </c>
      <c r="AC318" s="3">
        <v>0.82199999999999995</v>
      </c>
    </row>
    <row r="319" spans="1:29" x14ac:dyDescent="0.35">
      <c r="A319" t="s">
        <v>1247</v>
      </c>
      <c r="B319" s="60">
        <v>0.122</v>
      </c>
      <c r="C319" s="60">
        <v>0.13800000000000001</v>
      </c>
      <c r="D319" s="60">
        <v>0.25600000000000001</v>
      </c>
      <c r="E319" s="60">
        <v>0.111</v>
      </c>
      <c r="F319" s="3">
        <v>2E-3</v>
      </c>
      <c r="G319" s="3">
        <v>0.105</v>
      </c>
      <c r="H319" s="3">
        <v>7.6999999999999999E-2</v>
      </c>
      <c r="I319" s="3">
        <v>7.6999999999999999E-2</v>
      </c>
      <c r="J319" s="3">
        <v>9.5000000000000001E-2</v>
      </c>
      <c r="K319" s="3">
        <v>6.8000000000000005E-2</v>
      </c>
      <c r="L319" s="3">
        <v>0.06</v>
      </c>
      <c r="M319" s="3">
        <v>9.5000000000000001E-2</v>
      </c>
      <c r="N319" s="3">
        <v>6.9000000000000006E-2</v>
      </c>
      <c r="O319" s="3">
        <v>9.9000000000000005E-2</v>
      </c>
      <c r="P319" s="3">
        <v>9.6000000000000002E-2</v>
      </c>
      <c r="Q319" s="3">
        <v>8.8999999999999996E-2</v>
      </c>
      <c r="R319" s="3">
        <v>7.3999999999999996E-2</v>
      </c>
      <c r="S319" s="3">
        <v>0.104</v>
      </c>
      <c r="T319" t="s">
        <v>1272</v>
      </c>
      <c r="U319" s="3">
        <v>8.5999999999999993E-2</v>
      </c>
      <c r="V319" s="3">
        <v>9.1999999999999998E-2</v>
      </c>
      <c r="W319" s="3">
        <v>0.109</v>
      </c>
      <c r="X319" s="3">
        <v>9.1999999999999998E-2</v>
      </c>
      <c r="Y319" s="3">
        <v>0.107</v>
      </c>
      <c r="Z319" s="3">
        <v>7.6999999999999999E-2</v>
      </c>
      <c r="AA319" s="3">
        <v>8.5999999999999993E-2</v>
      </c>
      <c r="AB319" s="3">
        <v>0.20100000000000001</v>
      </c>
      <c r="AC319" s="3">
        <v>0.16500000000000001</v>
      </c>
    </row>
    <row r="320" spans="1:29" x14ac:dyDescent="0.35">
      <c r="A320" t="s">
        <v>1248</v>
      </c>
      <c r="B320" s="7">
        <v>0.31</v>
      </c>
      <c r="C320" s="7">
        <v>0.36</v>
      </c>
      <c r="D320" s="7">
        <v>0.68</v>
      </c>
      <c r="E320" s="7">
        <v>0.28999999999999998</v>
      </c>
      <c r="F320" s="7">
        <v>0.01</v>
      </c>
      <c r="G320" s="7">
        <v>0.3</v>
      </c>
      <c r="H320" s="7">
        <v>0.22</v>
      </c>
      <c r="I320" s="7">
        <v>0.22</v>
      </c>
      <c r="J320" s="7">
        <v>0.27</v>
      </c>
      <c r="K320" s="7">
        <v>0.2</v>
      </c>
      <c r="L320" s="7">
        <v>0.17</v>
      </c>
      <c r="M320" s="7">
        <v>0.27</v>
      </c>
      <c r="N320" s="7">
        <v>0.2</v>
      </c>
      <c r="O320" s="7">
        <v>0.27</v>
      </c>
      <c r="P320" s="7">
        <v>0.26</v>
      </c>
      <c r="Q320" s="7">
        <v>0.24</v>
      </c>
      <c r="R320" s="7">
        <v>0.2</v>
      </c>
      <c r="S320" s="7">
        <v>0.31</v>
      </c>
      <c r="T320" t="s">
        <v>1272</v>
      </c>
      <c r="U320" s="7">
        <v>0.26</v>
      </c>
      <c r="V320" s="7">
        <v>0.27</v>
      </c>
      <c r="W320" s="7">
        <v>0.32</v>
      </c>
      <c r="X320" s="7">
        <v>0.27</v>
      </c>
      <c r="Y320" s="7">
        <v>0.32</v>
      </c>
      <c r="Z320" s="7">
        <v>0.23</v>
      </c>
      <c r="AA320" s="7">
        <v>0.26</v>
      </c>
      <c r="AB320" s="7">
        <v>0.57999999999999996</v>
      </c>
      <c r="AC320" s="7">
        <v>0.48</v>
      </c>
    </row>
    <row r="321" spans="1:29" x14ac:dyDescent="0.35">
      <c r="A321" t="s">
        <v>1249</v>
      </c>
      <c r="B321" s="7">
        <v>2.27</v>
      </c>
      <c r="C321" s="7">
        <v>2.27</v>
      </c>
      <c r="D321" s="7">
        <v>1.98</v>
      </c>
      <c r="E321" s="7">
        <v>2.2799999999999998</v>
      </c>
      <c r="F321" s="7">
        <v>2.87</v>
      </c>
      <c r="G321" s="7">
        <v>2.56</v>
      </c>
      <c r="H321" s="7">
        <v>2.65</v>
      </c>
      <c r="I321" s="7">
        <v>2.65</v>
      </c>
      <c r="J321" s="7">
        <v>2.61</v>
      </c>
      <c r="K321" s="7">
        <v>2.67</v>
      </c>
      <c r="L321" s="7">
        <v>2.7</v>
      </c>
      <c r="M321" s="7">
        <v>2.6</v>
      </c>
      <c r="N321" s="7">
        <v>2.68</v>
      </c>
      <c r="O321" s="59">
        <v>2.48</v>
      </c>
      <c r="P321" s="59">
        <v>2.48</v>
      </c>
      <c r="Q321" s="59">
        <v>2.48</v>
      </c>
      <c r="R321" s="59">
        <v>2.48</v>
      </c>
      <c r="S321" s="7">
        <v>2.67</v>
      </c>
      <c r="T321" t="s">
        <v>1272</v>
      </c>
      <c r="U321" s="7">
        <v>2.71</v>
      </c>
      <c r="V321" s="7">
        <v>2.7</v>
      </c>
      <c r="W321" s="7">
        <v>2.65</v>
      </c>
      <c r="X321" s="7">
        <v>2.7</v>
      </c>
      <c r="Y321" s="7">
        <v>2.66</v>
      </c>
      <c r="Z321" s="7">
        <v>2.74</v>
      </c>
      <c r="AA321" s="7">
        <v>2.72</v>
      </c>
      <c r="AB321" s="7">
        <v>2.31</v>
      </c>
      <c r="AC321" s="7">
        <v>2.41</v>
      </c>
    </row>
    <row r="322" spans="1:29" x14ac:dyDescent="0.35">
      <c r="A322" t="s">
        <v>1245</v>
      </c>
      <c r="B322" s="7">
        <v>2.27</v>
      </c>
      <c r="C322" s="7">
        <v>2.27</v>
      </c>
      <c r="D322" s="7">
        <v>1.98</v>
      </c>
      <c r="E322" s="7">
        <v>2.2799999999999998</v>
      </c>
      <c r="F322" s="7">
        <v>2.87</v>
      </c>
      <c r="G322" s="7">
        <v>2.86</v>
      </c>
      <c r="H322" s="7">
        <v>2.87</v>
      </c>
      <c r="I322" s="7">
        <v>2.87</v>
      </c>
      <c r="J322" s="7">
        <v>2.88</v>
      </c>
      <c r="K322" s="7">
        <v>2.87</v>
      </c>
      <c r="L322" s="7">
        <v>2.87</v>
      </c>
      <c r="M322" s="7">
        <v>2.87</v>
      </c>
      <c r="N322" s="7">
        <v>2.87</v>
      </c>
      <c r="O322" s="7">
        <v>2.48</v>
      </c>
      <c r="P322" s="7">
        <v>2.48</v>
      </c>
      <c r="Q322" s="7">
        <v>2.48</v>
      </c>
      <c r="R322" s="7">
        <v>2.48</v>
      </c>
      <c r="S322" s="7">
        <v>2.97</v>
      </c>
      <c r="T322" s="7">
        <v>2.97</v>
      </c>
      <c r="U322" s="7">
        <v>2.97</v>
      </c>
      <c r="V322" s="7">
        <v>2.97</v>
      </c>
      <c r="W322" s="7">
        <v>2.96</v>
      </c>
      <c r="X322" s="7">
        <v>2.97</v>
      </c>
      <c r="Y322" s="7">
        <v>2.98</v>
      </c>
      <c r="Z322" s="7">
        <v>2.97</v>
      </c>
      <c r="AA322" s="7">
        <v>2.97</v>
      </c>
      <c r="AB322" s="7">
        <v>2.31</v>
      </c>
      <c r="AC322" s="7">
        <v>2.41</v>
      </c>
    </row>
    <row r="325" spans="1:29" x14ac:dyDescent="0.35">
      <c r="A325" t="s">
        <v>1254</v>
      </c>
      <c r="B325" s="5">
        <v>46026</v>
      </c>
      <c r="C325" s="5">
        <v>46033</v>
      </c>
      <c r="D325" s="5">
        <v>46040</v>
      </c>
      <c r="E325" s="5">
        <v>46047</v>
      </c>
      <c r="F325" s="72">
        <v>46054</v>
      </c>
      <c r="G325" s="72">
        <v>46061</v>
      </c>
      <c r="H325" s="72">
        <v>46068</v>
      </c>
      <c r="I325" s="72">
        <v>46075</v>
      </c>
      <c r="J325" s="5">
        <v>46082</v>
      </c>
      <c r="K325" s="5">
        <v>46089</v>
      </c>
      <c r="L325" s="5">
        <v>46096</v>
      </c>
      <c r="M325" s="5">
        <v>46103</v>
      </c>
      <c r="N325" s="5">
        <v>46110</v>
      </c>
      <c r="O325" s="5">
        <v>46117</v>
      </c>
      <c r="P325" s="5">
        <v>46124</v>
      </c>
      <c r="Q325" s="5">
        <v>46131</v>
      </c>
      <c r="R325" s="5">
        <v>46138</v>
      </c>
      <c r="S325" s="5">
        <v>46145</v>
      </c>
      <c r="T325" s="72">
        <v>46152</v>
      </c>
      <c r="U325" s="72">
        <v>46159</v>
      </c>
      <c r="V325" s="72">
        <v>46166</v>
      </c>
      <c r="W325" s="72">
        <v>46173</v>
      </c>
      <c r="X325" s="5">
        <v>46180</v>
      </c>
      <c r="Y325" s="5">
        <v>46187</v>
      </c>
      <c r="Z325" s="5">
        <v>46194</v>
      </c>
      <c r="AA325" s="5">
        <v>46201</v>
      </c>
      <c r="AB325" s="5">
        <v>46208</v>
      </c>
      <c r="AC325" s="5">
        <v>46215</v>
      </c>
    </row>
    <row r="326" spans="1:29" x14ac:dyDescent="0.35">
      <c r="A326" t="s">
        <v>1241</v>
      </c>
      <c r="B326">
        <v>146</v>
      </c>
      <c r="C326">
        <v>202</v>
      </c>
      <c r="D326">
        <v>156</v>
      </c>
      <c r="E326">
        <v>174</v>
      </c>
      <c r="F326">
        <v>267</v>
      </c>
      <c r="G326">
        <v>214</v>
      </c>
      <c r="H326">
        <v>242</v>
      </c>
      <c r="I326">
        <v>199</v>
      </c>
      <c r="J326">
        <v>216</v>
      </c>
      <c r="K326">
        <v>220</v>
      </c>
      <c r="L326">
        <v>208</v>
      </c>
      <c r="M326">
        <v>189</v>
      </c>
      <c r="N326">
        <v>194</v>
      </c>
      <c r="O326">
        <v>113</v>
      </c>
      <c r="P326">
        <v>155</v>
      </c>
      <c r="Q326">
        <v>145</v>
      </c>
      <c r="R326">
        <v>161</v>
      </c>
      <c r="S326">
        <v>165</v>
      </c>
      <c r="T326">
        <v>194</v>
      </c>
      <c r="U326">
        <v>185</v>
      </c>
      <c r="V326">
        <v>164</v>
      </c>
      <c r="W326">
        <v>187</v>
      </c>
      <c r="X326">
        <v>132</v>
      </c>
      <c r="Y326">
        <v>161</v>
      </c>
      <c r="Z326">
        <v>172</v>
      </c>
      <c r="AA326">
        <v>177</v>
      </c>
      <c r="AB326">
        <v>172</v>
      </c>
      <c r="AC326">
        <v>165</v>
      </c>
    </row>
    <row r="327" spans="1:29" x14ac:dyDescent="0.35">
      <c r="A327" t="s">
        <v>1242</v>
      </c>
      <c r="B327" s="3">
        <v>0.16500000000000001</v>
      </c>
      <c r="C327" s="3">
        <v>0.20599999999999999</v>
      </c>
      <c r="D327" s="3">
        <v>2.1000000000000001E-2</v>
      </c>
      <c r="E327" s="3">
        <v>7.4999999999999997E-2</v>
      </c>
      <c r="F327" s="60">
        <v>0.51100000000000001</v>
      </c>
      <c r="G327" s="60">
        <v>0.30599999999999999</v>
      </c>
      <c r="H327" s="60">
        <v>0.55600000000000005</v>
      </c>
      <c r="I327" s="60">
        <v>0.38900000000000001</v>
      </c>
      <c r="J327" s="3">
        <v>0.05</v>
      </c>
      <c r="K327" s="3">
        <v>7.2999999999999995E-2</v>
      </c>
      <c r="L327" s="3">
        <v>0.22900000000000001</v>
      </c>
      <c r="M327" s="3">
        <v>8.9999999999999993E-3</v>
      </c>
      <c r="N327" s="3">
        <v>3.5999999999999997E-2</v>
      </c>
      <c r="O327" s="3">
        <v>5.7000000000000002E-2</v>
      </c>
      <c r="P327" s="3">
        <v>3.3000000000000002E-2</v>
      </c>
      <c r="Q327" s="3">
        <v>2.3E-2</v>
      </c>
      <c r="R327" s="3">
        <v>4.0000000000000001E-3</v>
      </c>
      <c r="S327" s="3">
        <v>0</v>
      </c>
      <c r="T327" s="60">
        <v>0.38</v>
      </c>
      <c r="U327" s="60">
        <v>0.27900000000000003</v>
      </c>
      <c r="V327" s="60">
        <v>0.314</v>
      </c>
      <c r="W327" s="60">
        <v>0.39300000000000002</v>
      </c>
      <c r="X327" s="3">
        <v>5.0000000000000001E-3</v>
      </c>
      <c r="Y327" s="3">
        <v>1.0999999999999999E-2</v>
      </c>
      <c r="Z327" s="3">
        <v>0.03</v>
      </c>
      <c r="AA327" s="3">
        <v>0.01</v>
      </c>
      <c r="AB327" s="3">
        <v>3.4000000000000002E-2</v>
      </c>
      <c r="AC327" s="3">
        <v>2.9000000000000001E-2</v>
      </c>
    </row>
    <row r="328" spans="1:29" x14ac:dyDescent="0.35">
      <c r="A328" t="s">
        <v>1243</v>
      </c>
      <c r="B328">
        <v>21</v>
      </c>
      <c r="C328">
        <v>35</v>
      </c>
      <c r="D328">
        <v>3</v>
      </c>
      <c r="E328">
        <v>12</v>
      </c>
      <c r="F328">
        <v>90</v>
      </c>
      <c r="G328">
        <v>50</v>
      </c>
      <c r="H328">
        <v>87</v>
      </c>
      <c r="I328">
        <v>56</v>
      </c>
      <c r="J328">
        <v>10</v>
      </c>
      <c r="K328">
        <v>15</v>
      </c>
      <c r="L328">
        <v>39</v>
      </c>
      <c r="M328">
        <v>2</v>
      </c>
      <c r="N328">
        <v>7</v>
      </c>
      <c r="O328">
        <v>6</v>
      </c>
      <c r="P328">
        <v>5</v>
      </c>
      <c r="Q328">
        <v>3</v>
      </c>
      <c r="R328">
        <v>1</v>
      </c>
      <c r="S328">
        <v>0</v>
      </c>
      <c r="T328">
        <v>53</v>
      </c>
      <c r="U328">
        <v>40</v>
      </c>
      <c r="V328">
        <v>39</v>
      </c>
      <c r="W328">
        <v>53</v>
      </c>
      <c r="X328">
        <v>1</v>
      </c>
      <c r="Y328">
        <v>2</v>
      </c>
      <c r="Z328">
        <v>5</v>
      </c>
      <c r="AA328">
        <v>2</v>
      </c>
      <c r="AB328">
        <v>6</v>
      </c>
      <c r="AC328">
        <v>5</v>
      </c>
    </row>
    <row r="329" spans="1:29" x14ac:dyDescent="0.35">
      <c r="A329" t="s">
        <v>1244</v>
      </c>
      <c r="B329">
        <v>125</v>
      </c>
      <c r="C329">
        <v>168</v>
      </c>
      <c r="D329">
        <v>153</v>
      </c>
      <c r="E329">
        <v>162</v>
      </c>
      <c r="F329">
        <v>177</v>
      </c>
      <c r="G329">
        <v>164</v>
      </c>
      <c r="H329">
        <v>156</v>
      </c>
      <c r="I329">
        <v>143</v>
      </c>
      <c r="J329">
        <v>206</v>
      </c>
      <c r="K329">
        <v>205</v>
      </c>
      <c r="L329">
        <v>169</v>
      </c>
      <c r="M329">
        <v>187</v>
      </c>
      <c r="N329">
        <v>187</v>
      </c>
      <c r="O329">
        <v>107</v>
      </c>
      <c r="P329">
        <v>150</v>
      </c>
      <c r="Q329">
        <v>142</v>
      </c>
      <c r="R329">
        <v>160</v>
      </c>
      <c r="S329">
        <v>165</v>
      </c>
      <c r="T329">
        <v>141</v>
      </c>
      <c r="U329">
        <v>145</v>
      </c>
      <c r="V329">
        <v>125</v>
      </c>
      <c r="W329">
        <v>134</v>
      </c>
      <c r="X329">
        <v>131</v>
      </c>
      <c r="Y329">
        <v>159</v>
      </c>
      <c r="Z329">
        <v>167</v>
      </c>
      <c r="AA329">
        <v>175</v>
      </c>
      <c r="AB329">
        <v>166</v>
      </c>
      <c r="AC329">
        <v>160</v>
      </c>
    </row>
    <row r="330" spans="1:29" x14ac:dyDescent="0.35">
      <c r="A330" t="s">
        <v>1245</v>
      </c>
      <c r="B330" s="7">
        <v>10.71</v>
      </c>
      <c r="C330" s="7">
        <v>10.71</v>
      </c>
      <c r="D330" s="7">
        <v>10.74</v>
      </c>
      <c r="E330" s="7">
        <v>10.75</v>
      </c>
      <c r="F330" s="7">
        <v>9.9600000000000009</v>
      </c>
      <c r="G330" s="7">
        <v>9.89</v>
      </c>
      <c r="H330" s="7">
        <v>9.9600000000000009</v>
      </c>
      <c r="I330" s="7">
        <v>9.92</v>
      </c>
      <c r="J330" s="7">
        <v>10.71</v>
      </c>
      <c r="K330" s="7">
        <v>10.67</v>
      </c>
      <c r="L330" s="7">
        <v>10.74</v>
      </c>
      <c r="M330" s="7">
        <v>10.71</v>
      </c>
      <c r="N330" s="7">
        <v>10.71</v>
      </c>
      <c r="O330" s="7">
        <v>10.72</v>
      </c>
      <c r="P330" s="7">
        <v>10.75</v>
      </c>
      <c r="Q330" s="7">
        <v>10.71</v>
      </c>
      <c r="R330" s="7">
        <v>10.74</v>
      </c>
      <c r="S330" s="7">
        <v>10.74</v>
      </c>
      <c r="T330" s="7">
        <v>9.9600000000000009</v>
      </c>
      <c r="U330" s="7">
        <v>9.93</v>
      </c>
      <c r="V330" s="7">
        <v>9.85</v>
      </c>
      <c r="W330" s="7">
        <v>9.93</v>
      </c>
      <c r="X330" s="7">
        <v>10.72</v>
      </c>
      <c r="Y330" s="7">
        <v>10.76</v>
      </c>
      <c r="Z330" s="7">
        <v>10.74</v>
      </c>
      <c r="AA330" s="7">
        <v>10.7</v>
      </c>
      <c r="AB330" s="7">
        <v>10.72</v>
      </c>
      <c r="AC330" s="7">
        <v>10.72</v>
      </c>
    </row>
    <row r="332" spans="1:29" x14ac:dyDescent="0.35">
      <c r="A332" t="s">
        <v>1254</v>
      </c>
      <c r="B332" s="5">
        <v>46026</v>
      </c>
      <c r="C332" s="5">
        <v>46033</v>
      </c>
      <c r="D332" s="5">
        <v>46040</v>
      </c>
      <c r="E332" s="5">
        <v>46047</v>
      </c>
      <c r="F332" s="5">
        <v>46054</v>
      </c>
      <c r="G332" s="5">
        <v>46061</v>
      </c>
      <c r="H332" s="5">
        <v>46068</v>
      </c>
      <c r="I332" s="5">
        <v>46075</v>
      </c>
      <c r="J332" s="5">
        <v>46082</v>
      </c>
      <c r="K332" s="5">
        <v>46089</v>
      </c>
      <c r="L332" s="5">
        <v>46096</v>
      </c>
      <c r="M332" s="5">
        <v>46103</v>
      </c>
      <c r="N332" s="5">
        <v>46110</v>
      </c>
      <c r="O332" s="5">
        <v>46117</v>
      </c>
      <c r="P332" s="5">
        <v>46124</v>
      </c>
      <c r="Q332" s="5">
        <v>46131</v>
      </c>
      <c r="R332" s="5">
        <v>46138</v>
      </c>
      <c r="S332" s="5">
        <v>46145</v>
      </c>
      <c r="T332" s="72">
        <v>46152</v>
      </c>
      <c r="U332" s="72">
        <v>46159</v>
      </c>
      <c r="V332" s="72">
        <v>46166</v>
      </c>
      <c r="W332" s="72">
        <v>46173</v>
      </c>
      <c r="X332" s="5">
        <v>46180</v>
      </c>
      <c r="Y332" s="5">
        <v>46187</v>
      </c>
      <c r="Z332" s="5">
        <v>46194</v>
      </c>
      <c r="AA332" s="5">
        <v>46201</v>
      </c>
      <c r="AB332" s="5">
        <v>46208</v>
      </c>
      <c r="AC332" s="5">
        <v>46215</v>
      </c>
    </row>
    <row r="333" spans="1:29" x14ac:dyDescent="0.35">
      <c r="A333" t="s">
        <v>1293</v>
      </c>
      <c r="B333" s="3">
        <v>0.16200000000000001</v>
      </c>
      <c r="C333" s="3">
        <v>0.20399999999999999</v>
      </c>
      <c r="D333" s="3">
        <v>2.1000000000000001E-2</v>
      </c>
      <c r="E333" s="3">
        <v>7.5999999999999998E-2</v>
      </c>
      <c r="F333" s="3">
        <v>0.44600000000000001</v>
      </c>
      <c r="G333" s="3">
        <v>0.251</v>
      </c>
      <c r="H333" s="3">
        <v>0.49099999999999999</v>
      </c>
      <c r="I333" s="3">
        <v>0.32500000000000001</v>
      </c>
      <c r="J333" s="3">
        <v>4.7E-2</v>
      </c>
      <c r="K333" s="3">
        <v>6.8000000000000005E-2</v>
      </c>
      <c r="L333" s="3">
        <v>0.22800000000000001</v>
      </c>
      <c r="M333" s="3">
        <v>8.9999999999999993E-3</v>
      </c>
      <c r="N333" s="3">
        <v>3.4000000000000002E-2</v>
      </c>
      <c r="O333" s="3">
        <v>5.8000000000000003E-2</v>
      </c>
      <c r="P333" s="3">
        <v>3.2000000000000001E-2</v>
      </c>
      <c r="Q333" s="3">
        <v>2.1999999999999999E-2</v>
      </c>
      <c r="R333" s="3">
        <v>3.0000000000000001E-3</v>
      </c>
      <c r="S333" s="3">
        <v>0</v>
      </c>
      <c r="T333" s="3">
        <v>0.31900000000000001</v>
      </c>
      <c r="U333" s="3">
        <v>0.23400000000000001</v>
      </c>
      <c r="V333" s="3">
        <v>0.252</v>
      </c>
      <c r="W333" s="3">
        <v>0.32300000000000001</v>
      </c>
      <c r="X333" s="3">
        <v>2E-3</v>
      </c>
      <c r="Y333" s="3">
        <v>1.0999999999999999E-2</v>
      </c>
      <c r="Z333" s="3">
        <v>0.03</v>
      </c>
      <c r="AA333" s="3">
        <v>8.0000000000000002E-3</v>
      </c>
      <c r="AB333" s="3">
        <v>3.2000000000000001E-2</v>
      </c>
      <c r="AC333" s="3">
        <v>2.5999999999999999E-2</v>
      </c>
    </row>
    <row r="334" spans="1:29" x14ac:dyDescent="0.35">
      <c r="A334" t="s">
        <v>1247</v>
      </c>
      <c r="B334" s="3">
        <v>8.0000000000000002E-3</v>
      </c>
      <c r="C334" s="3">
        <v>5.0000000000000001E-3</v>
      </c>
      <c r="D334" s="3">
        <v>3.4000000000000002E-2</v>
      </c>
      <c r="E334" s="3">
        <v>-3.0000000000000001E-3</v>
      </c>
      <c r="F334" s="60">
        <v>4.2999999999999997E-2</v>
      </c>
      <c r="G334" s="60">
        <v>4.2999999999999997E-2</v>
      </c>
      <c r="H334" s="60">
        <v>4.2000000000000003E-2</v>
      </c>
      <c r="I334" s="60">
        <v>4.5999999999999999E-2</v>
      </c>
      <c r="J334" s="3">
        <v>3.3000000000000002E-2</v>
      </c>
      <c r="K334" s="3">
        <v>3.2000000000000001E-2</v>
      </c>
      <c r="L334" s="3">
        <v>2E-3</v>
      </c>
      <c r="M334" s="3">
        <v>3.2000000000000001E-2</v>
      </c>
      <c r="N334" s="3">
        <v>3.5999999999999997E-2</v>
      </c>
      <c r="O334" s="3">
        <v>0</v>
      </c>
      <c r="P334" s="3">
        <v>8.0000000000000002E-3</v>
      </c>
      <c r="Q334" s="3">
        <v>2.7E-2</v>
      </c>
      <c r="R334" s="3">
        <v>3.1E-2</v>
      </c>
      <c r="S334" s="3">
        <v>4.5999999999999999E-2</v>
      </c>
      <c r="T334" s="3">
        <v>4.3999999999999997E-2</v>
      </c>
      <c r="U334" s="3">
        <v>3.5000000000000003E-2</v>
      </c>
      <c r="V334" s="3">
        <v>4.8000000000000001E-2</v>
      </c>
      <c r="W334" s="3">
        <v>5.0999999999999997E-2</v>
      </c>
      <c r="X334" s="3">
        <v>6.6000000000000003E-2</v>
      </c>
      <c r="Y334" s="3">
        <v>2.3E-2</v>
      </c>
      <c r="Z334" s="3">
        <v>3.2000000000000001E-2</v>
      </c>
      <c r="AA334" s="3">
        <v>5.2999999999999999E-2</v>
      </c>
      <c r="AB334" s="3">
        <v>0.02</v>
      </c>
      <c r="AC334" s="3">
        <v>4.8000000000000001E-2</v>
      </c>
    </row>
    <row r="335" spans="1:29" x14ac:dyDescent="0.35">
      <c r="A335" t="s">
        <v>1248</v>
      </c>
      <c r="B335" s="7">
        <v>0.08</v>
      </c>
      <c r="C335" s="7">
        <v>0.05</v>
      </c>
      <c r="D335" s="7">
        <v>0.36</v>
      </c>
      <c r="E335" s="7">
        <v>-0.04</v>
      </c>
      <c r="F335" s="7">
        <v>0.45</v>
      </c>
      <c r="G335" s="7">
        <v>0.44</v>
      </c>
      <c r="H335" s="7">
        <v>0.44</v>
      </c>
      <c r="I335" s="7">
        <v>0.48</v>
      </c>
      <c r="J335" s="7">
        <v>0.35</v>
      </c>
      <c r="K335" s="7">
        <v>0.34</v>
      </c>
      <c r="L335" s="7">
        <v>0.02</v>
      </c>
      <c r="M335" s="7">
        <v>0.34</v>
      </c>
      <c r="N335" s="7">
        <v>0.39</v>
      </c>
      <c r="O335" s="7">
        <v>0</v>
      </c>
      <c r="P335" s="7">
        <v>0.09</v>
      </c>
      <c r="Q335" s="7">
        <v>0.28999999999999998</v>
      </c>
      <c r="R335" s="7">
        <v>0.33</v>
      </c>
      <c r="S335" s="7">
        <v>0.5</v>
      </c>
      <c r="T335" s="7">
        <v>0.46</v>
      </c>
      <c r="U335" s="7">
        <v>0.36</v>
      </c>
      <c r="V335" s="7">
        <v>0.49</v>
      </c>
      <c r="W335" s="7">
        <v>0.53</v>
      </c>
      <c r="X335" s="7">
        <v>0.71</v>
      </c>
      <c r="Y335" s="7">
        <v>0.24</v>
      </c>
      <c r="Z335" s="7">
        <v>0.34</v>
      </c>
      <c r="AA335" s="7">
        <v>0.56999999999999995</v>
      </c>
      <c r="AB335" s="7">
        <v>0.22</v>
      </c>
      <c r="AC335" s="7">
        <v>0.52</v>
      </c>
    </row>
    <row r="336" spans="1:29" x14ac:dyDescent="0.35">
      <c r="A336" t="s">
        <v>1249</v>
      </c>
      <c r="B336" s="7">
        <v>10.65</v>
      </c>
      <c r="C336" s="7">
        <v>10.67</v>
      </c>
      <c r="D336" s="7">
        <v>10.38</v>
      </c>
      <c r="E336" s="7">
        <v>10.78</v>
      </c>
      <c r="F336" s="7">
        <v>9.9600000000000009</v>
      </c>
      <c r="G336" s="7">
        <v>9.8800000000000008</v>
      </c>
      <c r="H336" s="7">
        <v>9.9600000000000009</v>
      </c>
      <c r="I336" s="7">
        <v>9.92</v>
      </c>
      <c r="J336" s="7">
        <v>10.39</v>
      </c>
      <c r="K336" s="7">
        <v>10.38</v>
      </c>
      <c r="L336" s="7">
        <v>10.73</v>
      </c>
      <c r="M336" s="7">
        <v>10.37</v>
      </c>
      <c r="N336" s="7">
        <v>10.35</v>
      </c>
      <c r="O336" s="7">
        <v>10.72</v>
      </c>
      <c r="P336" s="7">
        <v>10.66</v>
      </c>
      <c r="Q336" s="7">
        <v>10.44</v>
      </c>
      <c r="R336" s="7">
        <v>10.4</v>
      </c>
      <c r="S336" s="7">
        <v>10.24</v>
      </c>
      <c r="T336" s="7">
        <v>9.9600000000000009</v>
      </c>
      <c r="U336" s="7">
        <v>9.93</v>
      </c>
      <c r="V336" s="7">
        <v>9.84</v>
      </c>
      <c r="W336" s="7">
        <v>9.93</v>
      </c>
      <c r="X336" s="7">
        <v>10.039999999999999</v>
      </c>
      <c r="Y336" s="7">
        <v>10.51</v>
      </c>
      <c r="Z336" s="7">
        <v>10.4</v>
      </c>
      <c r="AA336" s="7">
        <v>10.15</v>
      </c>
      <c r="AB336" s="7">
        <v>10.52</v>
      </c>
      <c r="AC336" s="7">
        <v>10.23</v>
      </c>
    </row>
    <row r="337" spans="1:29" x14ac:dyDescent="0.35">
      <c r="A337" t="s">
        <v>1245</v>
      </c>
      <c r="B337" s="7">
        <v>10.71</v>
      </c>
      <c r="C337" s="7">
        <v>10.71</v>
      </c>
      <c r="D337" s="7">
        <v>10.74</v>
      </c>
      <c r="E337" s="7">
        <v>10.75</v>
      </c>
      <c r="F337" s="7">
        <v>9.9600000000000009</v>
      </c>
      <c r="G337" s="7">
        <v>9.89</v>
      </c>
      <c r="H337" s="7">
        <v>9.9600000000000009</v>
      </c>
      <c r="I337" s="7">
        <v>9.92</v>
      </c>
      <c r="J337" s="7">
        <v>10.71</v>
      </c>
      <c r="K337" s="7">
        <v>10.67</v>
      </c>
      <c r="L337" s="7">
        <v>10.74</v>
      </c>
      <c r="M337" s="7">
        <v>10.71</v>
      </c>
      <c r="N337" s="7">
        <v>10.71</v>
      </c>
      <c r="O337" s="7">
        <v>10.72</v>
      </c>
      <c r="P337" s="7">
        <v>10.75</v>
      </c>
      <c r="Q337" s="7">
        <v>10.71</v>
      </c>
      <c r="R337" s="7">
        <v>10.74</v>
      </c>
      <c r="S337" s="7">
        <v>10.74</v>
      </c>
      <c r="T337" s="7">
        <v>9.9600000000000009</v>
      </c>
      <c r="U337" s="7">
        <v>9.93</v>
      </c>
      <c r="V337" s="7">
        <v>9.85</v>
      </c>
      <c r="W337" s="7">
        <v>9.93</v>
      </c>
      <c r="X337" s="7">
        <v>10.72</v>
      </c>
      <c r="Y337" s="7">
        <v>10.76</v>
      </c>
      <c r="Z337" s="7">
        <v>10.74</v>
      </c>
      <c r="AA337" s="7">
        <v>10.7</v>
      </c>
      <c r="AB337" s="7">
        <v>10.72</v>
      </c>
      <c r="AC337" s="7">
        <v>10.72</v>
      </c>
    </row>
    <row r="339" spans="1:29" s="68" customFormat="1" x14ac:dyDescent="0.35"/>
    <row r="341" spans="1:29" x14ac:dyDescent="0.35">
      <c r="A341" s="49" t="s">
        <v>1302</v>
      </c>
    </row>
    <row r="344" spans="1:29" x14ac:dyDescent="0.35">
      <c r="A344" t="s">
        <v>1240</v>
      </c>
      <c r="B344" s="78">
        <v>46026</v>
      </c>
      <c r="C344" s="78">
        <v>46033</v>
      </c>
      <c r="D344" s="78">
        <v>46040</v>
      </c>
      <c r="E344" s="78">
        <v>46047</v>
      </c>
      <c r="F344" s="78">
        <v>46054</v>
      </c>
      <c r="G344" s="5">
        <v>46061</v>
      </c>
      <c r="H344" s="5">
        <v>46068</v>
      </c>
      <c r="I344" s="5">
        <v>46075</v>
      </c>
      <c r="J344" s="5">
        <v>46082</v>
      </c>
      <c r="K344" s="5">
        <v>46089</v>
      </c>
      <c r="L344" s="5">
        <v>46096</v>
      </c>
      <c r="M344" s="5">
        <v>46103</v>
      </c>
      <c r="N344" s="5">
        <v>46110</v>
      </c>
      <c r="O344" s="5">
        <v>46117</v>
      </c>
      <c r="P344" s="72">
        <v>46124</v>
      </c>
      <c r="Q344" s="72">
        <v>46131</v>
      </c>
      <c r="R344" s="72">
        <v>46138</v>
      </c>
      <c r="S344" s="72">
        <v>46145</v>
      </c>
      <c r="T344" s="72">
        <v>46152</v>
      </c>
      <c r="U344" s="5">
        <v>46159</v>
      </c>
      <c r="V344" s="5">
        <v>46166</v>
      </c>
      <c r="W344" s="5">
        <v>46173</v>
      </c>
      <c r="X344" s="5">
        <v>46180</v>
      </c>
      <c r="Y344" s="5">
        <v>46187</v>
      </c>
      <c r="Z344" s="5">
        <v>46194</v>
      </c>
      <c r="AA344" s="5">
        <v>46201</v>
      </c>
      <c r="AB344" s="5">
        <v>46208</v>
      </c>
      <c r="AC344" s="5">
        <v>46215</v>
      </c>
    </row>
    <row r="345" spans="1:29" x14ac:dyDescent="0.35">
      <c r="A345" t="s">
        <v>1241</v>
      </c>
      <c r="B345" s="6">
        <v>7334</v>
      </c>
      <c r="C345" s="6">
        <v>8904</v>
      </c>
      <c r="D345" s="6">
        <v>9014</v>
      </c>
      <c r="E345" s="6">
        <v>9578</v>
      </c>
      <c r="F345" s="6">
        <v>7228</v>
      </c>
      <c r="G345" s="6">
        <v>6529</v>
      </c>
      <c r="H345" s="6">
        <v>5739</v>
      </c>
      <c r="I345" s="6">
        <v>6066</v>
      </c>
      <c r="J345" s="6">
        <v>6234</v>
      </c>
      <c r="K345" s="6">
        <v>7203</v>
      </c>
      <c r="L345" s="6">
        <v>6467</v>
      </c>
      <c r="M345" s="6">
        <v>6392</v>
      </c>
      <c r="N345" s="6">
        <v>6348</v>
      </c>
      <c r="O345" s="6">
        <v>6786</v>
      </c>
      <c r="P345" s="6">
        <v>8096</v>
      </c>
      <c r="Q345" s="6">
        <v>7716</v>
      </c>
      <c r="R345" s="6">
        <v>7843</v>
      </c>
      <c r="S345" s="6">
        <v>8087</v>
      </c>
      <c r="T345" s="6">
        <v>7262</v>
      </c>
      <c r="U345" s="6">
        <v>5043</v>
      </c>
      <c r="V345" s="6">
        <v>4530</v>
      </c>
      <c r="W345" s="6">
        <v>4161</v>
      </c>
      <c r="X345" s="6">
        <v>8193</v>
      </c>
      <c r="Y345" s="6">
        <v>4237</v>
      </c>
      <c r="Z345" s="6">
        <v>4037</v>
      </c>
      <c r="AA345" s="6">
        <v>3802</v>
      </c>
      <c r="AB345" s="6">
        <v>3550</v>
      </c>
      <c r="AC345" s="6">
        <v>3299</v>
      </c>
    </row>
    <row r="346" spans="1:29" x14ac:dyDescent="0.35">
      <c r="A346" t="s">
        <v>1242</v>
      </c>
      <c r="B346" s="54">
        <v>0.47499999999999998</v>
      </c>
      <c r="C346" s="54">
        <v>0.56499999999999995</v>
      </c>
      <c r="D346" s="54">
        <v>0.51300000000000001</v>
      </c>
      <c r="E346" s="54">
        <v>0.55400000000000005</v>
      </c>
      <c r="F346" s="54">
        <v>0.313</v>
      </c>
      <c r="G346" s="3">
        <v>3.3000000000000002E-2</v>
      </c>
      <c r="H346" s="3">
        <v>2E-3</v>
      </c>
      <c r="I346" s="3">
        <v>6.0000000000000001E-3</v>
      </c>
      <c r="J346" s="3">
        <v>5.0000000000000001E-3</v>
      </c>
      <c r="K346" s="3">
        <v>3.6999999999999998E-2</v>
      </c>
      <c r="L346" s="3">
        <v>2.7E-2</v>
      </c>
      <c r="M346" s="3">
        <v>0.05</v>
      </c>
      <c r="N346" s="3">
        <v>6.4000000000000001E-2</v>
      </c>
      <c r="O346" s="3">
        <v>9.0999999999999998E-2</v>
      </c>
      <c r="P346" s="3">
        <v>0.42399999999999999</v>
      </c>
      <c r="Q346" s="3">
        <v>0.4</v>
      </c>
      <c r="R346" s="3">
        <v>0.371</v>
      </c>
      <c r="S346" s="3">
        <v>0.40100000000000002</v>
      </c>
      <c r="T346" s="3">
        <v>0.32900000000000001</v>
      </c>
      <c r="U346" s="3">
        <v>1E-3</v>
      </c>
      <c r="V346" s="3">
        <v>1E-3</v>
      </c>
      <c r="W346" s="3">
        <v>0</v>
      </c>
      <c r="X346" s="3">
        <v>0.82399999999999995</v>
      </c>
      <c r="Y346" s="3">
        <v>7.0000000000000001E-3</v>
      </c>
      <c r="Z346" s="3">
        <v>1.4999999999999999E-2</v>
      </c>
      <c r="AA346" s="3">
        <v>1.7999999999999999E-2</v>
      </c>
      <c r="AB346" s="3">
        <v>0.02</v>
      </c>
      <c r="AC346" s="3">
        <v>2.5000000000000001E-2</v>
      </c>
    </row>
    <row r="347" spans="1:29" x14ac:dyDescent="0.35">
      <c r="A347" t="s">
        <v>1243</v>
      </c>
      <c r="B347" s="6">
        <v>2361</v>
      </c>
      <c r="C347" s="6">
        <v>3216</v>
      </c>
      <c r="D347" s="6">
        <v>3056</v>
      </c>
      <c r="E347" s="6">
        <v>3414</v>
      </c>
      <c r="F347" s="6">
        <v>1725</v>
      </c>
      <c r="G347">
        <v>206</v>
      </c>
      <c r="H347">
        <v>14</v>
      </c>
      <c r="I347">
        <v>36</v>
      </c>
      <c r="J347">
        <v>31</v>
      </c>
      <c r="K347">
        <v>258</v>
      </c>
      <c r="L347">
        <v>170</v>
      </c>
      <c r="M347">
        <v>304</v>
      </c>
      <c r="N347">
        <v>384</v>
      </c>
      <c r="O347">
        <v>566</v>
      </c>
      <c r="P347" s="6">
        <v>2412</v>
      </c>
      <c r="Q347" s="6">
        <v>2205</v>
      </c>
      <c r="R347" s="6">
        <v>2123</v>
      </c>
      <c r="S347" s="6">
        <v>2313</v>
      </c>
      <c r="T347" s="6">
        <v>1799</v>
      </c>
      <c r="U347">
        <v>6</v>
      </c>
      <c r="V347">
        <v>6</v>
      </c>
      <c r="W347">
        <v>1</v>
      </c>
      <c r="X347" s="6">
        <v>3702</v>
      </c>
      <c r="Y347">
        <v>30</v>
      </c>
      <c r="Z347">
        <v>60</v>
      </c>
      <c r="AA347">
        <v>67</v>
      </c>
      <c r="AB347">
        <v>71</v>
      </c>
      <c r="AC347">
        <v>82</v>
      </c>
    </row>
    <row r="348" spans="1:29" x14ac:dyDescent="0.35">
      <c r="A348" t="s">
        <v>1244</v>
      </c>
      <c r="B348" s="6">
        <v>4973</v>
      </c>
      <c r="C348" s="6">
        <v>5688</v>
      </c>
      <c r="D348" s="6">
        <v>5957</v>
      </c>
      <c r="E348" s="6">
        <v>6164</v>
      </c>
      <c r="F348" s="6">
        <v>5503</v>
      </c>
      <c r="G348" s="6">
        <v>6323</v>
      </c>
      <c r="H348" s="6">
        <v>5725</v>
      </c>
      <c r="I348" s="6">
        <v>6030</v>
      </c>
      <c r="J348" s="6">
        <v>6203</v>
      </c>
      <c r="K348" s="6">
        <v>6945</v>
      </c>
      <c r="L348" s="6">
        <v>6298</v>
      </c>
      <c r="M348" s="6">
        <v>6088</v>
      </c>
      <c r="N348" s="6">
        <v>5964</v>
      </c>
      <c r="O348" s="6">
        <v>6220</v>
      </c>
      <c r="P348" s="6">
        <v>5684</v>
      </c>
      <c r="Q348" s="6">
        <v>5512</v>
      </c>
      <c r="R348" s="6">
        <v>5720</v>
      </c>
      <c r="S348" s="6">
        <v>5774</v>
      </c>
      <c r="T348" s="6">
        <v>5463</v>
      </c>
      <c r="U348" s="6">
        <v>5037</v>
      </c>
      <c r="V348" s="6">
        <v>4524</v>
      </c>
      <c r="W348" s="6">
        <v>4160</v>
      </c>
      <c r="X348" s="6">
        <v>4491</v>
      </c>
      <c r="Y348" s="6">
        <v>4207</v>
      </c>
      <c r="Z348" s="6">
        <v>3977</v>
      </c>
      <c r="AA348" s="6">
        <v>3735</v>
      </c>
      <c r="AB348" s="6">
        <v>3479</v>
      </c>
      <c r="AC348" s="6">
        <v>3218</v>
      </c>
    </row>
    <row r="349" spans="1:29" x14ac:dyDescent="0.35">
      <c r="A349" t="s">
        <v>1245</v>
      </c>
      <c r="B349" s="7">
        <v>2.0699999999999998</v>
      </c>
      <c r="C349" s="7">
        <v>2.06</v>
      </c>
      <c r="D349" s="7">
        <v>2.06</v>
      </c>
      <c r="E349" s="7">
        <v>2.0699999999999998</v>
      </c>
      <c r="F349" s="7">
        <v>2.06</v>
      </c>
      <c r="G349" s="7">
        <v>2.98</v>
      </c>
      <c r="H349" s="7">
        <v>2.99</v>
      </c>
      <c r="I349" s="7">
        <v>2.99</v>
      </c>
      <c r="J349" s="7">
        <v>2.99</v>
      </c>
      <c r="K349" s="7">
        <v>2.99</v>
      </c>
      <c r="L349" s="7">
        <v>2.98</v>
      </c>
      <c r="M349" s="7">
        <v>2.99</v>
      </c>
      <c r="N349" s="7">
        <v>2.99</v>
      </c>
      <c r="O349" s="7">
        <v>2.98</v>
      </c>
      <c r="P349" s="7">
        <v>2.54</v>
      </c>
      <c r="Q349" s="7">
        <v>2.54</v>
      </c>
      <c r="R349" s="7">
        <v>2.54</v>
      </c>
      <c r="S349" s="7">
        <v>2.5299999999999998</v>
      </c>
      <c r="T349" s="7">
        <v>2.5299999999999998</v>
      </c>
      <c r="U349" s="7">
        <v>2.99</v>
      </c>
      <c r="V349" s="7">
        <v>2.99</v>
      </c>
      <c r="W349" s="7">
        <v>2.99</v>
      </c>
      <c r="X349" s="7">
        <v>2.36</v>
      </c>
      <c r="Y349" s="7">
        <v>2.98</v>
      </c>
      <c r="Z349" s="7">
        <v>2.98</v>
      </c>
      <c r="AA349" s="7">
        <v>2.99</v>
      </c>
      <c r="AB349" s="7">
        <v>2.98</v>
      </c>
      <c r="AC349" s="7">
        <v>2.98</v>
      </c>
    </row>
    <row r="351" spans="1:29" x14ac:dyDescent="0.35">
      <c r="A351" t="s">
        <v>1240</v>
      </c>
      <c r="B351" s="78">
        <v>46026</v>
      </c>
      <c r="C351" s="78">
        <v>46033</v>
      </c>
      <c r="D351" s="78">
        <v>46040</v>
      </c>
      <c r="E351" s="78">
        <v>46047</v>
      </c>
      <c r="F351" s="78">
        <v>46054</v>
      </c>
      <c r="G351" s="5">
        <v>46061</v>
      </c>
      <c r="H351" s="5">
        <v>46068</v>
      </c>
      <c r="I351" s="5">
        <v>46075</v>
      </c>
      <c r="J351" s="5">
        <v>46082</v>
      </c>
      <c r="K351" s="5">
        <v>46089</v>
      </c>
      <c r="L351" s="5">
        <v>46096</v>
      </c>
      <c r="M351" s="5">
        <v>46103</v>
      </c>
      <c r="N351" s="5">
        <v>46110</v>
      </c>
      <c r="O351" s="5">
        <v>46117</v>
      </c>
      <c r="P351" s="5">
        <v>46124</v>
      </c>
      <c r="Q351" s="5">
        <v>46131</v>
      </c>
      <c r="R351" s="5">
        <v>46138</v>
      </c>
      <c r="S351" s="5">
        <v>46145</v>
      </c>
      <c r="T351" s="5">
        <v>46152</v>
      </c>
      <c r="U351" s="5">
        <v>46159</v>
      </c>
      <c r="V351" s="5">
        <v>46166</v>
      </c>
      <c r="W351" s="5">
        <v>46173</v>
      </c>
      <c r="X351" s="5">
        <v>46180</v>
      </c>
      <c r="Y351" s="5">
        <v>46187</v>
      </c>
      <c r="Z351" s="5">
        <v>46194</v>
      </c>
      <c r="AA351" s="5">
        <v>46201</v>
      </c>
      <c r="AB351" s="5">
        <v>46208</v>
      </c>
      <c r="AC351" s="5">
        <v>46215</v>
      </c>
    </row>
    <row r="352" spans="1:29" x14ac:dyDescent="0.35">
      <c r="A352" t="s">
        <v>1293</v>
      </c>
      <c r="B352" s="3">
        <v>0.157</v>
      </c>
      <c r="C352" s="3">
        <v>0.21299999999999999</v>
      </c>
      <c r="D352" s="3">
        <v>0.183</v>
      </c>
      <c r="E352" s="3">
        <v>0.20799999999999999</v>
      </c>
      <c r="F352" s="3">
        <v>0.09</v>
      </c>
      <c r="G352" s="3">
        <v>3.1E-2</v>
      </c>
      <c r="H352" s="3">
        <v>2E-3</v>
      </c>
      <c r="I352" s="3">
        <v>5.0000000000000001E-3</v>
      </c>
      <c r="J352" s="3">
        <v>4.0000000000000001E-3</v>
      </c>
      <c r="K352" s="3">
        <v>3.5999999999999997E-2</v>
      </c>
      <c r="L352" s="3">
        <v>2.3E-2</v>
      </c>
      <c r="M352" s="3">
        <v>0.05</v>
      </c>
      <c r="N352" s="3">
        <v>6.3E-2</v>
      </c>
      <c r="O352" s="3">
        <v>8.8999999999999996E-2</v>
      </c>
      <c r="P352" s="3">
        <v>0.28699999999999998</v>
      </c>
      <c r="Q352" s="3">
        <v>0.26600000000000001</v>
      </c>
      <c r="R352" s="3">
        <v>0.246</v>
      </c>
      <c r="S352" s="3">
        <v>0.27900000000000003</v>
      </c>
      <c r="T352" s="3">
        <v>0.22600000000000001</v>
      </c>
      <c r="U352" s="3">
        <v>1E-3</v>
      </c>
      <c r="V352" s="3">
        <v>1E-3</v>
      </c>
      <c r="W352" s="3">
        <v>0</v>
      </c>
      <c r="X352" s="3">
        <v>0.51100000000000001</v>
      </c>
      <c r="Y352" s="3">
        <v>7.0000000000000001E-3</v>
      </c>
      <c r="Z352" s="3">
        <v>1.2E-2</v>
      </c>
      <c r="AA352" s="3">
        <v>1.7999999999999999E-2</v>
      </c>
      <c r="AB352" s="3">
        <v>1.7999999999999999E-2</v>
      </c>
      <c r="AC352" s="3">
        <v>2.1000000000000001E-2</v>
      </c>
    </row>
    <row r="353" spans="1:29" x14ac:dyDescent="0.35">
      <c r="A353" t="s">
        <v>1247</v>
      </c>
      <c r="B353" s="54">
        <v>0.218</v>
      </c>
      <c r="C353" s="54">
        <v>0.22600000000000001</v>
      </c>
      <c r="D353" s="54">
        <v>0.219</v>
      </c>
      <c r="E353" s="54">
        <v>0.22600000000000001</v>
      </c>
      <c r="F353" s="54">
        <v>0.17199999999999999</v>
      </c>
      <c r="G353" s="3">
        <v>1.4E-2</v>
      </c>
      <c r="H353" s="3">
        <v>8.0000000000000002E-3</v>
      </c>
      <c r="I353" s="3">
        <v>3.6999999999999998E-2</v>
      </c>
      <c r="J353" s="3">
        <v>4.0000000000000001E-3</v>
      </c>
      <c r="K353" s="3">
        <v>5.0000000000000001E-3</v>
      </c>
      <c r="L353" s="3">
        <v>4.3999999999999997E-2</v>
      </c>
      <c r="M353" s="3">
        <v>0</v>
      </c>
      <c r="N353" s="3">
        <v>4.0000000000000001E-3</v>
      </c>
      <c r="O353" s="3">
        <v>8.0000000000000002E-3</v>
      </c>
      <c r="P353" s="60">
        <v>9.7000000000000003E-2</v>
      </c>
      <c r="Q353" s="60">
        <v>9.6000000000000002E-2</v>
      </c>
      <c r="R353" s="60">
        <v>9.1999999999999998E-2</v>
      </c>
      <c r="S353" s="60">
        <v>8.7999999999999995E-2</v>
      </c>
      <c r="T353" s="60">
        <v>7.9000000000000001E-2</v>
      </c>
      <c r="U353" s="3">
        <v>5.0999999999999997E-2</v>
      </c>
      <c r="V353" s="3">
        <v>0</v>
      </c>
      <c r="W353" s="3">
        <v>3.3000000000000002E-2</v>
      </c>
      <c r="X353" s="3">
        <v>0.17100000000000001</v>
      </c>
      <c r="Y353" s="3">
        <v>2.8000000000000001E-2</v>
      </c>
      <c r="Z353" s="3">
        <v>9.1999999999999998E-2</v>
      </c>
      <c r="AA353" s="3">
        <v>2E-3</v>
      </c>
      <c r="AB353" s="3">
        <v>5.0999999999999997E-2</v>
      </c>
      <c r="AC353" s="3">
        <v>7.5999999999999998E-2</v>
      </c>
    </row>
    <row r="354" spans="1:29" x14ac:dyDescent="0.35">
      <c r="A354" t="s">
        <v>1248</v>
      </c>
      <c r="B354" s="7">
        <v>0.57999999999999996</v>
      </c>
      <c r="C354" s="7">
        <v>0.6</v>
      </c>
      <c r="D354" s="7">
        <v>0.57999999999999996</v>
      </c>
      <c r="E354" s="7">
        <v>0.6</v>
      </c>
      <c r="F354" s="7">
        <v>0.43</v>
      </c>
      <c r="G354" s="7">
        <v>0.04</v>
      </c>
      <c r="H354" s="7">
        <v>0.02</v>
      </c>
      <c r="I354" s="7">
        <v>0.11</v>
      </c>
      <c r="J354" s="7">
        <v>0.01</v>
      </c>
      <c r="K354" s="7">
        <v>0.02</v>
      </c>
      <c r="L354" s="7">
        <v>0.13</v>
      </c>
      <c r="M354" s="7">
        <v>0</v>
      </c>
      <c r="N354" s="7">
        <v>0.01</v>
      </c>
      <c r="O354" s="7">
        <v>0.02</v>
      </c>
      <c r="P354" s="7">
        <v>0.27</v>
      </c>
      <c r="Q354" s="7">
        <v>0.27</v>
      </c>
      <c r="R354" s="7">
        <v>0.26</v>
      </c>
      <c r="S354" s="7">
        <v>0.24</v>
      </c>
      <c r="T354" s="7">
        <v>0.22</v>
      </c>
      <c r="U354" s="7">
        <v>0.15</v>
      </c>
      <c r="V354" s="7">
        <v>0</v>
      </c>
      <c r="W354" s="7">
        <v>0.1</v>
      </c>
      <c r="X354" s="7">
        <v>0.49</v>
      </c>
      <c r="Y354" s="7">
        <v>0.08</v>
      </c>
      <c r="Z354" s="7">
        <v>0.28000000000000003</v>
      </c>
      <c r="AA354" s="7">
        <v>0.01</v>
      </c>
      <c r="AB354" s="7">
        <v>0.15</v>
      </c>
      <c r="AC354" s="7">
        <v>0.23</v>
      </c>
    </row>
    <row r="355" spans="1:29" x14ac:dyDescent="0.35">
      <c r="A355" t="s">
        <v>1249</v>
      </c>
      <c r="B355" s="7">
        <v>2.0699999999999998</v>
      </c>
      <c r="C355" s="7">
        <v>2.06</v>
      </c>
      <c r="D355" s="7">
        <v>2.06</v>
      </c>
      <c r="E355" s="7">
        <v>2.06</v>
      </c>
      <c r="F355" s="7">
        <v>2.06</v>
      </c>
      <c r="G355" s="7">
        <v>2.94</v>
      </c>
      <c r="H355" s="7">
        <v>2.97</v>
      </c>
      <c r="I355" s="7">
        <v>2.88</v>
      </c>
      <c r="J355" s="7">
        <v>2.98</v>
      </c>
      <c r="K355" s="7">
        <v>2.97</v>
      </c>
      <c r="L355" s="7">
        <v>2.86</v>
      </c>
      <c r="M355" s="7">
        <v>2.99</v>
      </c>
      <c r="N355" s="7">
        <v>2.98</v>
      </c>
      <c r="O355" s="7">
        <v>2.96</v>
      </c>
      <c r="P355" s="7">
        <v>2.54</v>
      </c>
      <c r="Q355" s="7">
        <v>2.54</v>
      </c>
      <c r="R355" s="7">
        <v>2.54</v>
      </c>
      <c r="S355" s="7">
        <v>2.5299999999999998</v>
      </c>
      <c r="T355" s="7">
        <v>2.5299999999999998</v>
      </c>
      <c r="U355" s="7">
        <v>2.83</v>
      </c>
      <c r="V355" s="7">
        <v>2.99</v>
      </c>
      <c r="W355" s="7">
        <v>2.89</v>
      </c>
      <c r="X355" s="7">
        <v>2.36</v>
      </c>
      <c r="Y355" s="7">
        <v>2.9</v>
      </c>
      <c r="Z355" s="7">
        <v>2.71</v>
      </c>
      <c r="AA355" s="7">
        <v>2.98</v>
      </c>
      <c r="AB355" s="7">
        <v>2.84</v>
      </c>
      <c r="AC355" s="7">
        <v>2.76</v>
      </c>
    </row>
    <row r="356" spans="1:29" x14ac:dyDescent="0.35">
      <c r="A356" t="s">
        <v>1245</v>
      </c>
      <c r="B356" s="7">
        <v>2.0699999999999998</v>
      </c>
      <c r="C356" s="7">
        <v>2.06</v>
      </c>
      <c r="D356" s="7">
        <v>2.06</v>
      </c>
      <c r="E356" s="7">
        <v>2.0699999999999998</v>
      </c>
      <c r="F356" s="7">
        <v>2.06</v>
      </c>
      <c r="G356" s="7">
        <v>2.98</v>
      </c>
      <c r="H356" s="7">
        <v>2.99</v>
      </c>
      <c r="I356" s="7">
        <v>2.99</v>
      </c>
      <c r="J356" s="7">
        <v>2.99</v>
      </c>
      <c r="K356" s="7">
        <v>2.99</v>
      </c>
      <c r="L356" s="7">
        <v>2.98</v>
      </c>
      <c r="M356" s="7">
        <v>2.99</v>
      </c>
      <c r="N356" s="7">
        <v>2.99</v>
      </c>
      <c r="O356" s="7">
        <v>2.98</v>
      </c>
      <c r="P356" s="7">
        <v>2.54</v>
      </c>
      <c r="Q356" s="7">
        <v>2.54</v>
      </c>
      <c r="R356" s="7">
        <v>2.54</v>
      </c>
      <c r="S356" s="7">
        <v>2.5299999999999998</v>
      </c>
      <c r="T356" s="7">
        <v>2.5299999999999998</v>
      </c>
      <c r="U356" s="7">
        <v>2.99</v>
      </c>
      <c r="V356" s="7">
        <v>2.99</v>
      </c>
      <c r="W356" s="7">
        <v>2.99</v>
      </c>
      <c r="X356" s="7">
        <v>2.36</v>
      </c>
      <c r="Y356" s="7">
        <v>2.98</v>
      </c>
      <c r="Z356" s="7">
        <v>2.98</v>
      </c>
      <c r="AA356" s="7">
        <v>2.99</v>
      </c>
      <c r="AB356" s="7">
        <v>2.98</v>
      </c>
      <c r="AC356" s="7">
        <v>2.98</v>
      </c>
    </row>
    <row r="359" spans="1:29" x14ac:dyDescent="0.35">
      <c r="A359" t="s">
        <v>1254</v>
      </c>
      <c r="B359" s="5">
        <v>46026</v>
      </c>
      <c r="C359" s="5">
        <v>46033</v>
      </c>
      <c r="D359" s="5">
        <v>46040</v>
      </c>
      <c r="E359" s="5">
        <v>46047</v>
      </c>
      <c r="F359" s="5">
        <v>46054</v>
      </c>
      <c r="G359" s="5">
        <v>46061</v>
      </c>
      <c r="H359" s="5">
        <v>46068</v>
      </c>
      <c r="I359" s="5">
        <v>46075</v>
      </c>
      <c r="J359" s="5">
        <v>46082</v>
      </c>
      <c r="K359" s="5">
        <v>46089</v>
      </c>
      <c r="L359" s="5">
        <v>46096</v>
      </c>
      <c r="M359" s="5">
        <v>46103</v>
      </c>
      <c r="N359" s="5">
        <v>46110</v>
      </c>
      <c r="O359" s="5">
        <v>46117</v>
      </c>
      <c r="P359" s="5">
        <v>46124</v>
      </c>
      <c r="Q359" s="5">
        <v>46131</v>
      </c>
      <c r="R359" s="5">
        <v>46138</v>
      </c>
      <c r="S359" s="5">
        <v>46145</v>
      </c>
      <c r="T359" s="5">
        <v>46152</v>
      </c>
      <c r="U359" s="5">
        <v>46159</v>
      </c>
      <c r="V359" s="5">
        <v>46166</v>
      </c>
      <c r="W359" s="5">
        <v>46173</v>
      </c>
      <c r="X359" s="5">
        <v>46180</v>
      </c>
      <c r="Y359" s="5">
        <v>46187</v>
      </c>
      <c r="Z359" s="5">
        <v>46194</v>
      </c>
      <c r="AA359" s="5">
        <v>46201</v>
      </c>
      <c r="AB359" s="5">
        <v>46208</v>
      </c>
      <c r="AC359" s="5">
        <v>46215</v>
      </c>
    </row>
    <row r="360" spans="1:29" x14ac:dyDescent="0.35">
      <c r="A360" t="s">
        <v>1241</v>
      </c>
      <c r="B360">
        <v>302</v>
      </c>
      <c r="C360">
        <v>566</v>
      </c>
      <c r="D360">
        <v>667</v>
      </c>
      <c r="E360">
        <v>734</v>
      </c>
      <c r="F360">
        <v>558</v>
      </c>
      <c r="G360" s="6">
        <v>1232</v>
      </c>
      <c r="H360" s="6">
        <v>1089</v>
      </c>
      <c r="I360" s="6">
        <v>1163</v>
      </c>
      <c r="J360" s="6">
        <v>1195</v>
      </c>
      <c r="K360" s="6">
        <v>1202</v>
      </c>
      <c r="L360">
        <v>876</v>
      </c>
      <c r="M360">
        <v>812</v>
      </c>
      <c r="N360">
        <v>891</v>
      </c>
      <c r="O360">
        <v>836</v>
      </c>
      <c r="P360">
        <v>792</v>
      </c>
      <c r="Q360">
        <v>851</v>
      </c>
      <c r="R360">
        <v>966</v>
      </c>
      <c r="S360">
        <v>973</v>
      </c>
      <c r="T360">
        <v>956</v>
      </c>
      <c r="U360" s="6">
        <v>1289</v>
      </c>
      <c r="V360" s="6">
        <v>1392</v>
      </c>
      <c r="W360" s="6">
        <v>1303</v>
      </c>
      <c r="X360" s="6">
        <v>1141</v>
      </c>
      <c r="Y360" s="6">
        <v>1243</v>
      </c>
      <c r="Z360">
        <v>958</v>
      </c>
      <c r="AA360">
        <v>841</v>
      </c>
      <c r="AB360">
        <v>881</v>
      </c>
      <c r="AC360">
        <v>812</v>
      </c>
    </row>
    <row r="361" spans="1:29" x14ac:dyDescent="0.35">
      <c r="A361" t="s">
        <v>1242</v>
      </c>
      <c r="B361" s="3">
        <v>0</v>
      </c>
      <c r="C361" s="3">
        <v>1E-3</v>
      </c>
      <c r="D361" s="3">
        <v>0</v>
      </c>
      <c r="E361" s="3">
        <v>2E-3</v>
      </c>
      <c r="F361" s="3">
        <v>0</v>
      </c>
      <c r="G361" s="3">
        <v>0.79900000000000004</v>
      </c>
      <c r="H361" s="3">
        <v>0.59199999999999997</v>
      </c>
      <c r="I361" s="3">
        <v>0.67900000000000005</v>
      </c>
      <c r="J361" s="3">
        <v>0.67400000000000004</v>
      </c>
      <c r="K361" s="3">
        <v>0.65800000000000003</v>
      </c>
      <c r="L361" s="3">
        <v>6.0000000000000001E-3</v>
      </c>
      <c r="M361" s="3">
        <v>0</v>
      </c>
      <c r="N361" s="3">
        <v>3.0000000000000001E-3</v>
      </c>
      <c r="O361" s="3">
        <v>0</v>
      </c>
      <c r="P361" s="3">
        <v>0</v>
      </c>
      <c r="Q361" s="3">
        <v>0</v>
      </c>
      <c r="R361" s="3">
        <v>0</v>
      </c>
      <c r="S361" s="3">
        <v>1E-3</v>
      </c>
      <c r="T361" s="3">
        <v>0</v>
      </c>
      <c r="U361" s="3">
        <v>0.41899999999999998</v>
      </c>
      <c r="V361" s="3">
        <v>0.42699999999999999</v>
      </c>
      <c r="W361" s="3">
        <v>0.437</v>
      </c>
      <c r="X361" s="3">
        <v>0.44600000000000001</v>
      </c>
      <c r="Y361" s="3">
        <v>0.47499999999999998</v>
      </c>
      <c r="Z361" s="3">
        <v>3.0000000000000001E-3</v>
      </c>
      <c r="AA361" s="3">
        <v>1E-3</v>
      </c>
      <c r="AB361" s="3">
        <v>1.6E-2</v>
      </c>
      <c r="AC361" s="3">
        <v>1.9E-2</v>
      </c>
    </row>
    <row r="362" spans="1:29" x14ac:dyDescent="0.35">
      <c r="A362" t="s">
        <v>1243</v>
      </c>
      <c r="B362">
        <v>0</v>
      </c>
      <c r="C362">
        <v>1</v>
      </c>
      <c r="D362">
        <v>0</v>
      </c>
      <c r="E362">
        <v>2</v>
      </c>
      <c r="F362">
        <v>0</v>
      </c>
      <c r="G362">
        <v>547</v>
      </c>
      <c r="H362">
        <v>405</v>
      </c>
      <c r="I362">
        <v>470</v>
      </c>
      <c r="J362">
        <v>481</v>
      </c>
      <c r="K362">
        <v>477</v>
      </c>
      <c r="L362">
        <v>6</v>
      </c>
      <c r="M362">
        <v>0</v>
      </c>
      <c r="N362">
        <v>3</v>
      </c>
      <c r="O362">
        <v>0</v>
      </c>
      <c r="P362">
        <v>0</v>
      </c>
      <c r="Q362">
        <v>0</v>
      </c>
      <c r="R362">
        <v>0</v>
      </c>
      <c r="S362">
        <v>1</v>
      </c>
      <c r="T362">
        <v>0</v>
      </c>
      <c r="U362">
        <v>381</v>
      </c>
      <c r="V362">
        <v>417</v>
      </c>
      <c r="W362">
        <v>396</v>
      </c>
      <c r="X362">
        <v>352</v>
      </c>
      <c r="Y362">
        <v>401</v>
      </c>
      <c r="Z362">
        <v>3</v>
      </c>
      <c r="AA362">
        <v>1</v>
      </c>
      <c r="AB362">
        <v>14</v>
      </c>
      <c r="AC362">
        <v>15</v>
      </c>
    </row>
    <row r="363" spans="1:29" x14ac:dyDescent="0.35">
      <c r="A363" t="s">
        <v>1244</v>
      </c>
      <c r="B363">
        <v>302</v>
      </c>
      <c r="C363">
        <v>565</v>
      </c>
      <c r="D363">
        <v>667</v>
      </c>
      <c r="E363">
        <v>732</v>
      </c>
      <c r="F363">
        <v>558</v>
      </c>
      <c r="G363">
        <v>685</v>
      </c>
      <c r="H363">
        <v>684</v>
      </c>
      <c r="I363">
        <v>693</v>
      </c>
      <c r="J363">
        <v>714</v>
      </c>
      <c r="K363">
        <v>725</v>
      </c>
      <c r="L363">
        <v>871</v>
      </c>
      <c r="M363">
        <v>812</v>
      </c>
      <c r="N363">
        <v>888</v>
      </c>
      <c r="O363">
        <v>836</v>
      </c>
      <c r="P363">
        <v>792</v>
      </c>
      <c r="Q363">
        <v>851</v>
      </c>
      <c r="R363">
        <v>966</v>
      </c>
      <c r="S363">
        <v>972</v>
      </c>
      <c r="T363">
        <v>956</v>
      </c>
      <c r="U363">
        <v>908</v>
      </c>
      <c r="V363">
        <v>975</v>
      </c>
      <c r="W363">
        <v>907</v>
      </c>
      <c r="X363">
        <v>789</v>
      </c>
      <c r="Y363">
        <v>843</v>
      </c>
      <c r="Z363">
        <v>955</v>
      </c>
      <c r="AA363">
        <v>840</v>
      </c>
      <c r="AB363">
        <v>867</v>
      </c>
      <c r="AC363">
        <v>797</v>
      </c>
    </row>
    <row r="364" spans="1:29" x14ac:dyDescent="0.35">
      <c r="A364" t="s">
        <v>1245</v>
      </c>
      <c r="B364" s="7">
        <v>9.99</v>
      </c>
      <c r="C364" s="7">
        <v>9.98</v>
      </c>
      <c r="D364" s="7">
        <v>9.98</v>
      </c>
      <c r="E364" s="7">
        <v>9.9600000000000009</v>
      </c>
      <c r="F364" s="7">
        <v>9.99</v>
      </c>
      <c r="G364" s="7">
        <v>9.06</v>
      </c>
      <c r="H364" s="7">
        <v>9.0500000000000007</v>
      </c>
      <c r="I364" s="7">
        <v>9.07</v>
      </c>
      <c r="J364" s="7">
        <v>9.07</v>
      </c>
      <c r="K364" s="7">
        <v>9.0299999999999994</v>
      </c>
      <c r="L364" s="7">
        <v>9.9700000000000006</v>
      </c>
      <c r="M364" s="7">
        <v>9.9700000000000006</v>
      </c>
      <c r="N364" s="7">
        <v>9.9600000000000009</v>
      </c>
      <c r="O364" s="7">
        <v>9.98</v>
      </c>
      <c r="P364" s="7">
        <v>9.99</v>
      </c>
      <c r="Q364" s="7">
        <v>9.99</v>
      </c>
      <c r="R364" s="7">
        <v>9.98</v>
      </c>
      <c r="S364" s="7">
        <v>9.9600000000000009</v>
      </c>
      <c r="T364" s="7">
        <v>9.98</v>
      </c>
      <c r="U364" s="7">
        <v>9.0399999999999991</v>
      </c>
      <c r="V364" s="7">
        <v>9.02</v>
      </c>
      <c r="W364" s="7">
        <v>9.0500000000000007</v>
      </c>
      <c r="X364" s="7">
        <v>9.0500000000000007</v>
      </c>
      <c r="Y364" s="7">
        <v>9.08</v>
      </c>
      <c r="Z364" s="7">
        <v>9.9700000000000006</v>
      </c>
      <c r="AA364" s="7">
        <v>9.94</v>
      </c>
      <c r="AB364" s="7">
        <v>9.98</v>
      </c>
      <c r="AC364" s="7">
        <v>9.9600000000000009</v>
      </c>
    </row>
    <row r="366" spans="1:29" x14ac:dyDescent="0.35">
      <c r="A366" t="s">
        <v>1254</v>
      </c>
      <c r="B366" s="5">
        <v>46026</v>
      </c>
      <c r="C366" s="5">
        <v>46033</v>
      </c>
      <c r="D366" s="5">
        <v>46040</v>
      </c>
      <c r="E366" s="5">
        <v>46047</v>
      </c>
      <c r="F366" s="5">
        <v>46054</v>
      </c>
      <c r="G366" s="5">
        <v>46061</v>
      </c>
      <c r="H366" s="5">
        <v>46068</v>
      </c>
      <c r="I366" s="5">
        <v>46075</v>
      </c>
      <c r="J366" s="5">
        <v>46082</v>
      </c>
      <c r="K366" s="5">
        <v>46089</v>
      </c>
      <c r="L366" s="5">
        <v>46096</v>
      </c>
      <c r="M366" s="5">
        <v>46103</v>
      </c>
      <c r="N366" s="5">
        <v>46110</v>
      </c>
      <c r="O366" s="5">
        <v>46117</v>
      </c>
      <c r="P366" s="5">
        <v>46124</v>
      </c>
      <c r="Q366" s="5">
        <v>46131</v>
      </c>
      <c r="R366" s="5">
        <v>46138</v>
      </c>
      <c r="S366" s="5">
        <v>46145</v>
      </c>
      <c r="T366" s="5">
        <v>46152</v>
      </c>
      <c r="U366" s="5">
        <v>46159</v>
      </c>
      <c r="V366" s="5">
        <v>46166</v>
      </c>
      <c r="W366" s="5">
        <v>46173</v>
      </c>
      <c r="X366" s="5">
        <v>46180</v>
      </c>
      <c r="Y366" s="5">
        <v>46187</v>
      </c>
      <c r="Z366" s="5">
        <v>46194</v>
      </c>
      <c r="AA366" s="5">
        <v>46201</v>
      </c>
      <c r="AB366" s="5">
        <v>46208</v>
      </c>
      <c r="AC366" s="5">
        <v>46215</v>
      </c>
    </row>
    <row r="367" spans="1:29" x14ac:dyDescent="0.35">
      <c r="A367" t="s">
        <v>1293</v>
      </c>
      <c r="B367" s="3">
        <v>0</v>
      </c>
      <c r="C367" s="3">
        <v>1E-3</v>
      </c>
      <c r="D367" s="3">
        <v>0</v>
      </c>
      <c r="E367" s="3">
        <v>0</v>
      </c>
      <c r="F367" s="3">
        <v>0</v>
      </c>
      <c r="G367" s="3">
        <v>0.67300000000000004</v>
      </c>
      <c r="H367" s="3">
        <v>0.48499999999999999</v>
      </c>
      <c r="I367" s="3">
        <v>0.57499999999999996</v>
      </c>
      <c r="J367" s="3">
        <v>0.56899999999999995</v>
      </c>
      <c r="K367" s="3">
        <v>0.55100000000000005</v>
      </c>
      <c r="L367" s="3">
        <v>5.0000000000000001E-3</v>
      </c>
      <c r="M367" s="3">
        <v>0</v>
      </c>
      <c r="N367" s="3">
        <v>2E-3</v>
      </c>
      <c r="O367" s="3">
        <v>0</v>
      </c>
      <c r="P367" s="3">
        <v>0</v>
      </c>
      <c r="Q367" s="3">
        <v>0</v>
      </c>
      <c r="R367" s="3">
        <v>0</v>
      </c>
      <c r="S367" s="3">
        <v>1E-3</v>
      </c>
      <c r="T367" s="3">
        <v>0</v>
      </c>
      <c r="U367" s="3">
        <v>0.33700000000000002</v>
      </c>
      <c r="V367" s="3">
        <v>0.33400000000000002</v>
      </c>
      <c r="W367" s="3">
        <v>0.35499999999999998</v>
      </c>
      <c r="X367" s="3">
        <v>0.36099999999999999</v>
      </c>
      <c r="Y367" s="3">
        <v>0.38800000000000001</v>
      </c>
      <c r="Z367" s="3">
        <v>2E-3</v>
      </c>
      <c r="AA367" s="3">
        <v>0</v>
      </c>
      <c r="AB367" s="3">
        <v>1.4999999999999999E-2</v>
      </c>
      <c r="AC367" s="3">
        <v>1.6E-2</v>
      </c>
    </row>
    <row r="368" spans="1:29" x14ac:dyDescent="0.35">
      <c r="A368" t="s">
        <v>1247</v>
      </c>
      <c r="B368" t="s">
        <v>1272</v>
      </c>
      <c r="C368" s="3">
        <v>0.25</v>
      </c>
      <c r="D368" s="3">
        <v>0.5</v>
      </c>
      <c r="E368" s="3">
        <v>0.45</v>
      </c>
      <c r="F368" t="s">
        <v>1272</v>
      </c>
      <c r="G368" s="3">
        <v>7.0000000000000007E-2</v>
      </c>
      <c r="H368" s="3">
        <v>7.0000000000000007E-2</v>
      </c>
      <c r="I368" s="3">
        <v>6.2E-2</v>
      </c>
      <c r="J368" s="3">
        <v>6.5000000000000002E-2</v>
      </c>
      <c r="K368" s="3">
        <v>6.6000000000000003E-2</v>
      </c>
      <c r="L368" s="3">
        <v>8.2000000000000003E-2</v>
      </c>
      <c r="M368" s="3">
        <v>0.499</v>
      </c>
      <c r="N368" s="3">
        <v>0.28000000000000003</v>
      </c>
      <c r="O368" s="3">
        <v>0.25</v>
      </c>
      <c r="P368" t="s">
        <v>1272</v>
      </c>
      <c r="Q368" t="s">
        <v>1272</v>
      </c>
      <c r="R368" s="3">
        <v>0.25</v>
      </c>
      <c r="S368" s="3">
        <v>0.311</v>
      </c>
      <c r="T368" s="3">
        <v>0.5</v>
      </c>
      <c r="U368" s="3">
        <v>0.06</v>
      </c>
      <c r="V368" s="3">
        <v>6.8000000000000005E-2</v>
      </c>
      <c r="W368" s="3">
        <v>0.06</v>
      </c>
      <c r="X368" s="3">
        <v>5.8999999999999997E-2</v>
      </c>
      <c r="Y368" s="3">
        <v>6.2E-2</v>
      </c>
      <c r="Z368" s="3">
        <v>8.6999999999999994E-2</v>
      </c>
      <c r="AA368" s="3">
        <v>0.21199999999999999</v>
      </c>
      <c r="AB368" s="3">
        <v>1.2E-2</v>
      </c>
      <c r="AC368" s="3">
        <v>5.8000000000000003E-2</v>
      </c>
    </row>
    <row r="369" spans="1:29" x14ac:dyDescent="0.35">
      <c r="A369" t="s">
        <v>1248</v>
      </c>
      <c r="B369" t="s">
        <v>1272</v>
      </c>
      <c r="C369" s="7">
        <v>2.4900000000000002</v>
      </c>
      <c r="D369" s="7">
        <v>4.99</v>
      </c>
      <c r="E369" s="7">
        <v>4.49</v>
      </c>
      <c r="F369" t="s">
        <v>1272</v>
      </c>
      <c r="G369" s="7">
        <v>0.68</v>
      </c>
      <c r="H369" s="7">
        <v>0.68</v>
      </c>
      <c r="I369" s="7">
        <v>0.6</v>
      </c>
      <c r="J369" s="7">
        <v>0.63</v>
      </c>
      <c r="K369" s="7">
        <v>0.64</v>
      </c>
      <c r="L369" s="7">
        <v>0.82</v>
      </c>
      <c r="M369" s="7">
        <v>4.9800000000000004</v>
      </c>
      <c r="N369" s="7">
        <v>2.8</v>
      </c>
      <c r="O369" s="7">
        <v>2.4900000000000002</v>
      </c>
      <c r="P369" t="s">
        <v>1272</v>
      </c>
      <c r="Q369" t="s">
        <v>1272</v>
      </c>
      <c r="R369" s="7">
        <v>2.4900000000000002</v>
      </c>
      <c r="S369" s="7">
        <v>3.1</v>
      </c>
      <c r="T369" s="7">
        <v>4.99</v>
      </c>
      <c r="U369" s="7">
        <v>0.56999999999999995</v>
      </c>
      <c r="V369" s="7">
        <v>0.66</v>
      </c>
      <c r="W369" s="7">
        <v>0.56999999999999995</v>
      </c>
      <c r="X369" s="7">
        <v>0.56000000000000005</v>
      </c>
      <c r="Y369" s="7">
        <v>0.6</v>
      </c>
      <c r="Z369" s="7">
        <v>0.87</v>
      </c>
      <c r="AA369" s="7">
        <v>2.11</v>
      </c>
      <c r="AB369" s="7">
        <v>0.12</v>
      </c>
      <c r="AC369" s="7">
        <v>0.57999999999999996</v>
      </c>
    </row>
    <row r="370" spans="1:29" x14ac:dyDescent="0.35">
      <c r="A370" t="s">
        <v>1249</v>
      </c>
      <c r="B370" t="s">
        <v>1272</v>
      </c>
      <c r="C370" s="7">
        <v>7.5</v>
      </c>
      <c r="D370" s="7">
        <v>4.99</v>
      </c>
      <c r="E370" s="7">
        <v>5.49</v>
      </c>
      <c r="F370" t="s">
        <v>1272</v>
      </c>
      <c r="G370" s="7">
        <v>9.06</v>
      </c>
      <c r="H370" s="7">
        <v>9.02</v>
      </c>
      <c r="I370" s="7">
        <v>9.07</v>
      </c>
      <c r="J370" s="7">
        <v>9.0500000000000007</v>
      </c>
      <c r="K370" s="7">
        <v>9.02</v>
      </c>
      <c r="L370" s="7">
        <v>9.16</v>
      </c>
      <c r="M370" s="7">
        <v>4.99</v>
      </c>
      <c r="N370" s="7">
        <v>7.18</v>
      </c>
      <c r="O370" s="7">
        <v>7.49</v>
      </c>
      <c r="P370" t="s">
        <v>1272</v>
      </c>
      <c r="Q370" t="s">
        <v>1272</v>
      </c>
      <c r="R370" s="7">
        <v>7.49</v>
      </c>
      <c r="S370" s="7">
        <v>6.87</v>
      </c>
      <c r="T370" s="7">
        <v>4.99</v>
      </c>
      <c r="U370" s="7">
        <v>9.02</v>
      </c>
      <c r="V370" s="7">
        <v>8.99</v>
      </c>
      <c r="W370" s="7">
        <v>9.02</v>
      </c>
      <c r="X370" s="7">
        <v>9.0500000000000007</v>
      </c>
      <c r="Y370" s="7">
        <v>9.0500000000000007</v>
      </c>
      <c r="Z370" s="7">
        <v>9.11</v>
      </c>
      <c r="AA370" s="7">
        <v>7.84</v>
      </c>
      <c r="AB370" s="7">
        <v>9.8699999999999992</v>
      </c>
      <c r="AC370" s="7">
        <v>9.4</v>
      </c>
    </row>
    <row r="371" spans="1:29" x14ac:dyDescent="0.35">
      <c r="A371" t="s">
        <v>1245</v>
      </c>
      <c r="B371" s="7">
        <v>9.99</v>
      </c>
      <c r="C371" s="7">
        <v>9.98</v>
      </c>
      <c r="D371" s="7">
        <v>9.98</v>
      </c>
      <c r="E371" s="7">
        <v>9.9600000000000009</v>
      </c>
      <c r="F371" s="7">
        <v>9.99</v>
      </c>
      <c r="G371" s="7">
        <v>9.06</v>
      </c>
      <c r="H371" s="7">
        <v>9.0500000000000007</v>
      </c>
      <c r="I371" s="7">
        <v>9.07</v>
      </c>
      <c r="J371" s="7">
        <v>9.07</v>
      </c>
      <c r="K371" s="7">
        <v>9.0299999999999994</v>
      </c>
      <c r="L371" s="7">
        <v>9.9700000000000006</v>
      </c>
      <c r="M371" s="7">
        <v>9.9700000000000006</v>
      </c>
      <c r="N371" s="7">
        <v>9.9600000000000009</v>
      </c>
      <c r="O371" s="7">
        <v>9.98</v>
      </c>
      <c r="P371" s="7">
        <v>9.99</v>
      </c>
      <c r="Q371" s="7">
        <v>9.99</v>
      </c>
      <c r="R371" s="7">
        <v>9.98</v>
      </c>
      <c r="S371" s="7">
        <v>9.9600000000000009</v>
      </c>
      <c r="T371" s="7">
        <v>9.98</v>
      </c>
      <c r="U371" s="7">
        <v>9.0399999999999991</v>
      </c>
      <c r="V371" s="7">
        <v>9.02</v>
      </c>
      <c r="W371" s="7">
        <v>9.0500000000000007</v>
      </c>
      <c r="X371" s="7">
        <v>9.0500000000000007</v>
      </c>
      <c r="Y371" s="7">
        <v>9.08</v>
      </c>
      <c r="Z371" s="7">
        <v>9.9700000000000006</v>
      </c>
      <c r="AA371" s="7">
        <v>9.94</v>
      </c>
      <c r="AB371" s="7">
        <v>9.98</v>
      </c>
      <c r="AC371" s="7">
        <v>9.9600000000000009</v>
      </c>
    </row>
    <row r="373" spans="1:29" s="79" customFormat="1" x14ac:dyDescent="0.35"/>
    <row r="374" spans="1:29" x14ac:dyDescent="0.35">
      <c r="A374" s="4" t="s">
        <v>1303</v>
      </c>
    </row>
    <row r="376" spans="1:29" x14ac:dyDescent="0.35">
      <c r="A376" t="s">
        <v>1240</v>
      </c>
      <c r="B376" s="72">
        <v>46026</v>
      </c>
      <c r="C376" s="5">
        <v>46033</v>
      </c>
      <c r="D376" s="5">
        <v>46040</v>
      </c>
      <c r="E376" s="5">
        <v>46047</v>
      </c>
      <c r="F376" s="5">
        <v>46054</v>
      </c>
      <c r="G376" s="5">
        <v>46061</v>
      </c>
      <c r="H376" s="5">
        <v>46068</v>
      </c>
      <c r="I376" s="5">
        <v>46075</v>
      </c>
      <c r="J376" s="5">
        <v>46082</v>
      </c>
      <c r="K376" s="5">
        <v>46089</v>
      </c>
      <c r="L376" s="5">
        <v>46096</v>
      </c>
      <c r="M376" s="5">
        <v>46103</v>
      </c>
      <c r="N376" s="5">
        <v>46110</v>
      </c>
      <c r="O376" s="5">
        <v>46117</v>
      </c>
      <c r="P376" s="5">
        <v>46124</v>
      </c>
      <c r="Q376" s="5">
        <v>46131</v>
      </c>
      <c r="R376" s="72">
        <v>46138</v>
      </c>
      <c r="S376" s="5">
        <v>46145</v>
      </c>
      <c r="T376" s="5">
        <v>46152</v>
      </c>
      <c r="U376" s="5">
        <v>46159</v>
      </c>
      <c r="V376" s="5">
        <v>46166</v>
      </c>
      <c r="W376" s="5">
        <v>46173</v>
      </c>
      <c r="X376" s="5">
        <v>46180</v>
      </c>
      <c r="Y376" s="5">
        <v>46187</v>
      </c>
      <c r="Z376" s="5">
        <v>46194</v>
      </c>
      <c r="AA376" s="5">
        <v>46201</v>
      </c>
      <c r="AB376" s="5">
        <v>46208</v>
      </c>
      <c r="AC376" s="5">
        <v>46215</v>
      </c>
    </row>
    <row r="377" spans="1:29" x14ac:dyDescent="0.35">
      <c r="A377" t="s">
        <v>1241</v>
      </c>
      <c r="B377" s="58">
        <v>22696</v>
      </c>
      <c r="C377" s="6">
        <v>5961</v>
      </c>
      <c r="D377" s="6">
        <v>6161</v>
      </c>
      <c r="E377" s="6">
        <v>8836</v>
      </c>
      <c r="F377" s="6">
        <v>7137</v>
      </c>
      <c r="G377" s="6">
        <v>5638</v>
      </c>
      <c r="H377" s="6">
        <v>5515</v>
      </c>
      <c r="I377" s="6">
        <v>5810</v>
      </c>
      <c r="J377" s="6">
        <v>5807</v>
      </c>
      <c r="K377" s="6">
        <v>5304</v>
      </c>
      <c r="L377" s="6">
        <v>4792</v>
      </c>
      <c r="M377" s="6">
        <v>4950</v>
      </c>
      <c r="N377" s="6">
        <v>4852</v>
      </c>
      <c r="O377" s="6">
        <v>4561</v>
      </c>
      <c r="P377" s="6">
        <v>3640</v>
      </c>
      <c r="Q377" s="6">
        <v>4673</v>
      </c>
      <c r="R377" s="58">
        <v>18791</v>
      </c>
      <c r="S377" s="6">
        <v>5366</v>
      </c>
      <c r="T377" s="6">
        <v>5513</v>
      </c>
      <c r="U377" s="6">
        <v>5071</v>
      </c>
      <c r="V377" s="6">
        <v>5140</v>
      </c>
      <c r="W377" s="6">
        <v>4870</v>
      </c>
      <c r="X377" s="6">
        <v>4439</v>
      </c>
      <c r="Y377" s="6">
        <v>3915</v>
      </c>
      <c r="Z377" s="6">
        <v>3673</v>
      </c>
      <c r="AA377" s="6">
        <v>3651</v>
      </c>
      <c r="AB377" s="6">
        <v>3762</v>
      </c>
      <c r="AC377" s="6">
        <v>3546</v>
      </c>
    </row>
    <row r="378" spans="1:29" x14ac:dyDescent="0.35">
      <c r="A378" t="s">
        <v>1242</v>
      </c>
      <c r="B378" s="60">
        <v>2.9390000000000001</v>
      </c>
      <c r="C378" s="3">
        <v>1E-3</v>
      </c>
      <c r="D378" s="3">
        <v>0.26300000000000001</v>
      </c>
      <c r="E378" s="3">
        <v>0.65800000000000003</v>
      </c>
      <c r="F378" s="3">
        <v>0.30399999999999999</v>
      </c>
      <c r="G378" s="3">
        <v>0</v>
      </c>
      <c r="H378" s="3">
        <v>0</v>
      </c>
      <c r="I378" s="3">
        <v>0</v>
      </c>
      <c r="J378" s="3">
        <v>0</v>
      </c>
      <c r="K378" s="3">
        <v>0</v>
      </c>
      <c r="L378" s="3">
        <v>1.4E-2</v>
      </c>
      <c r="M378" s="3">
        <v>2.4E-2</v>
      </c>
      <c r="N378" s="3">
        <v>0</v>
      </c>
      <c r="O378" s="3">
        <v>0</v>
      </c>
      <c r="P378" s="3">
        <v>0</v>
      </c>
      <c r="Q378" s="3">
        <v>0</v>
      </c>
      <c r="R378" s="60">
        <v>2.9129999999999998</v>
      </c>
      <c r="S378" s="3">
        <v>0.28199999999999997</v>
      </c>
      <c r="T378" s="3">
        <v>0.32600000000000001</v>
      </c>
      <c r="U378" s="3">
        <v>0.252</v>
      </c>
      <c r="V378" s="3">
        <v>0.22900000000000001</v>
      </c>
      <c r="W378" s="3">
        <v>2E-3</v>
      </c>
      <c r="X378" s="3">
        <v>1E-3</v>
      </c>
      <c r="Y378" s="3">
        <v>0</v>
      </c>
      <c r="Z378" s="3">
        <v>0</v>
      </c>
      <c r="AA378" s="3">
        <v>0</v>
      </c>
      <c r="AB378" s="3">
        <v>0</v>
      </c>
      <c r="AC378" s="3">
        <v>0</v>
      </c>
    </row>
    <row r="379" spans="1:29" x14ac:dyDescent="0.35">
      <c r="A379" t="s">
        <v>1243</v>
      </c>
      <c r="B379" s="58">
        <v>16935</v>
      </c>
      <c r="C379">
        <v>5</v>
      </c>
      <c r="D379" s="6">
        <v>1283</v>
      </c>
      <c r="E379" s="6">
        <v>3505</v>
      </c>
      <c r="F379" s="6">
        <v>1662</v>
      </c>
      <c r="G379">
        <v>0</v>
      </c>
      <c r="H379">
        <v>0</v>
      </c>
      <c r="I379">
        <v>0</v>
      </c>
      <c r="J379">
        <v>0</v>
      </c>
      <c r="K379">
        <v>0</v>
      </c>
      <c r="L379">
        <v>65</v>
      </c>
      <c r="M379">
        <v>116</v>
      </c>
      <c r="N379">
        <v>1</v>
      </c>
      <c r="O379">
        <v>1</v>
      </c>
      <c r="P379">
        <v>0</v>
      </c>
      <c r="Q379">
        <v>0</v>
      </c>
      <c r="R379" s="58">
        <v>13988</v>
      </c>
      <c r="S379" s="6">
        <v>1180</v>
      </c>
      <c r="T379" s="6">
        <v>1356</v>
      </c>
      <c r="U379" s="6">
        <v>1022</v>
      </c>
      <c r="V379">
        <v>957</v>
      </c>
      <c r="W379">
        <v>11</v>
      </c>
      <c r="X379">
        <v>6</v>
      </c>
      <c r="Y379">
        <v>0</v>
      </c>
      <c r="Z379">
        <v>0</v>
      </c>
      <c r="AA379">
        <v>0</v>
      </c>
      <c r="AB379">
        <v>0</v>
      </c>
      <c r="AC379">
        <v>0</v>
      </c>
    </row>
    <row r="380" spans="1:29" x14ac:dyDescent="0.35">
      <c r="A380" t="s">
        <v>1244</v>
      </c>
      <c r="B380" s="58">
        <v>5761</v>
      </c>
      <c r="C380" s="6">
        <v>5956</v>
      </c>
      <c r="D380" s="6">
        <v>4878</v>
      </c>
      <c r="E380" s="6">
        <v>5331</v>
      </c>
      <c r="F380" s="6">
        <v>5475</v>
      </c>
      <c r="G380" s="6">
        <v>5638</v>
      </c>
      <c r="H380" s="6">
        <v>5515</v>
      </c>
      <c r="I380" s="6">
        <v>5810</v>
      </c>
      <c r="J380" s="6">
        <v>5807</v>
      </c>
      <c r="K380" s="6">
        <v>5304</v>
      </c>
      <c r="L380" s="6">
        <v>4727</v>
      </c>
      <c r="M380" s="6">
        <v>4834</v>
      </c>
      <c r="N380" s="6">
        <v>4851</v>
      </c>
      <c r="O380" s="6">
        <v>4560</v>
      </c>
      <c r="P380" s="6">
        <v>3640</v>
      </c>
      <c r="Q380" s="6">
        <v>4673</v>
      </c>
      <c r="R380" s="58">
        <v>4803</v>
      </c>
      <c r="S380" s="6">
        <v>4186</v>
      </c>
      <c r="T380" s="6">
        <v>4157</v>
      </c>
      <c r="U380" s="6">
        <v>4049</v>
      </c>
      <c r="V380" s="6">
        <v>4183</v>
      </c>
      <c r="W380" s="6">
        <v>4859</v>
      </c>
      <c r="X380" s="6">
        <v>4433</v>
      </c>
      <c r="Y380" s="6">
        <v>3915</v>
      </c>
      <c r="Z380" s="6">
        <v>3673</v>
      </c>
      <c r="AA380" s="6">
        <v>3651</v>
      </c>
      <c r="AB380" s="6">
        <v>3762</v>
      </c>
      <c r="AC380" s="6">
        <v>3546</v>
      </c>
    </row>
    <row r="381" spans="1:29" x14ac:dyDescent="0.35">
      <c r="A381" t="s">
        <v>1245</v>
      </c>
      <c r="B381" s="59">
        <v>2.16</v>
      </c>
      <c r="C381" s="7">
        <v>2.99</v>
      </c>
      <c r="D381" s="7">
        <v>2.69</v>
      </c>
      <c r="E381" s="7">
        <v>2.48</v>
      </c>
      <c r="F381" s="7">
        <v>2.69</v>
      </c>
      <c r="G381" s="7">
        <v>3</v>
      </c>
      <c r="H381" s="7">
        <v>3</v>
      </c>
      <c r="I381" s="7">
        <v>3</v>
      </c>
      <c r="J381" s="7">
        <v>2.99</v>
      </c>
      <c r="K381" s="7">
        <v>2.99</v>
      </c>
      <c r="L381" s="7">
        <v>2.95</v>
      </c>
      <c r="M381" s="7">
        <v>2.92</v>
      </c>
      <c r="N381" s="7">
        <v>2.99</v>
      </c>
      <c r="O381" s="7">
        <v>2.99</v>
      </c>
      <c r="P381" s="7">
        <v>3</v>
      </c>
      <c r="Q381" s="7">
        <v>3</v>
      </c>
      <c r="R381" s="59">
        <v>2.5499999999999998</v>
      </c>
      <c r="S381" s="7">
        <v>2.76</v>
      </c>
      <c r="T381" s="7">
        <v>2.57</v>
      </c>
      <c r="U381" s="7">
        <v>2.5</v>
      </c>
      <c r="V381" s="7">
        <v>2.78</v>
      </c>
      <c r="W381" s="7">
        <v>2.98</v>
      </c>
      <c r="X381" s="7">
        <v>2.99</v>
      </c>
      <c r="Y381" s="7">
        <v>3</v>
      </c>
      <c r="Z381" s="7">
        <v>3</v>
      </c>
      <c r="AA381" s="7">
        <v>3</v>
      </c>
      <c r="AB381" s="7">
        <v>3</v>
      </c>
      <c r="AC381" s="7">
        <v>3</v>
      </c>
    </row>
    <row r="382" spans="1:29" x14ac:dyDescent="0.35">
      <c r="R382" s="57"/>
    </row>
    <row r="383" spans="1:29" x14ac:dyDescent="0.35">
      <c r="R383" s="57"/>
    </row>
    <row r="384" spans="1:29" x14ac:dyDescent="0.35">
      <c r="A384" t="s">
        <v>1240</v>
      </c>
      <c r="B384" s="72">
        <v>46026</v>
      </c>
      <c r="C384" s="5">
        <v>46033</v>
      </c>
      <c r="D384" s="5">
        <v>46040</v>
      </c>
      <c r="E384" s="5">
        <v>46047</v>
      </c>
      <c r="F384" s="5">
        <v>46054</v>
      </c>
      <c r="G384" s="5">
        <v>46061</v>
      </c>
      <c r="H384" s="5">
        <v>46068</v>
      </c>
      <c r="I384" s="5">
        <v>46075</v>
      </c>
      <c r="J384" s="5">
        <v>46082</v>
      </c>
      <c r="K384" s="5">
        <v>46089</v>
      </c>
      <c r="L384" s="5">
        <v>46096</v>
      </c>
      <c r="M384" s="5">
        <v>46103</v>
      </c>
      <c r="N384" s="5">
        <v>46110</v>
      </c>
      <c r="O384" s="5">
        <v>46117</v>
      </c>
      <c r="P384" s="5">
        <v>46124</v>
      </c>
      <c r="Q384" s="5">
        <v>46131</v>
      </c>
      <c r="R384" s="72">
        <v>46138</v>
      </c>
      <c r="S384" s="5">
        <v>46145</v>
      </c>
      <c r="T384" s="5">
        <v>46152</v>
      </c>
      <c r="U384" s="5">
        <v>46159</v>
      </c>
      <c r="V384" s="5">
        <v>46166</v>
      </c>
      <c r="W384" s="5">
        <v>46173</v>
      </c>
      <c r="X384" s="5">
        <v>46180</v>
      </c>
      <c r="Y384" s="5">
        <v>46187</v>
      </c>
      <c r="Z384" s="5">
        <v>46194</v>
      </c>
      <c r="AA384" s="5">
        <v>46201</v>
      </c>
      <c r="AB384" s="5">
        <v>46208</v>
      </c>
      <c r="AC384" s="5">
        <v>46215</v>
      </c>
    </row>
    <row r="385" spans="1:29" x14ac:dyDescent="0.35">
      <c r="A385" t="s">
        <v>1293</v>
      </c>
      <c r="B385" s="60">
        <v>1.865</v>
      </c>
      <c r="C385" s="3">
        <v>1E-3</v>
      </c>
      <c r="D385" s="3">
        <v>0.17499999999999999</v>
      </c>
      <c r="E385" s="3">
        <v>0.40699999999999997</v>
      </c>
      <c r="F385" s="3">
        <v>0.224</v>
      </c>
      <c r="G385" s="3">
        <v>0</v>
      </c>
      <c r="H385" s="3">
        <v>0</v>
      </c>
      <c r="I385" s="3">
        <v>0</v>
      </c>
      <c r="J385" s="3">
        <v>0</v>
      </c>
      <c r="K385" s="3">
        <v>0</v>
      </c>
      <c r="L385" s="3">
        <v>1E-3</v>
      </c>
      <c r="M385" s="3">
        <v>6.0000000000000001E-3</v>
      </c>
      <c r="N385" s="3">
        <v>0</v>
      </c>
      <c r="O385" s="3">
        <v>0</v>
      </c>
      <c r="P385" s="3">
        <v>0</v>
      </c>
      <c r="Q385" s="3">
        <v>0</v>
      </c>
      <c r="R385" s="60">
        <v>2.3330000000000002</v>
      </c>
      <c r="S385" s="3">
        <v>0.222</v>
      </c>
      <c r="T385" s="3">
        <v>0.19800000000000001</v>
      </c>
      <c r="U385" s="3">
        <v>0.121</v>
      </c>
      <c r="V385" s="3">
        <v>0.17899999999999999</v>
      </c>
      <c r="W385" s="3">
        <v>2E-3</v>
      </c>
      <c r="X385" s="3">
        <v>1E-3</v>
      </c>
      <c r="Y385" s="3">
        <v>0</v>
      </c>
      <c r="Z385" s="3">
        <v>0</v>
      </c>
      <c r="AA385" s="3">
        <v>0</v>
      </c>
      <c r="AB385" s="3">
        <v>0</v>
      </c>
      <c r="AC385" s="3">
        <v>0</v>
      </c>
    </row>
    <row r="386" spans="1:29" x14ac:dyDescent="0.35">
      <c r="A386" t="s">
        <v>1247</v>
      </c>
      <c r="B386" s="60">
        <v>0.27300000000000002</v>
      </c>
      <c r="C386" s="3">
        <v>0.11600000000000001</v>
      </c>
      <c r="D386" s="3">
        <v>7.0000000000000007E-2</v>
      </c>
      <c r="E386" s="3">
        <v>0.151</v>
      </c>
      <c r="F386" s="3">
        <v>6.5000000000000002E-2</v>
      </c>
      <c r="G386" t="s">
        <v>1272</v>
      </c>
      <c r="H386" t="s">
        <v>1272</v>
      </c>
      <c r="I386" t="s">
        <v>1272</v>
      </c>
      <c r="J386" s="3">
        <v>8.8999999999999996E-2</v>
      </c>
      <c r="K386" t="s">
        <v>1272</v>
      </c>
      <c r="L386" s="3">
        <v>0.193</v>
      </c>
      <c r="M386" s="3">
        <v>0.27200000000000002</v>
      </c>
      <c r="N386" s="3">
        <v>1.2E-2</v>
      </c>
      <c r="O386" s="3">
        <v>3.4000000000000002E-2</v>
      </c>
      <c r="P386" s="3">
        <v>0</v>
      </c>
      <c r="Q386" s="3">
        <v>2.5999999999999999E-2</v>
      </c>
      <c r="R386" s="60">
        <v>0.14799999999999999</v>
      </c>
      <c r="S386" s="3">
        <v>5.0999999999999997E-2</v>
      </c>
      <c r="T386" s="3">
        <v>9.7000000000000003E-2</v>
      </c>
      <c r="U386" s="3">
        <v>0.105</v>
      </c>
      <c r="V386" s="3">
        <v>4.9000000000000002E-2</v>
      </c>
      <c r="W386" s="3">
        <v>6.2E-2</v>
      </c>
      <c r="X386" s="3">
        <v>0.06</v>
      </c>
      <c r="Y386" t="s">
        <v>1272</v>
      </c>
      <c r="Z386" t="s">
        <v>1272</v>
      </c>
      <c r="AA386" s="3">
        <v>5.3999999999999999E-2</v>
      </c>
      <c r="AB386" s="3">
        <v>5.3999999999999999E-2</v>
      </c>
      <c r="AC386" t="s">
        <v>1272</v>
      </c>
    </row>
    <row r="387" spans="1:29" x14ac:dyDescent="0.35">
      <c r="A387" t="s">
        <v>1248</v>
      </c>
      <c r="B387" s="59">
        <v>0.81</v>
      </c>
      <c r="C387" s="7">
        <v>0.35</v>
      </c>
      <c r="D387" s="7">
        <v>0.2</v>
      </c>
      <c r="E387" s="7">
        <v>0.44</v>
      </c>
      <c r="F387" s="7">
        <v>0.19</v>
      </c>
      <c r="G387" t="s">
        <v>1272</v>
      </c>
      <c r="H387" t="s">
        <v>1272</v>
      </c>
      <c r="I387" t="s">
        <v>1272</v>
      </c>
      <c r="J387" s="7">
        <v>0.27</v>
      </c>
      <c r="K387" t="s">
        <v>1272</v>
      </c>
      <c r="L387" s="7">
        <v>0.57999999999999996</v>
      </c>
      <c r="M387" s="7">
        <v>0.81</v>
      </c>
      <c r="N387" s="7">
        <v>0.04</v>
      </c>
      <c r="O387" s="7">
        <v>0.1</v>
      </c>
      <c r="P387" s="7">
        <v>0</v>
      </c>
      <c r="Q387" s="7">
        <v>0.08</v>
      </c>
      <c r="R387" s="59">
        <v>0.44</v>
      </c>
      <c r="S387" s="7">
        <v>0.15</v>
      </c>
      <c r="T387" s="7">
        <v>0.28000000000000003</v>
      </c>
      <c r="U387" s="7">
        <v>0.28999999999999998</v>
      </c>
      <c r="V387" s="7">
        <v>0.14000000000000001</v>
      </c>
      <c r="W387" s="7">
        <v>0.19</v>
      </c>
      <c r="X387" s="7">
        <v>0.18</v>
      </c>
      <c r="Y387" t="s">
        <v>1272</v>
      </c>
      <c r="Z387" t="s">
        <v>1272</v>
      </c>
      <c r="AA387" s="7">
        <v>0.16</v>
      </c>
      <c r="AB387" s="7">
        <v>0.16</v>
      </c>
      <c r="AC387" t="s">
        <v>1272</v>
      </c>
    </row>
    <row r="388" spans="1:29" x14ac:dyDescent="0.35">
      <c r="A388" t="s">
        <v>1249</v>
      </c>
      <c r="B388" s="59">
        <v>2.16</v>
      </c>
      <c r="C388" s="7">
        <v>2.65</v>
      </c>
      <c r="D388" s="7">
        <v>2.69</v>
      </c>
      <c r="E388" s="7">
        <v>2.48</v>
      </c>
      <c r="F388" s="7">
        <v>2.68</v>
      </c>
      <c r="G388" t="s">
        <v>1272</v>
      </c>
      <c r="H388" t="s">
        <v>1272</v>
      </c>
      <c r="I388" t="s">
        <v>1272</v>
      </c>
      <c r="J388" s="7">
        <v>2.72</v>
      </c>
      <c r="K388" t="s">
        <v>1272</v>
      </c>
      <c r="L388" s="7">
        <v>2.41</v>
      </c>
      <c r="M388" s="7">
        <v>2.17</v>
      </c>
      <c r="N388" s="7">
        <v>2.96</v>
      </c>
      <c r="O388" s="7">
        <v>2.89</v>
      </c>
      <c r="P388" s="7">
        <v>3</v>
      </c>
      <c r="Q388" s="7">
        <v>2.92</v>
      </c>
      <c r="R388" s="59">
        <v>2.5499999999999998</v>
      </c>
      <c r="S388" s="7">
        <v>2.75</v>
      </c>
      <c r="T388" s="7">
        <v>2.57</v>
      </c>
      <c r="U388" s="7">
        <v>2.5</v>
      </c>
      <c r="V388" s="7">
        <v>2.76</v>
      </c>
      <c r="W388" s="7">
        <v>2.8</v>
      </c>
      <c r="X388" s="7">
        <v>2.81</v>
      </c>
      <c r="Y388" t="s">
        <v>1272</v>
      </c>
      <c r="Z388" t="s">
        <v>1272</v>
      </c>
      <c r="AA388" s="7">
        <v>2.83</v>
      </c>
      <c r="AB388" s="7">
        <v>2.83</v>
      </c>
      <c r="AC388" t="s">
        <v>1272</v>
      </c>
    </row>
    <row r="389" spans="1:29" x14ac:dyDescent="0.35">
      <c r="A389" t="s">
        <v>1245</v>
      </c>
      <c r="B389" s="59">
        <v>2.16</v>
      </c>
      <c r="C389" s="7">
        <v>2.99</v>
      </c>
      <c r="D389" s="7">
        <v>2.69</v>
      </c>
      <c r="E389" s="7">
        <v>2.48</v>
      </c>
      <c r="F389" s="7">
        <v>2.69</v>
      </c>
      <c r="G389" s="7">
        <v>3</v>
      </c>
      <c r="H389" s="7">
        <v>3</v>
      </c>
      <c r="I389" s="7">
        <v>3</v>
      </c>
      <c r="J389" s="7">
        <v>2.99</v>
      </c>
      <c r="K389" s="7">
        <v>2.99</v>
      </c>
      <c r="L389" s="7">
        <v>2.95</v>
      </c>
      <c r="M389" s="7">
        <v>2.92</v>
      </c>
      <c r="N389" s="7">
        <v>2.99</v>
      </c>
      <c r="O389" s="7">
        <v>2.99</v>
      </c>
      <c r="P389" s="7">
        <v>3</v>
      </c>
      <c r="Q389" s="7">
        <v>3</v>
      </c>
      <c r="R389" s="59">
        <v>2.5499999999999998</v>
      </c>
      <c r="S389" s="7">
        <v>2.76</v>
      </c>
      <c r="T389" s="7">
        <v>2.57</v>
      </c>
      <c r="U389" s="7">
        <v>2.5</v>
      </c>
      <c r="V389" s="7">
        <v>2.78</v>
      </c>
      <c r="W389" s="7">
        <v>2.98</v>
      </c>
      <c r="X389" s="7">
        <v>2.99</v>
      </c>
      <c r="Y389" s="7">
        <v>3</v>
      </c>
      <c r="Z389" s="7">
        <v>3</v>
      </c>
      <c r="AA389" s="7">
        <v>3</v>
      </c>
      <c r="AB389" s="7">
        <v>3</v>
      </c>
      <c r="AC389" s="7">
        <v>3</v>
      </c>
    </row>
    <row r="392" spans="1:29" s="68" customFormat="1" x14ac:dyDescent="0.35"/>
    <row r="394" spans="1:29" x14ac:dyDescent="0.35">
      <c r="A394" s="4" t="s">
        <v>1307</v>
      </c>
    </row>
    <row r="396" spans="1:29" x14ac:dyDescent="0.35">
      <c r="A396" t="s">
        <v>1240</v>
      </c>
      <c r="B396" s="5">
        <v>46026</v>
      </c>
      <c r="C396" s="72">
        <v>46033</v>
      </c>
      <c r="D396" s="72">
        <v>46040</v>
      </c>
      <c r="E396" s="72">
        <v>46047</v>
      </c>
      <c r="F396" s="5">
        <v>46054</v>
      </c>
      <c r="G396" s="5">
        <v>46061</v>
      </c>
      <c r="H396" s="5">
        <v>46068</v>
      </c>
      <c r="I396" s="5">
        <v>46075</v>
      </c>
      <c r="J396" s="5">
        <v>46082</v>
      </c>
      <c r="K396" s="5">
        <v>46089</v>
      </c>
      <c r="L396" s="5">
        <v>46096</v>
      </c>
      <c r="M396" s="5">
        <v>46103</v>
      </c>
      <c r="N396" s="5">
        <v>46110</v>
      </c>
      <c r="O396" s="5">
        <v>46117</v>
      </c>
      <c r="P396" s="5">
        <v>46124</v>
      </c>
      <c r="Q396" s="5">
        <v>46131</v>
      </c>
      <c r="R396" s="5">
        <v>46138</v>
      </c>
      <c r="S396" s="5">
        <v>46145</v>
      </c>
      <c r="T396" s="5">
        <v>46152</v>
      </c>
      <c r="U396" s="5">
        <v>46159</v>
      </c>
      <c r="V396" s="5">
        <v>46166</v>
      </c>
      <c r="W396" s="5">
        <v>46173</v>
      </c>
      <c r="X396" s="5">
        <v>46180</v>
      </c>
      <c r="Y396" s="5">
        <v>46187</v>
      </c>
      <c r="Z396" s="5">
        <v>46194</v>
      </c>
      <c r="AA396" s="5">
        <v>46201</v>
      </c>
      <c r="AB396" s="5">
        <v>46208</v>
      </c>
      <c r="AC396" s="5">
        <v>46215</v>
      </c>
    </row>
    <row r="397" spans="1:29" x14ac:dyDescent="0.35">
      <c r="A397" t="s">
        <v>1241</v>
      </c>
      <c r="B397" s="6">
        <v>4573</v>
      </c>
      <c r="C397" s="6">
        <v>7925</v>
      </c>
      <c r="D397" s="6">
        <v>8791</v>
      </c>
      <c r="E397" s="6">
        <v>9206</v>
      </c>
      <c r="F397" s="6">
        <v>10288</v>
      </c>
      <c r="G397" s="6">
        <v>9136</v>
      </c>
      <c r="H397" s="6">
        <v>10338</v>
      </c>
      <c r="I397" s="6">
        <v>12751</v>
      </c>
      <c r="J397" s="6">
        <v>6631</v>
      </c>
      <c r="K397" s="6">
        <v>8772</v>
      </c>
      <c r="L397" s="6">
        <v>10630</v>
      </c>
      <c r="M397" s="6">
        <v>11311</v>
      </c>
      <c r="N397" s="6">
        <v>10468</v>
      </c>
      <c r="O397" s="6">
        <v>6395</v>
      </c>
      <c r="P397" s="6">
        <v>6180</v>
      </c>
      <c r="Q397" s="6">
        <v>6157</v>
      </c>
      <c r="R397" s="6">
        <v>5678</v>
      </c>
      <c r="S397" s="6">
        <v>5804</v>
      </c>
      <c r="T397" s="6">
        <v>5278</v>
      </c>
      <c r="U397" s="6">
        <v>5260</v>
      </c>
      <c r="V397" s="6">
        <v>5121</v>
      </c>
      <c r="W397" s="6">
        <v>5481</v>
      </c>
      <c r="X397" s="6">
        <v>5719</v>
      </c>
      <c r="Y397" s="6">
        <v>5013</v>
      </c>
      <c r="Z397" s="6">
        <v>4750</v>
      </c>
      <c r="AA397" s="6">
        <v>4341</v>
      </c>
      <c r="AB397" s="6">
        <v>4233</v>
      </c>
      <c r="AC397" s="6">
        <v>4470</v>
      </c>
    </row>
    <row r="398" spans="1:29" x14ac:dyDescent="0.35">
      <c r="A398" t="s">
        <v>1242</v>
      </c>
      <c r="B398" s="3">
        <v>0.113</v>
      </c>
      <c r="C398" s="60">
        <v>0.71599999999999997</v>
      </c>
      <c r="D398" s="60">
        <v>0.74399999999999999</v>
      </c>
      <c r="E398" s="60">
        <v>0.754</v>
      </c>
      <c r="F398" s="3">
        <v>0.82499999999999996</v>
      </c>
      <c r="G398" s="60">
        <v>0.89500000000000002</v>
      </c>
      <c r="H398" s="60">
        <v>0.871</v>
      </c>
      <c r="I398" s="60">
        <v>1.056</v>
      </c>
      <c r="J398" s="3">
        <v>1.6E-2</v>
      </c>
      <c r="K398" s="3">
        <v>0.52</v>
      </c>
      <c r="L398" s="3">
        <v>0.54800000000000004</v>
      </c>
      <c r="M398" s="3">
        <v>0.60899999999999999</v>
      </c>
      <c r="N398" s="3">
        <v>0.56000000000000005</v>
      </c>
      <c r="O398" s="3">
        <v>1.4999999999999999E-2</v>
      </c>
      <c r="P398" s="3">
        <v>1.4E-2</v>
      </c>
      <c r="Q398" s="3">
        <v>7.0000000000000001E-3</v>
      </c>
      <c r="R398" s="3">
        <v>8.9999999999999993E-3</v>
      </c>
      <c r="S398" s="3">
        <v>2E-3</v>
      </c>
      <c r="T398" s="3">
        <v>1E-3</v>
      </c>
      <c r="U398" s="3">
        <v>2E-3</v>
      </c>
      <c r="V398" s="3">
        <v>0</v>
      </c>
      <c r="W398" s="3">
        <v>1E-3</v>
      </c>
      <c r="X398" s="3">
        <v>4.4999999999999998E-2</v>
      </c>
      <c r="Y398" s="3">
        <v>2E-3</v>
      </c>
      <c r="Z398" s="3">
        <v>1E-3</v>
      </c>
      <c r="AA398" s="3">
        <v>2E-3</v>
      </c>
      <c r="AB398" s="3">
        <v>1E-3</v>
      </c>
      <c r="AC398" s="3">
        <v>1E-3</v>
      </c>
    </row>
    <row r="399" spans="1:29" x14ac:dyDescent="0.35">
      <c r="A399" t="s">
        <v>1243</v>
      </c>
      <c r="B399">
        <v>465</v>
      </c>
      <c r="C399" s="6">
        <v>3306</v>
      </c>
      <c r="D399" s="6">
        <v>3750</v>
      </c>
      <c r="E399" s="6">
        <v>3958</v>
      </c>
      <c r="F399" s="6">
        <v>4651</v>
      </c>
      <c r="G399" s="6">
        <v>4315</v>
      </c>
      <c r="H399" s="6">
        <v>4812</v>
      </c>
      <c r="I399" s="6">
        <v>6549</v>
      </c>
      <c r="J399">
        <v>101</v>
      </c>
      <c r="K399" s="6">
        <v>3002</v>
      </c>
      <c r="L399" s="6">
        <v>3761</v>
      </c>
      <c r="M399" s="6">
        <v>4283</v>
      </c>
      <c r="N399" s="6">
        <v>3758</v>
      </c>
      <c r="O399">
        <v>97</v>
      </c>
      <c r="P399">
        <v>88</v>
      </c>
      <c r="Q399">
        <v>42</v>
      </c>
      <c r="R399">
        <v>49</v>
      </c>
      <c r="S399">
        <v>12</v>
      </c>
      <c r="T399">
        <v>6</v>
      </c>
      <c r="U399">
        <v>12</v>
      </c>
      <c r="V399">
        <v>0</v>
      </c>
      <c r="W399">
        <v>8</v>
      </c>
      <c r="X399">
        <v>246</v>
      </c>
      <c r="Y399">
        <v>9</v>
      </c>
      <c r="Z399">
        <v>7</v>
      </c>
      <c r="AA399">
        <v>7</v>
      </c>
      <c r="AB399">
        <v>4</v>
      </c>
      <c r="AC399">
        <v>6</v>
      </c>
    </row>
    <row r="400" spans="1:29" x14ac:dyDescent="0.35">
      <c r="A400" t="s">
        <v>1244</v>
      </c>
      <c r="B400" s="6">
        <v>4108</v>
      </c>
      <c r="C400" s="6">
        <v>4619</v>
      </c>
      <c r="D400" s="6">
        <v>5041</v>
      </c>
      <c r="E400" s="6">
        <v>5248</v>
      </c>
      <c r="F400" s="6">
        <v>5637</v>
      </c>
      <c r="G400" s="6">
        <v>4821</v>
      </c>
      <c r="H400" s="6">
        <v>5526</v>
      </c>
      <c r="I400" s="6">
        <v>6202</v>
      </c>
      <c r="J400" s="6">
        <v>6530</v>
      </c>
      <c r="K400" s="6">
        <v>5770</v>
      </c>
      <c r="L400" s="6">
        <v>6869</v>
      </c>
      <c r="M400" s="6">
        <v>7028</v>
      </c>
      <c r="N400" s="6">
        <v>6710</v>
      </c>
      <c r="O400" s="6">
        <v>6299</v>
      </c>
      <c r="P400" s="6">
        <v>6092</v>
      </c>
      <c r="Q400" s="6">
        <v>6116</v>
      </c>
      <c r="R400" s="6">
        <v>5629</v>
      </c>
      <c r="S400" s="6">
        <v>5792</v>
      </c>
      <c r="T400" s="6">
        <v>5272</v>
      </c>
      <c r="U400" s="6">
        <v>5248</v>
      </c>
      <c r="V400" s="6">
        <v>5121</v>
      </c>
      <c r="W400" s="6">
        <v>5474</v>
      </c>
      <c r="X400" s="6">
        <v>5473</v>
      </c>
      <c r="Y400" s="6">
        <v>5004</v>
      </c>
      <c r="Z400" s="6">
        <v>4743</v>
      </c>
      <c r="AA400" s="6">
        <v>4334</v>
      </c>
      <c r="AB400" s="6">
        <v>4230</v>
      </c>
      <c r="AC400" s="6">
        <v>4464</v>
      </c>
    </row>
    <row r="401" spans="1:29" x14ac:dyDescent="0.35">
      <c r="A401" t="s">
        <v>1245</v>
      </c>
      <c r="B401" s="7">
        <v>2.79</v>
      </c>
      <c r="C401" s="7">
        <v>2.0299999999999998</v>
      </c>
      <c r="D401" s="7">
        <v>2.0299999999999998</v>
      </c>
      <c r="E401" s="7">
        <v>2.02</v>
      </c>
      <c r="F401" s="7">
        <v>2.31</v>
      </c>
      <c r="G401" s="7">
        <v>2.1800000000000002</v>
      </c>
      <c r="H401" s="7">
        <v>2.1800000000000002</v>
      </c>
      <c r="I401" s="7">
        <v>2.17</v>
      </c>
      <c r="J401" s="7">
        <v>2.92</v>
      </c>
      <c r="K401" s="7">
        <v>2.21</v>
      </c>
      <c r="L401" s="7">
        <v>2.17</v>
      </c>
      <c r="M401" s="7">
        <v>2.17</v>
      </c>
      <c r="N401" s="7">
        <v>2.1800000000000002</v>
      </c>
      <c r="O401" s="7">
        <v>2.92</v>
      </c>
      <c r="P401" s="7">
        <v>2.92</v>
      </c>
      <c r="Q401" s="7">
        <v>2.93</v>
      </c>
      <c r="R401" s="7">
        <v>2.93</v>
      </c>
      <c r="S401" s="7">
        <v>2.92</v>
      </c>
      <c r="T401" s="7">
        <v>2.93</v>
      </c>
      <c r="U401" s="7">
        <v>2.93</v>
      </c>
      <c r="V401" s="7">
        <v>2.93</v>
      </c>
      <c r="W401" s="7">
        <v>2.93</v>
      </c>
      <c r="X401" s="7">
        <v>2.93</v>
      </c>
      <c r="Y401" s="7">
        <v>2.93</v>
      </c>
      <c r="Z401" s="7">
        <v>2.93</v>
      </c>
      <c r="AA401" s="7">
        <v>2.93</v>
      </c>
      <c r="AB401" s="7">
        <v>2.93</v>
      </c>
      <c r="AC401" s="7">
        <v>2.93</v>
      </c>
    </row>
    <row r="403" spans="1:29" x14ac:dyDescent="0.35">
      <c r="A403" t="s">
        <v>1240</v>
      </c>
      <c r="B403" s="5">
        <v>46026</v>
      </c>
      <c r="C403" s="72">
        <v>46033</v>
      </c>
      <c r="D403" s="72">
        <v>46040</v>
      </c>
      <c r="E403" s="72">
        <v>46047</v>
      </c>
      <c r="F403" s="5">
        <v>46054</v>
      </c>
      <c r="G403" s="5">
        <v>46061</v>
      </c>
      <c r="H403" s="5">
        <v>46068</v>
      </c>
      <c r="I403" s="5">
        <v>46075</v>
      </c>
      <c r="J403" s="5">
        <v>46082</v>
      </c>
      <c r="K403" s="5">
        <v>46089</v>
      </c>
      <c r="L403" s="5">
        <v>46096</v>
      </c>
      <c r="M403" s="5">
        <v>46103</v>
      </c>
      <c r="N403" s="5">
        <v>46110</v>
      </c>
      <c r="O403" s="5">
        <v>46117</v>
      </c>
      <c r="P403" s="5">
        <v>46124</v>
      </c>
      <c r="Q403" s="5">
        <v>46131</v>
      </c>
      <c r="R403" s="5">
        <v>46138</v>
      </c>
      <c r="S403" s="5">
        <v>46145</v>
      </c>
      <c r="T403" s="5">
        <v>46152</v>
      </c>
      <c r="U403" s="5">
        <v>46159</v>
      </c>
      <c r="V403" s="5">
        <v>46166</v>
      </c>
      <c r="W403" s="5">
        <v>46173</v>
      </c>
      <c r="X403" s="5">
        <v>46180</v>
      </c>
      <c r="Y403" s="5">
        <v>46187</v>
      </c>
      <c r="Z403" s="5">
        <v>46194</v>
      </c>
      <c r="AA403" s="5">
        <v>46201</v>
      </c>
      <c r="AB403" s="5">
        <v>46208</v>
      </c>
      <c r="AC403" s="5">
        <v>46215</v>
      </c>
    </row>
    <row r="404" spans="1:29" x14ac:dyDescent="0.35">
      <c r="A404" t="s">
        <v>1293</v>
      </c>
      <c r="B404" s="3">
        <v>0.10100000000000001</v>
      </c>
      <c r="C404" s="3">
        <v>0.32200000000000001</v>
      </c>
      <c r="D404" s="3">
        <v>0.34599999999999997</v>
      </c>
      <c r="E404" s="3">
        <v>0.34300000000000003</v>
      </c>
      <c r="F404" s="3">
        <v>0.51800000000000002</v>
      </c>
      <c r="G404" s="3">
        <v>0.53200000000000003</v>
      </c>
      <c r="H404" s="3">
        <v>0.55100000000000005</v>
      </c>
      <c r="I404" s="3">
        <v>0.73799999999999999</v>
      </c>
      <c r="J404" s="3">
        <v>1.2999999999999999E-2</v>
      </c>
      <c r="K404" s="3">
        <v>0.29899999999999999</v>
      </c>
      <c r="L404" s="3">
        <v>0.30499999999999999</v>
      </c>
      <c r="M404" s="3">
        <v>0.35</v>
      </c>
      <c r="N404" s="3">
        <v>0.314</v>
      </c>
      <c r="O404" s="3">
        <v>1.2E-2</v>
      </c>
      <c r="P404" s="3">
        <v>1.2999999999999999E-2</v>
      </c>
      <c r="Q404" s="3">
        <v>6.0000000000000001E-3</v>
      </c>
      <c r="R404" s="3">
        <v>8.0000000000000002E-3</v>
      </c>
      <c r="S404" s="3">
        <v>2E-3</v>
      </c>
      <c r="T404" s="3">
        <v>1E-3</v>
      </c>
      <c r="U404" s="3">
        <v>2E-3</v>
      </c>
      <c r="V404" s="3">
        <v>0</v>
      </c>
      <c r="W404" s="3">
        <v>1E-3</v>
      </c>
      <c r="X404" s="3">
        <v>4.3999999999999997E-2</v>
      </c>
      <c r="Y404" s="3">
        <v>2E-3</v>
      </c>
      <c r="Z404" s="3">
        <v>1E-3</v>
      </c>
      <c r="AA404" s="3">
        <v>2E-3</v>
      </c>
      <c r="AB404" s="3">
        <v>1E-3</v>
      </c>
      <c r="AC404" s="3">
        <v>1E-3</v>
      </c>
    </row>
    <row r="405" spans="1:29" x14ac:dyDescent="0.35">
      <c r="A405" t="s">
        <v>1247</v>
      </c>
      <c r="B405" s="3">
        <v>1.0999999999999999E-2</v>
      </c>
      <c r="C405" s="60">
        <v>0.23100000000000001</v>
      </c>
      <c r="D405" s="60">
        <v>0.22800000000000001</v>
      </c>
      <c r="E405" s="60">
        <v>0.23499999999999999</v>
      </c>
      <c r="F405" s="3">
        <v>0.19500000000000001</v>
      </c>
      <c r="G405" s="60">
        <v>0.21099999999999999</v>
      </c>
      <c r="H405" s="60">
        <v>0.19500000000000001</v>
      </c>
      <c r="I405" s="60">
        <v>0.183</v>
      </c>
      <c r="J405" s="3">
        <v>4.4999999999999998E-2</v>
      </c>
      <c r="K405" s="3">
        <v>0.18</v>
      </c>
      <c r="L405" s="3">
        <v>0.187</v>
      </c>
      <c r="M405" s="3">
        <v>0.186</v>
      </c>
      <c r="N405" s="3">
        <v>0.187</v>
      </c>
      <c r="O405" s="3">
        <v>7.6999999999999999E-2</v>
      </c>
      <c r="P405" s="3">
        <v>5.0999999999999997E-2</v>
      </c>
      <c r="Q405" s="3">
        <v>4.7E-2</v>
      </c>
      <c r="R405" s="3">
        <v>1.7999999999999999E-2</v>
      </c>
      <c r="S405" s="3">
        <v>4.2000000000000003E-2</v>
      </c>
      <c r="T405" s="3">
        <v>0.03</v>
      </c>
      <c r="U405" s="3">
        <v>7.0000000000000001E-3</v>
      </c>
      <c r="V405" s="3">
        <v>0.03</v>
      </c>
      <c r="W405" s="3">
        <v>0</v>
      </c>
      <c r="X405" s="3">
        <v>1.0999999999999999E-2</v>
      </c>
      <c r="Y405" s="3">
        <v>1.4999999999999999E-2</v>
      </c>
      <c r="Z405" s="3">
        <v>7.0000000000000007E-2</v>
      </c>
      <c r="AA405" s="3">
        <v>1.4999999999999999E-2</v>
      </c>
      <c r="AB405" s="3">
        <v>8.2000000000000003E-2</v>
      </c>
      <c r="AC405" s="3">
        <v>1.4999999999999999E-2</v>
      </c>
    </row>
    <row r="406" spans="1:29" x14ac:dyDescent="0.35">
      <c r="A406" t="s">
        <v>1248</v>
      </c>
      <c r="B406" s="7">
        <v>0.03</v>
      </c>
      <c r="C406" s="7">
        <v>0.61</v>
      </c>
      <c r="D406" s="7">
        <v>0.6</v>
      </c>
      <c r="E406" s="7">
        <v>0.62</v>
      </c>
      <c r="F406" s="7">
        <v>0.54</v>
      </c>
      <c r="G406" s="7">
        <v>0.56999999999999995</v>
      </c>
      <c r="H406" s="7">
        <v>0.51</v>
      </c>
      <c r="I406" s="7">
        <v>0.47</v>
      </c>
      <c r="J406" s="7">
        <v>0.13</v>
      </c>
      <c r="K406" s="7">
        <v>0.46</v>
      </c>
      <c r="L406" s="7">
        <v>0.48</v>
      </c>
      <c r="M406" s="7">
        <v>0.48</v>
      </c>
      <c r="N406" s="7">
        <v>0.48</v>
      </c>
      <c r="O406" s="7">
        <v>0.23</v>
      </c>
      <c r="P406" s="7">
        <v>0.15</v>
      </c>
      <c r="Q406" s="7">
        <v>0.14000000000000001</v>
      </c>
      <c r="R406" s="7">
        <v>0.05</v>
      </c>
      <c r="S406" s="7">
        <v>0.12</v>
      </c>
      <c r="T406" s="7">
        <v>0.09</v>
      </c>
      <c r="U406" s="7">
        <v>0.02</v>
      </c>
      <c r="V406" s="7">
        <v>0.09</v>
      </c>
      <c r="W406" s="7">
        <v>0</v>
      </c>
      <c r="X406" s="7">
        <v>0.03</v>
      </c>
      <c r="Y406" s="7">
        <v>0.05</v>
      </c>
      <c r="Z406" s="7">
        <v>0.21</v>
      </c>
      <c r="AA406" s="7">
        <v>0.04</v>
      </c>
      <c r="AB406" s="7">
        <v>0.24</v>
      </c>
      <c r="AC406" s="7">
        <v>0.05</v>
      </c>
    </row>
    <row r="407" spans="1:29" x14ac:dyDescent="0.35">
      <c r="A407" t="s">
        <v>1249</v>
      </c>
      <c r="B407" s="7">
        <v>2.79</v>
      </c>
      <c r="C407" s="7">
        <v>2.0299999999999998</v>
      </c>
      <c r="D407" s="7">
        <v>2.0299999999999998</v>
      </c>
      <c r="E407" s="7">
        <v>2.02</v>
      </c>
      <c r="F407" s="7">
        <v>2.23</v>
      </c>
      <c r="G407" s="7">
        <v>2.13</v>
      </c>
      <c r="H407" s="7">
        <v>2.11</v>
      </c>
      <c r="I407" s="7">
        <v>2.09</v>
      </c>
      <c r="J407" s="7">
        <v>2.8</v>
      </c>
      <c r="K407" s="7">
        <v>2.12</v>
      </c>
      <c r="L407" s="7">
        <v>2.09</v>
      </c>
      <c r="M407" s="7">
        <v>2.11</v>
      </c>
      <c r="N407" s="7">
        <v>2.1</v>
      </c>
      <c r="O407" s="7">
        <v>2.7</v>
      </c>
      <c r="P407" s="7">
        <v>2.78</v>
      </c>
      <c r="Q407" s="7">
        <v>2.79</v>
      </c>
      <c r="R407" s="7">
        <v>2.88</v>
      </c>
      <c r="S407" s="7">
        <v>2.8</v>
      </c>
      <c r="T407" s="7">
        <v>2.84</v>
      </c>
      <c r="U407" s="7">
        <v>2.91</v>
      </c>
      <c r="V407" s="7">
        <v>2.84</v>
      </c>
      <c r="W407" s="7">
        <v>2.93</v>
      </c>
      <c r="X407" s="7">
        <v>2.9</v>
      </c>
      <c r="Y407" s="7">
        <v>2.88</v>
      </c>
      <c r="Z407" s="7">
        <v>2.73</v>
      </c>
      <c r="AA407" s="7">
        <v>2.88</v>
      </c>
      <c r="AB407" s="7">
        <v>2.69</v>
      </c>
      <c r="AC407" s="7">
        <v>2.88</v>
      </c>
    </row>
    <row r="408" spans="1:29" x14ac:dyDescent="0.35">
      <c r="A408" t="s">
        <v>1245</v>
      </c>
      <c r="B408" s="7">
        <v>2.79</v>
      </c>
      <c r="C408" s="7">
        <v>2.0299999999999998</v>
      </c>
      <c r="D408" s="7">
        <v>2.0299999999999998</v>
      </c>
      <c r="E408" s="7">
        <v>2.02</v>
      </c>
      <c r="F408" s="7">
        <v>2.31</v>
      </c>
      <c r="G408" s="7">
        <v>2.1800000000000002</v>
      </c>
      <c r="H408" s="7">
        <v>2.1800000000000002</v>
      </c>
      <c r="I408" s="7">
        <v>2.17</v>
      </c>
      <c r="J408" s="7">
        <v>2.92</v>
      </c>
      <c r="K408" s="7">
        <v>2.21</v>
      </c>
      <c r="L408" s="7">
        <v>2.17</v>
      </c>
      <c r="M408" s="7">
        <v>2.17</v>
      </c>
      <c r="N408" s="7">
        <v>2.1800000000000002</v>
      </c>
      <c r="O408" s="7">
        <v>2.92</v>
      </c>
      <c r="P408" s="7">
        <v>2.92</v>
      </c>
      <c r="Q408" s="7">
        <v>2.93</v>
      </c>
      <c r="R408" s="7">
        <v>2.93</v>
      </c>
      <c r="S408" s="7">
        <v>2.92</v>
      </c>
      <c r="T408" s="7">
        <v>2.93</v>
      </c>
      <c r="U408" s="7">
        <v>2.93</v>
      </c>
      <c r="V408" s="7">
        <v>2.93</v>
      </c>
      <c r="W408" s="7">
        <v>2.93</v>
      </c>
      <c r="X408" s="7">
        <v>2.93</v>
      </c>
      <c r="Y408" s="7">
        <v>2.93</v>
      </c>
      <c r="Z408" s="7">
        <v>2.93</v>
      </c>
      <c r="AA408" s="7">
        <v>2.93</v>
      </c>
      <c r="AB408" s="7">
        <v>2.93</v>
      </c>
      <c r="AC408" s="7">
        <v>2.93</v>
      </c>
    </row>
    <row r="410" spans="1:29" s="68" customFormat="1" x14ac:dyDescent="0.35"/>
    <row r="411" spans="1:29" x14ac:dyDescent="0.35">
      <c r="A411" s="4" t="s">
        <v>1309</v>
      </c>
    </row>
    <row r="414" spans="1:29" x14ac:dyDescent="0.35">
      <c r="A414" t="s">
        <v>1240</v>
      </c>
      <c r="B414" s="84">
        <v>46026</v>
      </c>
      <c r="C414" s="84">
        <v>46033</v>
      </c>
      <c r="D414" s="5">
        <v>46040</v>
      </c>
      <c r="E414" s="5">
        <v>46047</v>
      </c>
      <c r="F414" s="5">
        <v>46054</v>
      </c>
      <c r="G414" s="5">
        <v>46061</v>
      </c>
      <c r="H414" s="5">
        <v>46068</v>
      </c>
      <c r="I414" s="5">
        <v>46075</v>
      </c>
      <c r="J414" s="5">
        <v>46082</v>
      </c>
      <c r="K414" s="5">
        <v>46089</v>
      </c>
      <c r="L414" s="5">
        <v>46096</v>
      </c>
      <c r="M414" s="5">
        <v>46103</v>
      </c>
      <c r="N414" s="5">
        <v>46110</v>
      </c>
      <c r="O414" s="5">
        <v>46117</v>
      </c>
      <c r="P414" s="5">
        <v>46124</v>
      </c>
      <c r="Q414" s="5">
        <v>46131</v>
      </c>
      <c r="R414" s="5">
        <v>46138</v>
      </c>
      <c r="S414" s="5">
        <v>46145</v>
      </c>
      <c r="T414" s="84">
        <v>46152</v>
      </c>
      <c r="U414" s="5">
        <v>46159</v>
      </c>
      <c r="V414" s="5">
        <v>46166</v>
      </c>
      <c r="W414" s="5">
        <v>46173</v>
      </c>
      <c r="X414" s="5">
        <v>46180</v>
      </c>
      <c r="Y414" s="5">
        <v>46187</v>
      </c>
      <c r="Z414" s="5">
        <v>46194</v>
      </c>
      <c r="AA414" s="5">
        <v>46201</v>
      </c>
      <c r="AB414" s="5">
        <v>46208</v>
      </c>
      <c r="AC414" s="5">
        <v>46215</v>
      </c>
    </row>
    <row r="415" spans="1:29" x14ac:dyDescent="0.35">
      <c r="A415" t="s">
        <v>1310</v>
      </c>
      <c r="B415" s="83">
        <v>34130</v>
      </c>
      <c r="C415" s="83">
        <v>37222</v>
      </c>
      <c r="D415" s="83">
        <v>29539</v>
      </c>
      <c r="E415" s="83">
        <v>28958</v>
      </c>
      <c r="F415" s="83">
        <v>28910</v>
      </c>
      <c r="G415" s="83">
        <v>27658</v>
      </c>
      <c r="H415" s="83">
        <v>26923</v>
      </c>
      <c r="I415" s="83">
        <v>25443</v>
      </c>
      <c r="J415" s="83">
        <v>24223</v>
      </c>
      <c r="K415" s="83">
        <v>24627</v>
      </c>
      <c r="L415" s="83">
        <v>23551</v>
      </c>
      <c r="M415" s="83">
        <v>20754</v>
      </c>
      <c r="N415" s="83">
        <v>22634</v>
      </c>
      <c r="O415" s="83">
        <v>20457</v>
      </c>
      <c r="P415" s="83">
        <v>19374</v>
      </c>
      <c r="Q415" s="83">
        <v>20002</v>
      </c>
      <c r="R415" s="83">
        <v>18851</v>
      </c>
      <c r="S415" s="83">
        <v>19937</v>
      </c>
      <c r="T415" s="86">
        <v>33057</v>
      </c>
      <c r="U415" s="83">
        <v>17808</v>
      </c>
      <c r="V415" s="83">
        <v>14852</v>
      </c>
      <c r="W415" s="83">
        <v>19580</v>
      </c>
      <c r="X415" s="83">
        <v>21201</v>
      </c>
      <c r="Y415" s="83">
        <v>20590</v>
      </c>
      <c r="Z415" s="83">
        <v>17516</v>
      </c>
      <c r="AA415" s="83">
        <v>15491</v>
      </c>
      <c r="AB415" s="83">
        <v>13635</v>
      </c>
      <c r="AC415" s="83">
        <v>15017</v>
      </c>
    </row>
    <row r="416" spans="1:29" x14ac:dyDescent="0.35">
      <c r="A416" t="s">
        <v>1293</v>
      </c>
      <c r="B416" s="85">
        <v>0.50900000000000001</v>
      </c>
      <c r="C416" s="85">
        <v>0.55100000000000005</v>
      </c>
      <c r="D416" s="3">
        <v>5.8999999999999997E-2</v>
      </c>
      <c r="E416" s="3">
        <v>5.2999999999999999E-2</v>
      </c>
      <c r="F416" s="3">
        <v>6.3E-2</v>
      </c>
      <c r="G416" s="3">
        <v>4.8000000000000001E-2</v>
      </c>
      <c r="H416" s="3">
        <v>8.2000000000000003E-2</v>
      </c>
      <c r="I416" s="3">
        <v>4.3999999999999997E-2</v>
      </c>
      <c r="J416" s="3">
        <v>3.6999999999999998E-2</v>
      </c>
      <c r="K416" s="3">
        <v>3.1E-2</v>
      </c>
      <c r="L416" s="3">
        <v>3.5999999999999997E-2</v>
      </c>
      <c r="M416" s="3">
        <v>0.02</v>
      </c>
      <c r="N416" s="3">
        <v>4.1000000000000002E-2</v>
      </c>
      <c r="O416" s="3">
        <v>1.7000000000000001E-2</v>
      </c>
      <c r="P416" s="3">
        <v>3.2000000000000001E-2</v>
      </c>
      <c r="Q416" s="3">
        <v>2.8000000000000001E-2</v>
      </c>
      <c r="R416" s="3">
        <v>2.4E-2</v>
      </c>
      <c r="S416" s="3">
        <v>4.3999999999999997E-2</v>
      </c>
      <c r="T416" s="85">
        <v>0.61</v>
      </c>
      <c r="U416" s="3">
        <v>2.5999999999999999E-2</v>
      </c>
      <c r="V416" s="3">
        <v>2.1999999999999999E-2</v>
      </c>
      <c r="W416" s="3">
        <v>0.109</v>
      </c>
      <c r="X416" s="3">
        <v>9.1999999999999998E-2</v>
      </c>
      <c r="Y416" s="3">
        <v>0.108</v>
      </c>
      <c r="Z416" s="3">
        <v>6.6000000000000003E-2</v>
      </c>
      <c r="AA416" s="3">
        <v>3.6999999999999998E-2</v>
      </c>
      <c r="AB416" s="3">
        <v>3.4000000000000002E-2</v>
      </c>
      <c r="AC416" s="3">
        <v>4.2000000000000003E-2</v>
      </c>
    </row>
    <row r="417" spans="1:29" x14ac:dyDescent="0.35">
      <c r="A417" t="s">
        <v>1311</v>
      </c>
      <c r="B417" s="83">
        <v>11511</v>
      </c>
      <c r="C417" s="83">
        <v>13217</v>
      </c>
      <c r="D417" s="83">
        <v>1638</v>
      </c>
      <c r="E417" s="83">
        <v>1445</v>
      </c>
      <c r="F417" s="83">
        <v>1723</v>
      </c>
      <c r="G417" s="83">
        <v>1277</v>
      </c>
      <c r="H417" s="83">
        <v>2047</v>
      </c>
      <c r="I417" s="83">
        <v>1078</v>
      </c>
      <c r="J417" s="83">
        <v>873</v>
      </c>
      <c r="K417" s="83">
        <v>735</v>
      </c>
      <c r="L417" s="83">
        <v>817</v>
      </c>
      <c r="M417" s="83">
        <v>412</v>
      </c>
      <c r="N417" s="83">
        <v>888</v>
      </c>
      <c r="O417" s="83">
        <v>343</v>
      </c>
      <c r="P417" s="83">
        <v>604</v>
      </c>
      <c r="Q417" s="83">
        <v>544</v>
      </c>
      <c r="R417" s="83">
        <v>447</v>
      </c>
      <c r="S417" s="83">
        <v>839</v>
      </c>
      <c r="T417" s="86">
        <v>12522</v>
      </c>
      <c r="U417" s="83">
        <v>451</v>
      </c>
      <c r="V417" s="83">
        <v>321</v>
      </c>
      <c r="W417" s="83">
        <v>1922</v>
      </c>
      <c r="X417" s="83">
        <v>1780</v>
      </c>
      <c r="Y417" s="83">
        <v>2001</v>
      </c>
      <c r="Z417" s="83">
        <v>1092</v>
      </c>
      <c r="AA417" s="83">
        <v>547</v>
      </c>
      <c r="AB417" s="83">
        <v>450</v>
      </c>
      <c r="AC417" s="83">
        <v>605</v>
      </c>
    </row>
    <row r="418" spans="1:29" x14ac:dyDescent="0.35">
      <c r="A418" t="s">
        <v>1312</v>
      </c>
      <c r="B418" s="83">
        <v>22619</v>
      </c>
      <c r="C418" s="83">
        <v>24005</v>
      </c>
      <c r="D418" s="83">
        <v>27901</v>
      </c>
      <c r="E418" s="83">
        <v>27514</v>
      </c>
      <c r="F418" s="83">
        <v>27186</v>
      </c>
      <c r="G418" s="83">
        <v>26381</v>
      </c>
      <c r="H418" s="83">
        <v>24876</v>
      </c>
      <c r="I418" s="83">
        <v>24365</v>
      </c>
      <c r="J418" s="83">
        <v>23350</v>
      </c>
      <c r="K418" s="83">
        <v>23892</v>
      </c>
      <c r="L418" s="83">
        <v>22734</v>
      </c>
      <c r="M418" s="83">
        <v>20342</v>
      </c>
      <c r="N418" s="83">
        <v>21745</v>
      </c>
      <c r="O418" s="83">
        <v>20114</v>
      </c>
      <c r="P418" s="83">
        <v>18770</v>
      </c>
      <c r="Q418" s="83">
        <v>19458</v>
      </c>
      <c r="R418" s="83">
        <v>18404</v>
      </c>
      <c r="S418" s="83">
        <v>19098</v>
      </c>
      <c r="T418" s="86">
        <v>20535</v>
      </c>
      <c r="U418" s="83">
        <v>17358</v>
      </c>
      <c r="V418" s="83">
        <v>14531</v>
      </c>
      <c r="W418" s="83">
        <v>17659</v>
      </c>
      <c r="X418" s="83">
        <v>19421</v>
      </c>
      <c r="Y418" s="83">
        <v>18590</v>
      </c>
      <c r="Z418" s="83">
        <v>16425</v>
      </c>
      <c r="AA418" s="83">
        <v>14944</v>
      </c>
      <c r="AB418" s="83">
        <v>13185</v>
      </c>
      <c r="AC418" s="83">
        <v>14412</v>
      </c>
    </row>
    <row r="419" spans="1:29" x14ac:dyDescent="0.35">
      <c r="A419" t="s">
        <v>1245</v>
      </c>
      <c r="B419" s="7">
        <v>2.4300000000000002</v>
      </c>
      <c r="C419" s="7">
        <v>2.4700000000000002</v>
      </c>
      <c r="D419" s="7">
        <v>2.81</v>
      </c>
      <c r="E419" s="7">
        <v>2.81</v>
      </c>
      <c r="F419" s="7">
        <v>2.82</v>
      </c>
      <c r="G419" s="7">
        <v>2.81</v>
      </c>
      <c r="H419" s="7">
        <v>2.79</v>
      </c>
      <c r="I419" s="7">
        <v>2.79</v>
      </c>
      <c r="J419" s="7">
        <v>2.81</v>
      </c>
      <c r="K419" s="7">
        <v>2.82</v>
      </c>
      <c r="L419" s="7">
        <v>2.77</v>
      </c>
      <c r="M419" s="7">
        <v>2.81</v>
      </c>
      <c r="N419" s="7">
        <v>2.74</v>
      </c>
      <c r="O419" s="7">
        <v>2.8</v>
      </c>
      <c r="P419" s="7">
        <v>2.77</v>
      </c>
      <c r="Q419" s="7">
        <v>2.77</v>
      </c>
      <c r="R419" s="7">
        <v>2.79</v>
      </c>
      <c r="S419" s="7">
        <v>2.79</v>
      </c>
      <c r="T419" s="87">
        <v>1.69</v>
      </c>
      <c r="U419" s="7">
        <v>2.82</v>
      </c>
      <c r="V419" s="7">
        <v>2.8</v>
      </c>
      <c r="W419" s="7">
        <v>2.75</v>
      </c>
      <c r="X419" s="7">
        <v>2.8</v>
      </c>
      <c r="Y419" s="7">
        <v>2.8</v>
      </c>
      <c r="Z419" s="7">
        <v>2.82</v>
      </c>
      <c r="AA419" s="7">
        <v>2.83</v>
      </c>
      <c r="AB419" s="7">
        <v>2.82</v>
      </c>
      <c r="AC419" s="7">
        <v>2.82</v>
      </c>
    </row>
    <row r="420" spans="1:29" x14ac:dyDescent="0.35">
      <c r="T420" s="88"/>
    </row>
    <row r="421" spans="1:29" x14ac:dyDescent="0.35">
      <c r="A421" t="s">
        <v>1240</v>
      </c>
      <c r="B421" s="84">
        <v>46026</v>
      </c>
      <c r="C421" s="84">
        <v>46033</v>
      </c>
      <c r="D421" s="5">
        <v>46040</v>
      </c>
      <c r="E421" s="5">
        <v>46047</v>
      </c>
      <c r="F421" s="5">
        <v>46054</v>
      </c>
      <c r="G421" s="5">
        <v>46061</v>
      </c>
      <c r="H421" s="5">
        <v>46068</v>
      </c>
      <c r="I421" s="5">
        <v>46075</v>
      </c>
      <c r="J421" s="5">
        <v>46082</v>
      </c>
      <c r="K421" s="5">
        <v>46089</v>
      </c>
      <c r="L421" s="5">
        <v>46096</v>
      </c>
      <c r="M421" s="5">
        <v>46103</v>
      </c>
      <c r="N421" s="5">
        <v>46110</v>
      </c>
      <c r="O421" s="5">
        <v>46117</v>
      </c>
      <c r="P421" s="5">
        <v>46124</v>
      </c>
      <c r="Q421" s="5">
        <v>46131</v>
      </c>
      <c r="R421" s="5">
        <v>46138</v>
      </c>
      <c r="S421" s="5">
        <v>46145</v>
      </c>
      <c r="T421" s="84">
        <v>46152</v>
      </c>
      <c r="U421" s="5">
        <v>46159</v>
      </c>
      <c r="V421" s="5">
        <v>46166</v>
      </c>
      <c r="W421" s="5">
        <v>46173</v>
      </c>
      <c r="X421" s="5">
        <v>46180</v>
      </c>
      <c r="Y421" s="5">
        <v>46187</v>
      </c>
      <c r="Z421" s="5">
        <v>46194</v>
      </c>
      <c r="AA421" s="5">
        <v>46201</v>
      </c>
      <c r="AB421" s="5">
        <v>46208</v>
      </c>
      <c r="AC421" s="5">
        <v>46215</v>
      </c>
    </row>
    <row r="422" spans="1:29" x14ac:dyDescent="0.35">
      <c r="A422" t="s">
        <v>1242</v>
      </c>
      <c r="B422" s="85">
        <v>0.71699999999999997</v>
      </c>
      <c r="C422" s="85">
        <v>0.74099999999999999</v>
      </c>
      <c r="D422" s="3">
        <v>7.5999999999999998E-2</v>
      </c>
      <c r="E422" s="3">
        <v>7.2999999999999995E-2</v>
      </c>
      <c r="F422" s="3">
        <v>8.3000000000000004E-2</v>
      </c>
      <c r="G422" s="3">
        <v>7.0999999999999994E-2</v>
      </c>
      <c r="H422" s="3">
        <v>0.11700000000000001</v>
      </c>
      <c r="I422" s="3">
        <v>7.2999999999999995E-2</v>
      </c>
      <c r="J422" s="3">
        <v>5.2999999999999999E-2</v>
      </c>
      <c r="K422" s="3">
        <v>4.4999999999999998E-2</v>
      </c>
      <c r="L422" s="3">
        <v>7.1999999999999995E-2</v>
      </c>
      <c r="M422" s="3">
        <v>3.6999999999999998E-2</v>
      </c>
      <c r="N422" s="3">
        <v>9.1999999999999998E-2</v>
      </c>
      <c r="O422" s="3">
        <v>4.1000000000000002E-2</v>
      </c>
      <c r="P422" s="3">
        <v>6.3E-2</v>
      </c>
      <c r="Q422" s="3">
        <v>5.5E-2</v>
      </c>
      <c r="R422" s="3">
        <v>4.5999999999999999E-2</v>
      </c>
      <c r="S422" s="3">
        <v>5.8999999999999997E-2</v>
      </c>
      <c r="T422" s="85">
        <v>1.63</v>
      </c>
      <c r="U422" s="3">
        <v>4.1000000000000002E-2</v>
      </c>
      <c r="V422" s="3">
        <v>4.2000000000000003E-2</v>
      </c>
      <c r="W422" s="3">
        <v>0.14899999999999999</v>
      </c>
      <c r="X422" s="3">
        <v>0.11700000000000001</v>
      </c>
      <c r="Y422" s="3">
        <v>0.128</v>
      </c>
      <c r="Z422" s="3">
        <v>7.4999999999999997E-2</v>
      </c>
      <c r="AA422" s="3">
        <v>0.05</v>
      </c>
      <c r="AB422" s="3">
        <v>4.5999999999999999E-2</v>
      </c>
      <c r="AC422" s="3">
        <v>5.7000000000000002E-2</v>
      </c>
    </row>
    <row r="423" spans="1:29" x14ac:dyDescent="0.35">
      <c r="A423" t="s">
        <v>1247</v>
      </c>
      <c r="B423" s="85">
        <v>0.122</v>
      </c>
      <c r="C423" s="85">
        <v>0.11</v>
      </c>
      <c r="D423" s="3">
        <v>9.0999999999999998E-2</v>
      </c>
      <c r="E423" s="3">
        <v>0.10199999999999999</v>
      </c>
      <c r="F423" s="3">
        <v>0.09</v>
      </c>
      <c r="G423" s="3">
        <v>0.11700000000000001</v>
      </c>
      <c r="H423" s="3">
        <v>0.122</v>
      </c>
      <c r="I423" s="3">
        <v>0.13900000000000001</v>
      </c>
      <c r="J423" s="3">
        <v>0.111</v>
      </c>
      <c r="K423" s="3">
        <v>0.14299999999999999</v>
      </c>
      <c r="L423" s="3">
        <v>0.25800000000000001</v>
      </c>
      <c r="M423" s="3">
        <v>0.16400000000000001</v>
      </c>
      <c r="N423" s="3">
        <v>0.26400000000000001</v>
      </c>
      <c r="O423" s="3">
        <v>0.20499999999999999</v>
      </c>
      <c r="P423" s="3">
        <v>0.20300000000000001</v>
      </c>
      <c r="Q423" s="3">
        <v>0.19500000000000001</v>
      </c>
      <c r="R423" s="3">
        <v>0.157</v>
      </c>
      <c r="S423" s="3">
        <v>0.09</v>
      </c>
      <c r="T423" s="85">
        <v>0.39</v>
      </c>
      <c r="U423" s="3">
        <v>0.14899999999999999</v>
      </c>
      <c r="V423" s="3">
        <v>0.189</v>
      </c>
      <c r="W423" s="3">
        <v>0.115</v>
      </c>
      <c r="X423" s="3">
        <v>9.8000000000000004E-2</v>
      </c>
      <c r="Y423" s="3">
        <v>7.1999999999999995E-2</v>
      </c>
      <c r="Z423" s="3">
        <v>4.3999999999999997E-2</v>
      </c>
      <c r="AA423" s="3">
        <v>9.7000000000000003E-2</v>
      </c>
      <c r="AB423" s="3">
        <v>0.10199999999999999</v>
      </c>
      <c r="AC423" s="3">
        <v>0.107</v>
      </c>
    </row>
    <row r="424" spans="1:29" x14ac:dyDescent="0.35">
      <c r="A424" t="s">
        <v>1248</v>
      </c>
      <c r="B424" s="7">
        <v>0.34</v>
      </c>
      <c r="C424" s="7">
        <v>0.3</v>
      </c>
      <c r="D424" s="7">
        <v>0.26</v>
      </c>
      <c r="E424" s="7">
        <v>0.28999999999999998</v>
      </c>
      <c r="F424" s="7">
        <v>0.26</v>
      </c>
      <c r="G424" s="7">
        <v>0.34</v>
      </c>
      <c r="H424" s="7">
        <v>0.35</v>
      </c>
      <c r="I424" s="7">
        <v>0.4</v>
      </c>
      <c r="J424" s="7">
        <v>0.32</v>
      </c>
      <c r="K424" s="7">
        <v>0.41</v>
      </c>
      <c r="L424" s="7">
        <v>0.74</v>
      </c>
      <c r="M424" s="7">
        <v>0.47</v>
      </c>
      <c r="N424" s="7">
        <v>0.76</v>
      </c>
      <c r="O424" s="7">
        <v>0.59</v>
      </c>
      <c r="P424" s="7">
        <v>0.57999999999999996</v>
      </c>
      <c r="Q424" s="7">
        <v>0.56000000000000005</v>
      </c>
      <c r="R424" s="7">
        <v>0.45</v>
      </c>
      <c r="S424" s="7">
        <v>0.25</v>
      </c>
      <c r="T424" s="87">
        <v>1.08</v>
      </c>
      <c r="U424" s="7">
        <v>0.43</v>
      </c>
      <c r="V424" s="7">
        <v>0.54</v>
      </c>
      <c r="W424" s="7">
        <v>0.33</v>
      </c>
      <c r="X424" s="7">
        <v>0.28000000000000003</v>
      </c>
      <c r="Y424" s="7">
        <v>0.21</v>
      </c>
      <c r="Z424" s="7">
        <v>0.13</v>
      </c>
      <c r="AA424" s="7">
        <v>0.28000000000000003</v>
      </c>
      <c r="AB424" s="7">
        <v>0.28999999999999998</v>
      </c>
      <c r="AC424" s="7">
        <v>0.31</v>
      </c>
    </row>
    <row r="425" spans="1:29" x14ac:dyDescent="0.35">
      <c r="A425" t="s">
        <v>1249</v>
      </c>
      <c r="B425" s="7">
        <v>2.4300000000000002</v>
      </c>
      <c r="C425" s="7">
        <v>2.46</v>
      </c>
      <c r="D425" s="7">
        <v>2.6</v>
      </c>
      <c r="E425" s="7">
        <v>2.57</v>
      </c>
      <c r="F425" s="7">
        <v>2.61</v>
      </c>
      <c r="G425" s="7">
        <v>2.5299999999999998</v>
      </c>
      <c r="H425" s="7">
        <v>2.5299999999999998</v>
      </c>
      <c r="I425" s="7">
        <v>2.4700000000000002</v>
      </c>
      <c r="J425" s="7">
        <v>2.54</v>
      </c>
      <c r="K425" s="7">
        <v>2.4500000000000002</v>
      </c>
      <c r="L425" s="7">
        <v>2.13</v>
      </c>
      <c r="M425" s="7">
        <v>2.39</v>
      </c>
      <c r="N425" s="7">
        <v>2.11</v>
      </c>
      <c r="O425" s="7">
        <v>2.2799999999999998</v>
      </c>
      <c r="P425" s="7">
        <v>2.27</v>
      </c>
      <c r="Q425" s="7">
        <v>2.29</v>
      </c>
      <c r="R425" s="7">
        <v>2.4</v>
      </c>
      <c r="S425" s="7">
        <v>2.58</v>
      </c>
      <c r="T425" s="87">
        <v>1.69</v>
      </c>
      <c r="U425" s="7">
        <v>2.4300000000000002</v>
      </c>
      <c r="V425" s="7">
        <v>2.3199999999999998</v>
      </c>
      <c r="W425" s="7">
        <v>2.5299999999999998</v>
      </c>
      <c r="X425" s="7">
        <v>2.58</v>
      </c>
      <c r="Y425" s="7">
        <v>2.65</v>
      </c>
      <c r="Z425" s="7">
        <v>2.72</v>
      </c>
      <c r="AA425" s="7">
        <v>2.59</v>
      </c>
      <c r="AB425" s="7">
        <v>2.56</v>
      </c>
      <c r="AC425" s="7">
        <v>2.5499999999999998</v>
      </c>
    </row>
    <row r="426" spans="1:29" x14ac:dyDescent="0.35">
      <c r="A426" t="s">
        <v>1250</v>
      </c>
      <c r="B426" s="7">
        <v>2.77</v>
      </c>
      <c r="C426" s="7">
        <v>2.77</v>
      </c>
      <c r="D426" s="7">
        <v>2.86</v>
      </c>
      <c r="E426" s="7">
        <v>2.86</v>
      </c>
      <c r="F426" s="7">
        <v>2.87</v>
      </c>
      <c r="G426" s="7">
        <v>2.87</v>
      </c>
      <c r="H426" s="7">
        <v>2.88</v>
      </c>
      <c r="I426" s="7">
        <v>2.86</v>
      </c>
      <c r="J426" s="7">
        <v>2.86</v>
      </c>
      <c r="K426" s="7">
        <v>2.86</v>
      </c>
      <c r="L426" s="7">
        <v>2.87</v>
      </c>
      <c r="M426" s="7">
        <v>2.86</v>
      </c>
      <c r="N426" s="7">
        <v>2.87</v>
      </c>
      <c r="O426" s="7">
        <v>2.87</v>
      </c>
      <c r="P426" s="7">
        <v>2.85</v>
      </c>
      <c r="Q426" s="7">
        <v>2.85</v>
      </c>
      <c r="R426" s="7">
        <v>2.85</v>
      </c>
      <c r="S426" s="7">
        <v>2.83</v>
      </c>
      <c r="T426" s="87">
        <v>2.76</v>
      </c>
      <c r="U426" s="7">
        <v>2.86</v>
      </c>
      <c r="V426" s="7">
        <v>2.86</v>
      </c>
      <c r="W426" s="7">
        <v>2.85</v>
      </c>
      <c r="X426" s="7">
        <v>2.86</v>
      </c>
      <c r="Y426" s="7">
        <v>2.86</v>
      </c>
      <c r="Z426" s="7">
        <v>2.85</v>
      </c>
      <c r="AA426" s="7">
        <v>2.86</v>
      </c>
      <c r="AB426" s="7">
        <v>2.85</v>
      </c>
      <c r="AC426" s="7">
        <v>2.86</v>
      </c>
    </row>
    <row r="427" spans="1:29" x14ac:dyDescent="0.35">
      <c r="A427" t="s">
        <v>1245</v>
      </c>
      <c r="B427" s="7">
        <v>2.4300000000000002</v>
      </c>
      <c r="C427" s="7">
        <v>2.4700000000000002</v>
      </c>
      <c r="D427" s="7">
        <v>2.81</v>
      </c>
      <c r="E427" s="7">
        <v>2.81</v>
      </c>
      <c r="F427" s="7">
        <v>2.82</v>
      </c>
      <c r="G427" s="7">
        <v>2.81</v>
      </c>
      <c r="H427" s="7">
        <v>2.79</v>
      </c>
      <c r="I427" s="7">
        <v>2.79</v>
      </c>
      <c r="J427" s="7">
        <v>2.81</v>
      </c>
      <c r="K427" s="7">
        <v>2.82</v>
      </c>
      <c r="L427" s="7">
        <v>2.77</v>
      </c>
      <c r="M427" s="7">
        <v>2.81</v>
      </c>
      <c r="N427" s="7">
        <v>2.74</v>
      </c>
      <c r="O427" s="7">
        <v>2.8</v>
      </c>
      <c r="P427" s="7">
        <v>2.77</v>
      </c>
      <c r="Q427" s="7">
        <v>2.77</v>
      </c>
      <c r="R427" s="7">
        <v>2.79</v>
      </c>
      <c r="S427" s="7">
        <v>2.79</v>
      </c>
      <c r="T427" s="87">
        <v>1.69</v>
      </c>
      <c r="U427" s="7">
        <v>2.82</v>
      </c>
      <c r="V427" s="7">
        <v>2.8</v>
      </c>
      <c r="W427" s="7">
        <v>2.75</v>
      </c>
      <c r="X427" s="7">
        <v>2.8</v>
      </c>
      <c r="Y427" s="7">
        <v>2.8</v>
      </c>
      <c r="Z427" s="7">
        <v>2.82</v>
      </c>
      <c r="AA427" s="7">
        <v>2.83</v>
      </c>
      <c r="AB427" s="7">
        <v>2.82</v>
      </c>
      <c r="AC427" s="7">
        <v>2.82</v>
      </c>
    </row>
    <row r="429" spans="1:29" x14ac:dyDescent="0.35">
      <c r="A429" t="s">
        <v>1240</v>
      </c>
      <c r="B429" s="5">
        <v>46026</v>
      </c>
      <c r="C429" s="5">
        <v>46033</v>
      </c>
      <c r="D429" s="5">
        <v>46040</v>
      </c>
      <c r="E429" s="5">
        <v>46047</v>
      </c>
      <c r="F429" s="5">
        <v>46054</v>
      </c>
      <c r="G429" s="5">
        <v>46061</v>
      </c>
      <c r="H429" s="5">
        <v>46068</v>
      </c>
      <c r="I429" s="5">
        <v>46075</v>
      </c>
      <c r="J429" s="5">
        <v>46082</v>
      </c>
      <c r="K429" s="5">
        <v>46089</v>
      </c>
      <c r="L429" s="5">
        <v>46096</v>
      </c>
      <c r="M429" s="5">
        <v>46103</v>
      </c>
      <c r="N429" s="5">
        <v>46110</v>
      </c>
      <c r="O429" s="5">
        <v>46117</v>
      </c>
      <c r="P429" s="5">
        <v>46124</v>
      </c>
      <c r="Q429" s="5">
        <v>46131</v>
      </c>
      <c r="R429" s="5">
        <v>46138</v>
      </c>
      <c r="S429" s="5">
        <v>46145</v>
      </c>
      <c r="T429" s="84">
        <v>46152</v>
      </c>
      <c r="U429" s="5">
        <v>46159</v>
      </c>
      <c r="V429" s="5">
        <v>46166</v>
      </c>
      <c r="W429" s="5">
        <v>46173</v>
      </c>
      <c r="X429" s="5">
        <v>46180</v>
      </c>
      <c r="Y429" s="5">
        <v>46187</v>
      </c>
      <c r="Z429" s="5">
        <v>46194</v>
      </c>
      <c r="AA429" s="5">
        <v>46201</v>
      </c>
      <c r="AB429" s="5">
        <v>46208</v>
      </c>
      <c r="AC429" s="5">
        <v>46215</v>
      </c>
    </row>
    <row r="430" spans="1:29" x14ac:dyDescent="0.35">
      <c r="A430" t="s">
        <v>1241</v>
      </c>
      <c r="B430" s="6">
        <v>14040</v>
      </c>
      <c r="C430" s="6">
        <v>15097</v>
      </c>
      <c r="D430" s="6">
        <v>10503</v>
      </c>
      <c r="E430" s="6">
        <v>10315</v>
      </c>
      <c r="F430" s="6">
        <v>10255</v>
      </c>
      <c r="G430" s="6">
        <v>9838</v>
      </c>
      <c r="H430" s="6">
        <v>9651</v>
      </c>
      <c r="I430" s="6">
        <v>9128</v>
      </c>
      <c r="J430" s="6">
        <v>8607</v>
      </c>
      <c r="K430" s="6">
        <v>8729</v>
      </c>
      <c r="L430" s="6">
        <v>8504</v>
      </c>
      <c r="M430" s="6">
        <v>7383</v>
      </c>
      <c r="N430" s="6">
        <v>8275</v>
      </c>
      <c r="O430" s="6">
        <v>7306</v>
      </c>
      <c r="P430" s="6">
        <v>7006</v>
      </c>
      <c r="Q430" s="6">
        <v>7213</v>
      </c>
      <c r="R430" s="6">
        <v>6757</v>
      </c>
      <c r="S430" s="6">
        <v>7138</v>
      </c>
      <c r="T430" s="89">
        <v>19555</v>
      </c>
      <c r="U430" s="6">
        <v>6326</v>
      </c>
      <c r="V430" s="6">
        <v>5299</v>
      </c>
      <c r="W430" s="6">
        <v>7114</v>
      </c>
      <c r="X430" s="6">
        <v>7584</v>
      </c>
      <c r="Y430" s="6">
        <v>7341</v>
      </c>
      <c r="Z430" s="6">
        <v>6208</v>
      </c>
      <c r="AA430" s="6">
        <v>5479</v>
      </c>
      <c r="AB430" s="6">
        <v>4836</v>
      </c>
      <c r="AC430" s="6">
        <v>5326</v>
      </c>
    </row>
    <row r="431" spans="1:29" x14ac:dyDescent="0.35">
      <c r="A431" t="s">
        <v>1242</v>
      </c>
      <c r="B431" s="3">
        <v>0.71699999999999997</v>
      </c>
      <c r="C431" s="3">
        <v>0.74099999999999999</v>
      </c>
      <c r="D431" s="3">
        <v>7.5999999999999998E-2</v>
      </c>
      <c r="E431" s="3">
        <v>7.2999999999999995E-2</v>
      </c>
      <c r="F431" s="3">
        <v>8.3000000000000004E-2</v>
      </c>
      <c r="G431" s="3">
        <v>7.0999999999999994E-2</v>
      </c>
      <c r="H431" s="3">
        <v>0.11700000000000001</v>
      </c>
      <c r="I431" s="3">
        <v>7.2999999999999995E-2</v>
      </c>
      <c r="J431" s="3">
        <v>5.2999999999999999E-2</v>
      </c>
      <c r="K431" s="3">
        <v>4.4999999999999998E-2</v>
      </c>
      <c r="L431" s="3">
        <v>7.1999999999999995E-2</v>
      </c>
      <c r="M431" s="3">
        <v>3.6999999999999998E-2</v>
      </c>
      <c r="N431" s="3">
        <v>9.1999999999999998E-2</v>
      </c>
      <c r="O431" s="3">
        <v>4.1000000000000002E-2</v>
      </c>
      <c r="P431" s="3">
        <v>6.3E-2</v>
      </c>
      <c r="Q431" s="3">
        <v>5.5E-2</v>
      </c>
      <c r="R431" s="3">
        <v>4.5999999999999999E-2</v>
      </c>
      <c r="S431" s="3">
        <v>5.8999999999999997E-2</v>
      </c>
      <c r="T431" s="85">
        <v>1.63</v>
      </c>
      <c r="U431" s="3">
        <v>4.1000000000000002E-2</v>
      </c>
      <c r="V431" s="3">
        <v>4.2000000000000003E-2</v>
      </c>
      <c r="W431" s="3">
        <v>0.14899999999999999</v>
      </c>
      <c r="X431" s="3">
        <v>0.11700000000000001</v>
      </c>
      <c r="Y431" s="3">
        <v>0.128</v>
      </c>
      <c r="Z431" s="3">
        <v>7.4999999999999997E-2</v>
      </c>
      <c r="AA431" s="3">
        <v>0.05</v>
      </c>
      <c r="AB431" s="3">
        <v>4.5999999999999999E-2</v>
      </c>
      <c r="AC431" s="3">
        <v>5.7000000000000002E-2</v>
      </c>
    </row>
    <row r="432" spans="1:29" x14ac:dyDescent="0.35">
      <c r="A432" t="s">
        <v>1243</v>
      </c>
      <c r="B432" s="6">
        <v>5865</v>
      </c>
      <c r="C432" s="6">
        <v>6426</v>
      </c>
      <c r="D432">
        <v>740</v>
      </c>
      <c r="E432">
        <v>704</v>
      </c>
      <c r="F432">
        <v>784</v>
      </c>
      <c r="G432">
        <v>652</v>
      </c>
      <c r="H432" s="6">
        <v>1007</v>
      </c>
      <c r="I432">
        <v>618</v>
      </c>
      <c r="J432">
        <v>433</v>
      </c>
      <c r="K432">
        <v>378</v>
      </c>
      <c r="L432">
        <v>573</v>
      </c>
      <c r="M432">
        <v>262</v>
      </c>
      <c r="N432">
        <v>698</v>
      </c>
      <c r="O432">
        <v>290</v>
      </c>
      <c r="P432">
        <v>414</v>
      </c>
      <c r="Q432">
        <v>378</v>
      </c>
      <c r="R432">
        <v>297</v>
      </c>
      <c r="S432">
        <v>400</v>
      </c>
      <c r="T432" s="89">
        <v>12120</v>
      </c>
      <c r="U432">
        <v>247</v>
      </c>
      <c r="V432">
        <v>212</v>
      </c>
      <c r="W432">
        <v>925</v>
      </c>
      <c r="X432">
        <v>794</v>
      </c>
      <c r="Y432">
        <v>835</v>
      </c>
      <c r="Z432">
        <v>435</v>
      </c>
      <c r="AA432">
        <v>261</v>
      </c>
      <c r="AB432">
        <v>212</v>
      </c>
      <c r="AC432">
        <v>287</v>
      </c>
    </row>
    <row r="433" spans="1:29" x14ac:dyDescent="0.35">
      <c r="A433" t="s">
        <v>1244</v>
      </c>
      <c r="B433" s="6">
        <v>8175</v>
      </c>
      <c r="C433" s="6">
        <v>8671</v>
      </c>
      <c r="D433" s="6">
        <v>9763</v>
      </c>
      <c r="E433" s="6">
        <v>9611</v>
      </c>
      <c r="F433" s="6">
        <v>9471</v>
      </c>
      <c r="G433" s="6">
        <v>9187</v>
      </c>
      <c r="H433" s="6">
        <v>8644</v>
      </c>
      <c r="I433" s="6">
        <v>8510</v>
      </c>
      <c r="J433" s="6">
        <v>8174</v>
      </c>
      <c r="K433" s="6">
        <v>8351</v>
      </c>
      <c r="L433" s="6">
        <v>7931</v>
      </c>
      <c r="M433" s="6">
        <v>7121</v>
      </c>
      <c r="N433" s="6">
        <v>7577</v>
      </c>
      <c r="O433" s="6">
        <v>7017</v>
      </c>
      <c r="P433" s="6">
        <v>6592</v>
      </c>
      <c r="Q433" s="6">
        <v>6836</v>
      </c>
      <c r="R433" s="6">
        <v>6460</v>
      </c>
      <c r="S433" s="6">
        <v>6738</v>
      </c>
      <c r="T433" s="89">
        <v>7435</v>
      </c>
      <c r="U433" s="6">
        <v>6079</v>
      </c>
      <c r="V433" s="6">
        <v>5087</v>
      </c>
      <c r="W433" s="6">
        <v>6189</v>
      </c>
      <c r="X433" s="6">
        <v>6790</v>
      </c>
      <c r="Y433" s="6">
        <v>6506</v>
      </c>
      <c r="Z433" s="6">
        <v>5773</v>
      </c>
      <c r="AA433" s="6">
        <v>5218</v>
      </c>
      <c r="AB433" s="6">
        <v>4624</v>
      </c>
      <c r="AC433" s="6">
        <v>5039</v>
      </c>
    </row>
    <row r="434" spans="1:29" x14ac:dyDescent="0.35">
      <c r="A434" t="s">
        <v>1245</v>
      </c>
      <c r="B434" s="7">
        <v>2.4300000000000002</v>
      </c>
      <c r="C434" s="7">
        <v>2.4700000000000002</v>
      </c>
      <c r="D434" s="7">
        <v>2.81</v>
      </c>
      <c r="E434" s="7">
        <v>2.81</v>
      </c>
      <c r="F434" s="7">
        <v>2.82</v>
      </c>
      <c r="G434" s="7">
        <v>2.81</v>
      </c>
      <c r="H434" s="7">
        <v>2.79</v>
      </c>
      <c r="I434" s="7">
        <v>2.79</v>
      </c>
      <c r="J434" s="7">
        <v>2.81</v>
      </c>
      <c r="K434" s="7">
        <v>2.82</v>
      </c>
      <c r="L434" s="7">
        <v>2.77</v>
      </c>
      <c r="M434" s="7">
        <v>2.81</v>
      </c>
      <c r="N434" s="7">
        <v>2.74</v>
      </c>
      <c r="O434" s="7">
        <v>2.8</v>
      </c>
      <c r="P434" s="7">
        <v>2.77</v>
      </c>
      <c r="Q434" s="7">
        <v>2.77</v>
      </c>
      <c r="R434" s="7">
        <v>2.79</v>
      </c>
      <c r="S434" s="7">
        <v>2.79</v>
      </c>
      <c r="T434" s="87">
        <v>1.69</v>
      </c>
      <c r="U434" s="7">
        <v>2.82</v>
      </c>
      <c r="V434" s="7">
        <v>2.8</v>
      </c>
      <c r="W434" s="7">
        <v>2.75</v>
      </c>
      <c r="X434" s="7">
        <v>2.8</v>
      </c>
      <c r="Y434" s="7">
        <v>2.8</v>
      </c>
      <c r="Z434" s="7">
        <v>2.82</v>
      </c>
      <c r="AA434" s="7">
        <v>2.83</v>
      </c>
      <c r="AB434" s="7">
        <v>2.82</v>
      </c>
      <c r="AC434" s="7">
        <v>2.82</v>
      </c>
    </row>
    <row r="436" spans="1:29" s="68" customFormat="1" x14ac:dyDescent="0.35"/>
    <row r="438" spans="1:29" x14ac:dyDescent="0.35">
      <c r="A438" s="4" t="s">
        <v>1315</v>
      </c>
    </row>
    <row r="441" spans="1:29" x14ac:dyDescent="0.35">
      <c r="A441" t="s">
        <v>1240</v>
      </c>
      <c r="B441" s="5">
        <v>46026</v>
      </c>
      <c r="C441" s="90">
        <v>46033</v>
      </c>
      <c r="D441" s="90">
        <v>46040</v>
      </c>
      <c r="E441" s="90">
        <v>46047</v>
      </c>
      <c r="F441" s="90">
        <v>46054</v>
      </c>
      <c r="G441" s="84">
        <v>46061</v>
      </c>
      <c r="H441" s="84">
        <v>46068</v>
      </c>
      <c r="I441" s="84">
        <v>46075</v>
      </c>
      <c r="J441" s="84">
        <v>46082</v>
      </c>
      <c r="K441" s="5">
        <v>46089</v>
      </c>
      <c r="L441" s="5">
        <v>46096</v>
      </c>
      <c r="M441" s="5">
        <v>46103</v>
      </c>
      <c r="N441" s="5">
        <v>46110</v>
      </c>
      <c r="O441" s="5">
        <v>46117</v>
      </c>
      <c r="P441" s="5">
        <v>46124</v>
      </c>
      <c r="Q441" s="5">
        <v>46131</v>
      </c>
      <c r="R441" s="5">
        <v>46138</v>
      </c>
      <c r="S441" s="5">
        <v>46145</v>
      </c>
      <c r="T441" s="5">
        <v>46152</v>
      </c>
      <c r="U441" s="5">
        <v>46159</v>
      </c>
      <c r="V441" s="5">
        <v>46166</v>
      </c>
      <c r="W441" s="5">
        <v>46173</v>
      </c>
      <c r="X441" s="84">
        <v>46180</v>
      </c>
      <c r="Y441" s="84">
        <v>46187</v>
      </c>
      <c r="Z441" s="84">
        <v>46194</v>
      </c>
      <c r="AA441" s="84">
        <v>46201</v>
      </c>
      <c r="AB441" s="5">
        <v>46208</v>
      </c>
      <c r="AC441" s="5">
        <v>46215</v>
      </c>
    </row>
    <row r="442" spans="1:29" x14ac:dyDescent="0.35">
      <c r="A442" t="s">
        <v>1241</v>
      </c>
      <c r="B442">
        <v>423</v>
      </c>
      <c r="C442">
        <v>726</v>
      </c>
      <c r="D442">
        <v>787</v>
      </c>
      <c r="E442">
        <v>623</v>
      </c>
      <c r="F442">
        <v>791</v>
      </c>
      <c r="G442">
        <v>861</v>
      </c>
      <c r="H442">
        <v>810</v>
      </c>
      <c r="I442">
        <v>774</v>
      </c>
      <c r="J442">
        <v>870</v>
      </c>
      <c r="K442">
        <v>740</v>
      </c>
      <c r="L442">
        <v>731</v>
      </c>
      <c r="M442">
        <v>650</v>
      </c>
      <c r="N442">
        <v>830</v>
      </c>
      <c r="O442">
        <v>669</v>
      </c>
      <c r="P442">
        <v>744</v>
      </c>
      <c r="Q442">
        <v>760</v>
      </c>
      <c r="R442">
        <v>811</v>
      </c>
      <c r="S442">
        <v>857</v>
      </c>
      <c r="T442">
        <v>731</v>
      </c>
      <c r="U442">
        <v>672</v>
      </c>
      <c r="V442">
        <v>714</v>
      </c>
      <c r="W442">
        <v>656</v>
      </c>
      <c r="X442">
        <v>917</v>
      </c>
      <c r="Y442">
        <v>936</v>
      </c>
      <c r="Z442">
        <v>882</v>
      </c>
      <c r="AA442">
        <v>859</v>
      </c>
      <c r="AB442">
        <v>748</v>
      </c>
      <c r="AC442">
        <v>736</v>
      </c>
    </row>
    <row r="443" spans="1:29" x14ac:dyDescent="0.35">
      <c r="A443" t="s">
        <v>1242</v>
      </c>
      <c r="B443" s="3">
        <v>0.159</v>
      </c>
      <c r="C443" s="3">
        <v>0.27500000000000002</v>
      </c>
      <c r="D443" s="3">
        <v>0.23799999999999999</v>
      </c>
      <c r="E443" s="3">
        <v>0.184</v>
      </c>
      <c r="F443" s="3">
        <v>0.161</v>
      </c>
      <c r="G443" s="3">
        <v>0.20899999999999999</v>
      </c>
      <c r="H443" s="3">
        <v>0.17799999999999999</v>
      </c>
      <c r="I443" s="3">
        <v>0.17</v>
      </c>
      <c r="J443" s="3">
        <v>0.129</v>
      </c>
      <c r="K443" s="3">
        <v>2.4E-2</v>
      </c>
      <c r="L443" s="3">
        <v>8.0000000000000002E-3</v>
      </c>
      <c r="M443" s="3">
        <v>6.0000000000000001E-3</v>
      </c>
      <c r="N443" s="3">
        <v>2.5999999999999999E-2</v>
      </c>
      <c r="O443" s="3">
        <v>0.02</v>
      </c>
      <c r="P443" s="3">
        <v>8.9999999999999993E-3</v>
      </c>
      <c r="Q443" s="3">
        <v>7.0000000000000001E-3</v>
      </c>
      <c r="R443" s="3">
        <v>3.5000000000000003E-2</v>
      </c>
      <c r="S443" s="3">
        <v>2.1000000000000001E-2</v>
      </c>
      <c r="T443" s="3">
        <v>0</v>
      </c>
      <c r="U443" s="3">
        <v>0</v>
      </c>
      <c r="V443" s="3">
        <v>3.0000000000000001E-3</v>
      </c>
      <c r="W443" s="3">
        <v>2E-3</v>
      </c>
      <c r="X443" s="85">
        <v>0.111</v>
      </c>
      <c r="Y443" s="85">
        <v>8.1000000000000003E-2</v>
      </c>
      <c r="Z443" s="85">
        <v>0.16500000000000001</v>
      </c>
      <c r="AA443" s="85">
        <v>0.13800000000000001</v>
      </c>
      <c r="AB443" s="3">
        <v>7.9000000000000001E-2</v>
      </c>
      <c r="AC443" s="3">
        <v>6.0999999999999999E-2</v>
      </c>
    </row>
    <row r="444" spans="1:29" x14ac:dyDescent="0.35">
      <c r="A444" t="s">
        <v>1243</v>
      </c>
      <c r="B444">
        <v>58</v>
      </c>
      <c r="C444" s="29">
        <v>157</v>
      </c>
      <c r="D444" s="29">
        <v>152</v>
      </c>
      <c r="E444" s="29">
        <v>97</v>
      </c>
      <c r="F444" s="29">
        <v>109</v>
      </c>
      <c r="G444" s="88">
        <v>149</v>
      </c>
      <c r="H444" s="88">
        <v>122</v>
      </c>
      <c r="I444" s="88">
        <v>112</v>
      </c>
      <c r="J444" s="88">
        <v>100</v>
      </c>
      <c r="K444">
        <v>17</v>
      </c>
      <c r="L444">
        <v>6</v>
      </c>
      <c r="M444">
        <v>4</v>
      </c>
      <c r="N444">
        <v>21</v>
      </c>
      <c r="O444">
        <v>13</v>
      </c>
      <c r="P444">
        <v>7</v>
      </c>
      <c r="Q444">
        <v>6</v>
      </c>
      <c r="R444">
        <v>27</v>
      </c>
      <c r="S444">
        <v>18</v>
      </c>
      <c r="T444">
        <v>0</v>
      </c>
      <c r="U444">
        <v>0</v>
      </c>
      <c r="V444">
        <v>2</v>
      </c>
      <c r="W444">
        <v>2</v>
      </c>
      <c r="X444" s="88">
        <v>92</v>
      </c>
      <c r="Y444" s="88">
        <v>70</v>
      </c>
      <c r="Z444" s="88">
        <v>125</v>
      </c>
      <c r="AA444" s="88">
        <v>104</v>
      </c>
      <c r="AB444">
        <v>55</v>
      </c>
      <c r="AC444">
        <v>42</v>
      </c>
    </row>
    <row r="445" spans="1:29" x14ac:dyDescent="0.35">
      <c r="A445" t="s">
        <v>1244</v>
      </c>
      <c r="B445">
        <v>365</v>
      </c>
      <c r="C445">
        <v>569</v>
      </c>
      <c r="D445">
        <v>636</v>
      </c>
      <c r="E445">
        <v>526</v>
      </c>
      <c r="F445">
        <v>682</v>
      </c>
      <c r="G445">
        <v>712</v>
      </c>
      <c r="H445">
        <v>688</v>
      </c>
      <c r="I445">
        <v>662</v>
      </c>
      <c r="J445">
        <v>770</v>
      </c>
      <c r="K445">
        <v>723</v>
      </c>
      <c r="L445">
        <v>726</v>
      </c>
      <c r="M445">
        <v>646</v>
      </c>
      <c r="N445">
        <v>809</v>
      </c>
      <c r="O445">
        <v>656</v>
      </c>
      <c r="P445">
        <v>737</v>
      </c>
      <c r="Q445">
        <v>755</v>
      </c>
      <c r="R445">
        <v>784</v>
      </c>
      <c r="S445">
        <v>839</v>
      </c>
      <c r="T445">
        <v>731</v>
      </c>
      <c r="U445">
        <v>672</v>
      </c>
      <c r="V445">
        <v>712</v>
      </c>
      <c r="W445">
        <v>654</v>
      </c>
      <c r="X445" s="88">
        <v>825</v>
      </c>
      <c r="Y445" s="88">
        <v>866</v>
      </c>
      <c r="Z445" s="88">
        <v>757</v>
      </c>
      <c r="AA445" s="88">
        <v>755</v>
      </c>
      <c r="AB445">
        <v>693</v>
      </c>
      <c r="AC445">
        <v>694</v>
      </c>
    </row>
    <row r="446" spans="1:29" x14ac:dyDescent="0.35">
      <c r="A446" t="s">
        <v>1245</v>
      </c>
      <c r="B446" s="7">
        <v>3.58</v>
      </c>
      <c r="C446" s="7">
        <v>3.39</v>
      </c>
      <c r="D446" s="7">
        <v>3.4</v>
      </c>
      <c r="E446" s="7">
        <v>3.42</v>
      </c>
      <c r="F446" s="7">
        <v>3.42</v>
      </c>
      <c r="G446" s="7">
        <v>3.43</v>
      </c>
      <c r="H446" s="7">
        <v>3.46</v>
      </c>
      <c r="I446" s="7">
        <v>3.44</v>
      </c>
      <c r="J446" s="7">
        <v>3.44</v>
      </c>
      <c r="K446" s="7">
        <v>3.68</v>
      </c>
      <c r="L446" s="7">
        <v>3.73</v>
      </c>
      <c r="M446" s="7">
        <v>3.72</v>
      </c>
      <c r="N446" s="7">
        <v>3.69</v>
      </c>
      <c r="O446" s="7">
        <v>3.69</v>
      </c>
      <c r="P446" s="7">
        <v>3.72</v>
      </c>
      <c r="Q446" s="7">
        <v>3.7</v>
      </c>
      <c r="R446" s="7">
        <v>3.69</v>
      </c>
      <c r="S446" s="7">
        <v>3.71</v>
      </c>
      <c r="T446" s="7">
        <v>3.73</v>
      </c>
      <c r="U446" s="7">
        <v>3.73</v>
      </c>
      <c r="V446" s="7">
        <v>3.72</v>
      </c>
      <c r="W446" s="7">
        <v>3.7</v>
      </c>
      <c r="X446" s="7">
        <v>3.62</v>
      </c>
      <c r="Y446" s="7">
        <v>3.62</v>
      </c>
      <c r="Z446" s="7">
        <v>3.64</v>
      </c>
      <c r="AA446" s="7">
        <v>3.62</v>
      </c>
      <c r="AB446" s="7">
        <v>3.73</v>
      </c>
      <c r="AC446" s="7">
        <v>3.64</v>
      </c>
    </row>
    <row r="447" spans="1:29" x14ac:dyDescent="0.35">
      <c r="C447">
        <f>SUM(C445:F445)</f>
        <v>2413</v>
      </c>
      <c r="D447">
        <f>SUM(C444:F444)</f>
        <v>515</v>
      </c>
      <c r="G447">
        <f>SUM(G445:J445)</f>
        <v>2832</v>
      </c>
      <c r="H447">
        <f>SUM(G444:J444)</f>
        <v>483</v>
      </c>
    </row>
    <row r="448" spans="1:29" x14ac:dyDescent="0.35">
      <c r="A448" t="s">
        <v>1240</v>
      </c>
      <c r="B448" s="5">
        <v>46026</v>
      </c>
      <c r="C448" s="90">
        <v>46033</v>
      </c>
      <c r="D448" s="90">
        <v>46040</v>
      </c>
      <c r="E448" s="90">
        <v>46047</v>
      </c>
      <c r="F448" s="90">
        <v>46054</v>
      </c>
      <c r="G448" s="84">
        <v>46061</v>
      </c>
      <c r="H448" s="84">
        <v>46068</v>
      </c>
      <c r="I448" s="84">
        <v>46075</v>
      </c>
      <c r="J448" s="84">
        <v>46082</v>
      </c>
      <c r="K448" s="5">
        <v>46089</v>
      </c>
      <c r="L448" s="5">
        <v>46096</v>
      </c>
      <c r="M448" s="5">
        <v>46103</v>
      </c>
      <c r="N448" s="5">
        <v>46110</v>
      </c>
      <c r="O448" s="5">
        <v>46117</v>
      </c>
      <c r="P448" s="5">
        <v>46124</v>
      </c>
      <c r="Q448" s="5">
        <v>46131</v>
      </c>
      <c r="R448" s="5">
        <v>46138</v>
      </c>
      <c r="S448" s="5">
        <v>46145</v>
      </c>
      <c r="T448" s="5">
        <v>46152</v>
      </c>
      <c r="U448" s="5">
        <v>46159</v>
      </c>
      <c r="V448" s="5">
        <v>46166</v>
      </c>
      <c r="W448" s="5">
        <v>46173</v>
      </c>
      <c r="X448" s="5">
        <v>46180</v>
      </c>
      <c r="Y448" s="5">
        <v>46187</v>
      </c>
      <c r="Z448" s="5">
        <v>46194</v>
      </c>
      <c r="AA448" s="5">
        <v>46201</v>
      </c>
      <c r="AB448" s="5">
        <v>46208</v>
      </c>
      <c r="AC448" s="5">
        <v>46215</v>
      </c>
    </row>
    <row r="449" spans="1:29" x14ac:dyDescent="0.35">
      <c r="A449" t="s">
        <v>1242</v>
      </c>
      <c r="B449" s="3">
        <v>0.159</v>
      </c>
      <c r="C449" s="23">
        <v>0.27500000000000002</v>
      </c>
      <c r="D449" s="23">
        <v>0.23799999999999999</v>
      </c>
      <c r="E449" s="23">
        <v>0.184</v>
      </c>
      <c r="F449" s="23">
        <v>0.161</v>
      </c>
      <c r="G449" s="85">
        <v>0.20899999999999999</v>
      </c>
      <c r="H449" s="85">
        <v>0.17799999999999999</v>
      </c>
      <c r="I449" s="85">
        <v>0.17</v>
      </c>
      <c r="J449" s="85">
        <v>0.129</v>
      </c>
      <c r="K449" s="3">
        <v>2.4E-2</v>
      </c>
      <c r="L449" s="3">
        <v>8.0000000000000002E-3</v>
      </c>
      <c r="M449" s="3">
        <v>6.0000000000000001E-3</v>
      </c>
      <c r="N449" s="3">
        <v>2.5999999999999999E-2</v>
      </c>
      <c r="O449" s="3">
        <v>0.02</v>
      </c>
      <c r="P449" s="3">
        <v>8.9999999999999993E-3</v>
      </c>
      <c r="Q449" s="3">
        <v>7.0000000000000001E-3</v>
      </c>
      <c r="R449" s="3">
        <v>3.5000000000000003E-2</v>
      </c>
      <c r="S449" s="3">
        <v>2.1000000000000001E-2</v>
      </c>
      <c r="T449" s="3">
        <v>0</v>
      </c>
      <c r="U449" s="3">
        <v>0</v>
      </c>
      <c r="V449" s="3">
        <v>3.0000000000000001E-3</v>
      </c>
      <c r="W449" s="3">
        <v>2E-3</v>
      </c>
      <c r="X449" s="3">
        <v>0.111</v>
      </c>
      <c r="Y449" s="3">
        <v>8.1000000000000003E-2</v>
      </c>
      <c r="Z449" s="3">
        <v>0.16500000000000001</v>
      </c>
      <c r="AA449" s="3">
        <v>0.13800000000000001</v>
      </c>
      <c r="AB449" s="3">
        <v>7.9000000000000001E-2</v>
      </c>
      <c r="AC449" s="3">
        <v>6.0999999999999999E-2</v>
      </c>
    </row>
    <row r="450" spans="1:29" x14ac:dyDescent="0.35">
      <c r="A450" t="s">
        <v>1247</v>
      </c>
      <c r="B450" s="3">
        <v>0.12</v>
      </c>
      <c r="C450" s="23">
        <v>0.105</v>
      </c>
      <c r="D450" s="23">
        <v>0.1</v>
      </c>
      <c r="E450" s="23">
        <v>8.5999999999999993E-2</v>
      </c>
      <c r="F450" s="23">
        <v>8.5000000000000006E-2</v>
      </c>
      <c r="G450" s="85">
        <v>0.09</v>
      </c>
      <c r="H450" s="85">
        <v>8.5999999999999993E-2</v>
      </c>
      <c r="I450" s="85">
        <v>9.8000000000000004E-2</v>
      </c>
      <c r="J450" s="85">
        <v>8.4000000000000005E-2</v>
      </c>
      <c r="K450" s="3">
        <v>0.249</v>
      </c>
      <c r="L450" s="3">
        <v>0.21099999999999999</v>
      </c>
      <c r="M450" s="3">
        <v>0.216</v>
      </c>
      <c r="N450" s="3">
        <v>0.214</v>
      </c>
      <c r="O450" s="3">
        <v>0.20399999999999999</v>
      </c>
      <c r="P450" s="3">
        <v>0.17799999999999999</v>
      </c>
      <c r="Q450" s="3">
        <v>0.27</v>
      </c>
      <c r="R450" s="3">
        <v>0.25800000000000001</v>
      </c>
      <c r="S450" s="3">
        <v>0.19600000000000001</v>
      </c>
      <c r="T450" s="3">
        <v>0.14699999999999999</v>
      </c>
      <c r="U450" s="3">
        <v>0.19800000000000001</v>
      </c>
      <c r="V450" s="3">
        <v>0.24</v>
      </c>
      <c r="W450" s="3">
        <v>1.2999999999999999E-2</v>
      </c>
      <c r="X450" s="3">
        <v>1.2E-2</v>
      </c>
      <c r="Y450" s="3">
        <v>2.5999999999999999E-2</v>
      </c>
      <c r="Z450" s="3">
        <v>3.4000000000000002E-2</v>
      </c>
      <c r="AA450" s="3">
        <v>3.5000000000000003E-2</v>
      </c>
      <c r="AB450" s="3">
        <v>7.5999999999999998E-2</v>
      </c>
      <c r="AC450" s="3">
        <v>0.20699999999999999</v>
      </c>
    </row>
    <row r="451" spans="1:29" x14ac:dyDescent="0.35">
      <c r="A451" t="s">
        <v>1248</v>
      </c>
      <c r="B451" s="7">
        <v>0.44</v>
      </c>
      <c r="C451" s="7">
        <v>0.38</v>
      </c>
      <c r="D451" s="7">
        <v>0.36</v>
      </c>
      <c r="E451" s="7">
        <v>0.31</v>
      </c>
      <c r="F451" s="7">
        <v>0.3</v>
      </c>
      <c r="G451" s="7">
        <v>0.32</v>
      </c>
      <c r="H451" s="7">
        <v>0.31</v>
      </c>
      <c r="I451" s="7">
        <v>0.35</v>
      </c>
      <c r="J451" s="7">
        <v>0.3</v>
      </c>
      <c r="K451" s="7">
        <v>0.93</v>
      </c>
      <c r="L451" s="7">
        <v>0.79</v>
      </c>
      <c r="M451" s="7">
        <v>0.8</v>
      </c>
      <c r="N451" s="7">
        <v>0.8</v>
      </c>
      <c r="O451" s="7">
        <v>0.76</v>
      </c>
      <c r="P451" s="7">
        <v>0.66</v>
      </c>
      <c r="Q451" s="7">
        <v>1</v>
      </c>
      <c r="R451" s="7">
        <v>0.97</v>
      </c>
      <c r="S451" s="7">
        <v>0.73</v>
      </c>
      <c r="T451" s="7">
        <v>0.55000000000000004</v>
      </c>
      <c r="U451" s="7">
        <v>0.74</v>
      </c>
      <c r="V451" s="7">
        <v>0.89</v>
      </c>
      <c r="W451" s="7">
        <v>0.05</v>
      </c>
      <c r="X451" s="7">
        <v>0.04</v>
      </c>
      <c r="Y451" s="7">
        <v>0.09</v>
      </c>
      <c r="Z451" s="7">
        <v>0.12</v>
      </c>
      <c r="AA451" s="7">
        <v>0.13</v>
      </c>
      <c r="AB451" s="7">
        <v>0.28999999999999998</v>
      </c>
      <c r="AC451" s="7">
        <v>0.78</v>
      </c>
    </row>
    <row r="452" spans="1:29" x14ac:dyDescent="0.35">
      <c r="A452" t="s">
        <v>1249</v>
      </c>
      <c r="B452" s="7">
        <v>3.27</v>
      </c>
      <c r="C452" s="7">
        <v>3.23</v>
      </c>
      <c r="D452" s="7">
        <v>3.24</v>
      </c>
      <c r="E452" s="7">
        <v>3.27</v>
      </c>
      <c r="F452" s="7">
        <v>3.27</v>
      </c>
      <c r="G452" s="7">
        <v>3.28</v>
      </c>
      <c r="H452" s="7">
        <v>3.3</v>
      </c>
      <c r="I452" s="7">
        <v>3.23</v>
      </c>
      <c r="J452" s="7">
        <v>3.25</v>
      </c>
      <c r="K452" s="7">
        <v>2.79</v>
      </c>
      <c r="L452" s="7">
        <v>2.95</v>
      </c>
      <c r="M452" s="7">
        <v>2.93</v>
      </c>
      <c r="N452" s="7">
        <v>2.93</v>
      </c>
      <c r="O452" s="7">
        <v>2.96</v>
      </c>
      <c r="P452" s="7">
        <v>3.07</v>
      </c>
      <c r="Q452" s="7">
        <v>2.71</v>
      </c>
      <c r="R452" s="7">
        <v>2.78</v>
      </c>
      <c r="S452" s="7">
        <v>3.01</v>
      </c>
      <c r="T452" s="7">
        <v>3.18</v>
      </c>
      <c r="U452" s="7">
        <v>2.99</v>
      </c>
      <c r="V452" s="7">
        <v>2.83</v>
      </c>
      <c r="W452" s="7">
        <v>3.65</v>
      </c>
      <c r="X452" s="87">
        <v>3.62</v>
      </c>
      <c r="Y452" s="87">
        <v>3.57</v>
      </c>
      <c r="Z452" s="87">
        <v>3.58</v>
      </c>
      <c r="AA452" s="87">
        <v>3.55</v>
      </c>
      <c r="AB452" s="7">
        <v>3.47</v>
      </c>
      <c r="AC452" s="7">
        <v>2.97</v>
      </c>
    </row>
    <row r="453" spans="1:29" x14ac:dyDescent="0.35">
      <c r="A453" t="s">
        <v>1250</v>
      </c>
      <c r="B453" s="7">
        <v>3.71</v>
      </c>
      <c r="C453" s="7">
        <v>3.61</v>
      </c>
      <c r="D453" s="7">
        <v>3.6</v>
      </c>
      <c r="E453" s="7">
        <v>3.57</v>
      </c>
      <c r="F453" s="7">
        <v>3.57</v>
      </c>
      <c r="G453" s="7">
        <v>3.6</v>
      </c>
      <c r="H453" s="7">
        <v>3.61</v>
      </c>
      <c r="I453" s="7">
        <v>3.58</v>
      </c>
      <c r="J453" s="7">
        <v>3.55</v>
      </c>
      <c r="K453" s="7">
        <v>3.72</v>
      </c>
      <c r="L453" s="7">
        <v>3.74</v>
      </c>
      <c r="M453" s="7">
        <v>3.73</v>
      </c>
      <c r="N453" s="7">
        <v>3.73</v>
      </c>
      <c r="O453" s="7">
        <v>3.72</v>
      </c>
      <c r="P453" s="7">
        <v>3.73</v>
      </c>
      <c r="Q453" s="7">
        <v>3.71</v>
      </c>
      <c r="R453" s="7">
        <v>3.75</v>
      </c>
      <c r="S453" s="7">
        <v>3.74</v>
      </c>
      <c r="T453" s="7">
        <v>3.73</v>
      </c>
      <c r="U453" s="7">
        <v>3.73</v>
      </c>
      <c r="V453" s="7">
        <v>3.73</v>
      </c>
      <c r="W453" s="7">
        <v>3.7</v>
      </c>
      <c r="X453" s="7">
        <v>3.67</v>
      </c>
      <c r="Y453" s="7">
        <v>3.66</v>
      </c>
      <c r="Z453" s="7">
        <v>3.7</v>
      </c>
      <c r="AA453" s="7">
        <v>3.68</v>
      </c>
      <c r="AB453" s="7">
        <v>3.76</v>
      </c>
      <c r="AC453" s="7">
        <v>3.75</v>
      </c>
    </row>
    <row r="454" spans="1:29" x14ac:dyDescent="0.35">
      <c r="A454" t="s">
        <v>1245</v>
      </c>
      <c r="B454" s="7">
        <v>3.58</v>
      </c>
      <c r="C454" s="7">
        <v>3.39</v>
      </c>
      <c r="D454" s="7">
        <v>3.4</v>
      </c>
      <c r="E454" s="7">
        <v>3.42</v>
      </c>
      <c r="F454" s="7">
        <v>3.42</v>
      </c>
      <c r="G454" s="7">
        <v>3.43</v>
      </c>
      <c r="H454" s="7">
        <v>3.46</v>
      </c>
      <c r="I454" s="7">
        <v>3.44</v>
      </c>
      <c r="J454" s="7">
        <v>3.44</v>
      </c>
      <c r="K454" s="7">
        <v>3.68</v>
      </c>
      <c r="L454" s="7">
        <v>3.73</v>
      </c>
      <c r="M454" s="7">
        <v>3.72</v>
      </c>
      <c r="N454" s="7">
        <v>3.69</v>
      </c>
      <c r="O454" s="7">
        <v>3.69</v>
      </c>
      <c r="P454" s="7">
        <v>3.72</v>
      </c>
      <c r="Q454" s="7">
        <v>3.7</v>
      </c>
      <c r="R454" s="7">
        <v>3.69</v>
      </c>
      <c r="S454" s="7">
        <v>3.71</v>
      </c>
      <c r="T454" s="7">
        <v>3.73</v>
      </c>
      <c r="U454" s="7">
        <v>3.73</v>
      </c>
      <c r="V454" s="7">
        <v>3.72</v>
      </c>
      <c r="W454" s="7">
        <v>3.7</v>
      </c>
      <c r="X454" s="7">
        <v>3.62</v>
      </c>
      <c r="Y454" s="7">
        <v>3.62</v>
      </c>
      <c r="Z454" s="7">
        <v>3.64</v>
      </c>
      <c r="AA454" s="7">
        <v>3.62</v>
      </c>
      <c r="AB454" s="7">
        <v>3.73</v>
      </c>
      <c r="AC454" s="7">
        <v>3.64</v>
      </c>
    </row>
    <row r="457" spans="1:29" s="68" customFormat="1" x14ac:dyDescent="0.35"/>
    <row r="458" spans="1:29" x14ac:dyDescent="0.35">
      <c r="A458" s="4" t="s">
        <v>1320</v>
      </c>
    </row>
    <row r="460" spans="1:29" x14ac:dyDescent="0.35">
      <c r="A460" t="s">
        <v>1240</v>
      </c>
      <c r="B460" s="5">
        <v>46026</v>
      </c>
      <c r="C460" s="5">
        <v>46033</v>
      </c>
      <c r="D460" s="5">
        <v>46040</v>
      </c>
      <c r="E460" s="5">
        <v>46047</v>
      </c>
      <c r="F460" s="84">
        <v>46054</v>
      </c>
      <c r="G460" s="84">
        <v>46061</v>
      </c>
      <c r="H460" s="84">
        <v>46068</v>
      </c>
      <c r="I460" s="84">
        <v>46075</v>
      </c>
      <c r="J460" s="84">
        <v>46082</v>
      </c>
      <c r="K460" s="5">
        <v>46089</v>
      </c>
      <c r="L460" s="5">
        <v>46096</v>
      </c>
      <c r="M460" s="5">
        <v>46103</v>
      </c>
      <c r="N460" s="5">
        <v>46110</v>
      </c>
      <c r="O460" s="5">
        <v>46117</v>
      </c>
      <c r="P460" s="5">
        <v>46124</v>
      </c>
      <c r="Q460" s="5">
        <v>46131</v>
      </c>
      <c r="R460" s="5">
        <v>46138</v>
      </c>
      <c r="S460" s="72">
        <v>46145</v>
      </c>
      <c r="T460" s="72">
        <v>46152</v>
      </c>
      <c r="U460" s="72">
        <v>46159</v>
      </c>
      <c r="V460" s="72">
        <v>46166</v>
      </c>
      <c r="W460" s="72">
        <v>46173</v>
      </c>
      <c r="X460" s="5">
        <v>46180</v>
      </c>
      <c r="Y460" s="5">
        <v>46187</v>
      </c>
      <c r="Z460" s="5">
        <v>46194</v>
      </c>
      <c r="AA460" s="5">
        <v>46201</v>
      </c>
      <c r="AB460" s="5">
        <v>46208</v>
      </c>
      <c r="AC460" s="5">
        <v>46215</v>
      </c>
    </row>
    <row r="461" spans="1:29" x14ac:dyDescent="0.35">
      <c r="A461" t="s">
        <v>1241</v>
      </c>
      <c r="B461" s="6">
        <v>1022</v>
      </c>
      <c r="C461">
        <v>901</v>
      </c>
      <c r="D461" s="6">
        <v>1003</v>
      </c>
      <c r="E461">
        <v>753</v>
      </c>
      <c r="F461" s="89">
        <v>1128</v>
      </c>
      <c r="G461" s="89">
        <v>1279</v>
      </c>
      <c r="H461" s="89">
        <v>1361</v>
      </c>
      <c r="I461" s="89">
        <v>1418</v>
      </c>
      <c r="J461" s="89">
        <v>1211</v>
      </c>
      <c r="K461" s="6">
        <v>1184</v>
      </c>
      <c r="L461" s="6">
        <v>1109</v>
      </c>
      <c r="M461" s="6">
        <v>1043</v>
      </c>
      <c r="N461">
        <v>845</v>
      </c>
      <c r="O461">
        <v>740</v>
      </c>
      <c r="P461">
        <v>611</v>
      </c>
      <c r="Q461">
        <v>732</v>
      </c>
      <c r="R461">
        <v>807</v>
      </c>
      <c r="S461" s="6">
        <v>1286</v>
      </c>
      <c r="T461" s="6">
        <v>1579</v>
      </c>
      <c r="U461" s="6">
        <v>2300</v>
      </c>
      <c r="V461" s="6">
        <v>3919</v>
      </c>
      <c r="W461" s="6">
        <v>3674</v>
      </c>
      <c r="X461" s="6">
        <v>3047</v>
      </c>
      <c r="Y461" s="6">
        <v>2831</v>
      </c>
      <c r="Z461" s="6">
        <v>2693</v>
      </c>
      <c r="AA461" s="6">
        <v>2598</v>
      </c>
      <c r="AB461" s="6">
        <v>2499</v>
      </c>
      <c r="AC461" s="6">
        <v>2643</v>
      </c>
    </row>
    <row r="462" spans="1:29" x14ac:dyDescent="0.35">
      <c r="A462" t="s">
        <v>1242</v>
      </c>
      <c r="B462" s="3">
        <v>3.4000000000000002E-2</v>
      </c>
      <c r="C462" s="3">
        <v>0.129</v>
      </c>
      <c r="D462" s="3">
        <v>0.13300000000000001</v>
      </c>
      <c r="E462" s="3">
        <v>6.5000000000000002E-2</v>
      </c>
      <c r="F462" s="85">
        <v>0.34399999999999997</v>
      </c>
      <c r="G462" s="85">
        <v>0.49</v>
      </c>
      <c r="H462" s="85">
        <v>0.48699999999999999</v>
      </c>
      <c r="I462" s="85">
        <v>0.42599999999999999</v>
      </c>
      <c r="J462" s="85">
        <v>0.40500000000000003</v>
      </c>
      <c r="K462" s="3">
        <v>0.30099999999999999</v>
      </c>
      <c r="L462" s="3">
        <v>3.4000000000000002E-2</v>
      </c>
      <c r="M462" s="3">
        <v>1.6E-2</v>
      </c>
      <c r="N462" s="3">
        <v>0</v>
      </c>
      <c r="O462" s="3">
        <v>0</v>
      </c>
      <c r="P462" s="3">
        <v>0</v>
      </c>
      <c r="Q462" s="3">
        <v>0</v>
      </c>
      <c r="R462" s="3">
        <v>0</v>
      </c>
      <c r="S462" s="60">
        <v>0.253</v>
      </c>
      <c r="T462" s="60">
        <v>0.42699999999999999</v>
      </c>
      <c r="U462" s="60">
        <v>0.35899999999999999</v>
      </c>
      <c r="V462" s="60">
        <v>0.29499999999999998</v>
      </c>
      <c r="W462" s="60">
        <v>0.20399999999999999</v>
      </c>
      <c r="X462" s="3">
        <v>7.5999999999999998E-2</v>
      </c>
      <c r="Y462" s="3">
        <v>3.6999999999999998E-2</v>
      </c>
      <c r="Z462" s="3">
        <v>1.9E-2</v>
      </c>
      <c r="AA462" s="3">
        <v>7.3999999999999996E-2</v>
      </c>
      <c r="AB462" s="3">
        <v>1.7000000000000001E-2</v>
      </c>
      <c r="AC462" s="3">
        <v>2.3E-2</v>
      </c>
    </row>
    <row r="463" spans="1:29" x14ac:dyDescent="0.35">
      <c r="A463" t="s">
        <v>1243</v>
      </c>
      <c r="B463">
        <v>33</v>
      </c>
      <c r="C463">
        <v>103</v>
      </c>
      <c r="D463">
        <v>118</v>
      </c>
      <c r="E463">
        <v>46</v>
      </c>
      <c r="F463">
        <v>289</v>
      </c>
      <c r="G463">
        <v>421</v>
      </c>
      <c r="H463">
        <v>446</v>
      </c>
      <c r="I463">
        <v>424</v>
      </c>
      <c r="J463">
        <v>349</v>
      </c>
      <c r="K463">
        <v>274</v>
      </c>
      <c r="L463">
        <v>37</v>
      </c>
      <c r="M463">
        <v>16</v>
      </c>
      <c r="N463">
        <v>0</v>
      </c>
      <c r="O463">
        <v>0</v>
      </c>
      <c r="P463">
        <v>0</v>
      </c>
      <c r="Q463">
        <v>0</v>
      </c>
      <c r="R463">
        <v>0</v>
      </c>
      <c r="S463">
        <v>259</v>
      </c>
      <c r="T463">
        <v>472</v>
      </c>
      <c r="U463">
        <v>608</v>
      </c>
      <c r="V463">
        <v>892</v>
      </c>
      <c r="W463">
        <v>623</v>
      </c>
      <c r="X463">
        <v>215</v>
      </c>
      <c r="Y463">
        <v>101</v>
      </c>
      <c r="Z463">
        <v>51</v>
      </c>
      <c r="AA463">
        <v>180</v>
      </c>
      <c r="AB463">
        <v>41</v>
      </c>
      <c r="AC463">
        <v>58</v>
      </c>
    </row>
    <row r="464" spans="1:29" x14ac:dyDescent="0.35">
      <c r="A464" t="s">
        <v>1244</v>
      </c>
      <c r="B464">
        <v>989</v>
      </c>
      <c r="C464">
        <v>798</v>
      </c>
      <c r="D464">
        <v>885</v>
      </c>
      <c r="E464">
        <v>707</v>
      </c>
      <c r="F464">
        <v>839</v>
      </c>
      <c r="G464">
        <v>858</v>
      </c>
      <c r="H464">
        <v>915</v>
      </c>
      <c r="I464">
        <v>994</v>
      </c>
      <c r="J464">
        <v>862</v>
      </c>
      <c r="K464">
        <v>910</v>
      </c>
      <c r="L464" s="6">
        <v>1072</v>
      </c>
      <c r="M464" s="6">
        <v>1027</v>
      </c>
      <c r="N464">
        <v>845</v>
      </c>
      <c r="O464">
        <v>740</v>
      </c>
      <c r="P464">
        <v>611</v>
      </c>
      <c r="Q464">
        <v>732</v>
      </c>
      <c r="R464">
        <v>807</v>
      </c>
      <c r="S464" s="6">
        <v>1027</v>
      </c>
      <c r="T464" s="6">
        <v>1107</v>
      </c>
      <c r="U464" s="6">
        <v>1692</v>
      </c>
      <c r="V464" s="6">
        <v>3027</v>
      </c>
      <c r="W464" s="6">
        <v>3051</v>
      </c>
      <c r="X464" s="6">
        <v>2832</v>
      </c>
      <c r="Y464" s="6">
        <v>2730</v>
      </c>
      <c r="Z464" s="6">
        <v>2642</v>
      </c>
      <c r="AA464" s="6">
        <v>2419</v>
      </c>
      <c r="AB464" s="6">
        <v>2458</v>
      </c>
      <c r="AC464" s="6">
        <v>2585</v>
      </c>
    </row>
    <row r="465" spans="1:29" x14ac:dyDescent="0.35">
      <c r="A465" t="s">
        <v>1245</v>
      </c>
      <c r="B465" s="7">
        <v>2.4700000000000002</v>
      </c>
      <c r="C465" s="7">
        <v>2.52</v>
      </c>
      <c r="D465" s="7">
        <v>2.4700000000000002</v>
      </c>
      <c r="E465" s="7">
        <v>2.67</v>
      </c>
      <c r="F465" s="7">
        <v>2.54</v>
      </c>
      <c r="G465" s="7">
        <v>2.5</v>
      </c>
      <c r="H465" s="7">
        <v>2.52</v>
      </c>
      <c r="I465" s="7">
        <v>2.52</v>
      </c>
      <c r="J465" s="7">
        <v>2.52</v>
      </c>
      <c r="K465" s="7">
        <v>2.5</v>
      </c>
      <c r="L465" s="7">
        <v>2.5099999999999998</v>
      </c>
      <c r="M465" s="7">
        <v>2.4900000000000002</v>
      </c>
      <c r="N465" s="7">
        <v>2.77</v>
      </c>
      <c r="O465" s="7">
        <v>2.99</v>
      </c>
      <c r="P465" s="7">
        <v>2.98</v>
      </c>
      <c r="Q465" s="7">
        <v>2.86</v>
      </c>
      <c r="R465" s="7">
        <v>2.82</v>
      </c>
      <c r="S465" s="7">
        <v>2.5099999999999998</v>
      </c>
      <c r="T465" s="7">
        <v>2.5</v>
      </c>
      <c r="U465" s="7">
        <v>2.44</v>
      </c>
      <c r="V465" s="7">
        <v>2.58</v>
      </c>
      <c r="W465" s="7">
        <v>2.58</v>
      </c>
      <c r="X465" s="7">
        <v>2.81</v>
      </c>
      <c r="Y465" s="7">
        <v>2.8</v>
      </c>
      <c r="Z465" s="7">
        <v>2.86</v>
      </c>
      <c r="AA465" s="7">
        <v>2.79</v>
      </c>
      <c r="AB465" s="7">
        <v>2.87</v>
      </c>
      <c r="AC465" s="7">
        <v>2.9</v>
      </c>
    </row>
    <row r="466" spans="1:29" x14ac:dyDescent="0.35">
      <c r="F466">
        <f>SUM(F464:J464)</f>
        <v>4468</v>
      </c>
      <c r="G466">
        <f>SUM(F463:J463)</f>
        <v>1929</v>
      </c>
      <c r="S466" s="6">
        <f>SUM(S464:W464)</f>
        <v>9904</v>
      </c>
      <c r="T466">
        <f>SUM(S463:W463)</f>
        <v>2854</v>
      </c>
    </row>
    <row r="468" spans="1:29" x14ac:dyDescent="0.35">
      <c r="A468" t="s">
        <v>1240</v>
      </c>
      <c r="B468" s="5">
        <v>46026</v>
      </c>
      <c r="C468" s="5">
        <v>46033</v>
      </c>
      <c r="D468" s="5">
        <v>46040</v>
      </c>
      <c r="E468" s="5">
        <v>46047</v>
      </c>
      <c r="F468" s="84">
        <v>46054</v>
      </c>
      <c r="G468" s="84">
        <v>46061</v>
      </c>
      <c r="H468" s="84">
        <v>46068</v>
      </c>
      <c r="I468" s="84">
        <v>46075</v>
      </c>
      <c r="J468" s="84">
        <v>46082</v>
      </c>
      <c r="K468" s="84">
        <v>46089</v>
      </c>
      <c r="L468" s="5">
        <v>46096</v>
      </c>
      <c r="M468" s="5">
        <v>46103</v>
      </c>
      <c r="N468" s="5">
        <v>46110</v>
      </c>
      <c r="O468" s="5">
        <v>46117</v>
      </c>
      <c r="P468" s="5">
        <v>46124</v>
      </c>
      <c r="Q468" s="5">
        <v>46131</v>
      </c>
      <c r="R468" s="5">
        <v>46138</v>
      </c>
      <c r="S468" s="5">
        <v>46145</v>
      </c>
      <c r="T468" s="5">
        <v>46152</v>
      </c>
      <c r="U468" s="5">
        <v>46159</v>
      </c>
      <c r="V468" s="5">
        <v>46166</v>
      </c>
      <c r="W468" s="5">
        <v>46173</v>
      </c>
      <c r="X468" s="5">
        <v>46180</v>
      </c>
      <c r="Y468" s="5">
        <v>46187</v>
      </c>
      <c r="Z468" s="5">
        <v>46194</v>
      </c>
      <c r="AA468" s="5">
        <v>46201</v>
      </c>
      <c r="AB468" s="5">
        <v>46208</v>
      </c>
      <c r="AC468" s="5">
        <v>46215</v>
      </c>
    </row>
    <row r="469" spans="1:29" x14ac:dyDescent="0.35">
      <c r="A469" t="s">
        <v>1293</v>
      </c>
      <c r="B469" s="3">
        <v>0</v>
      </c>
      <c r="C469" s="3">
        <v>5.3999999999999999E-2</v>
      </c>
      <c r="D469" s="3">
        <v>3.1E-2</v>
      </c>
      <c r="E469" s="3">
        <v>0</v>
      </c>
      <c r="F469" s="85">
        <v>0.24299999999999999</v>
      </c>
      <c r="G469" s="85">
        <v>0.35699999999999998</v>
      </c>
      <c r="H469" s="85">
        <v>0.371</v>
      </c>
      <c r="I469" s="85">
        <v>0.317</v>
      </c>
      <c r="J469" s="85">
        <v>0.307</v>
      </c>
      <c r="K469" s="85">
        <v>0.20599999999999999</v>
      </c>
      <c r="L469" s="3">
        <v>2.8000000000000001E-2</v>
      </c>
      <c r="M469" s="3">
        <v>0.01</v>
      </c>
      <c r="N469" s="3">
        <v>0</v>
      </c>
      <c r="O469" s="3">
        <v>0</v>
      </c>
      <c r="P469" s="3">
        <v>0</v>
      </c>
      <c r="Q469" s="3">
        <v>0</v>
      </c>
      <c r="R469" s="3">
        <v>0</v>
      </c>
      <c r="S469" s="60">
        <v>0.20200000000000001</v>
      </c>
      <c r="T469" s="60">
        <v>0.317</v>
      </c>
      <c r="U469" s="60">
        <v>0.25900000000000001</v>
      </c>
      <c r="V469" s="60">
        <v>0.23499999999999999</v>
      </c>
      <c r="W469" s="60">
        <v>0.157</v>
      </c>
      <c r="X469" s="3">
        <v>2.5000000000000001E-2</v>
      </c>
      <c r="Y469" s="3">
        <v>2.9000000000000001E-2</v>
      </c>
      <c r="Z469" s="3">
        <v>0</v>
      </c>
      <c r="AA469" s="3">
        <v>8.9999999999999993E-3</v>
      </c>
      <c r="AB469" s="3">
        <v>0</v>
      </c>
      <c r="AC469" s="3">
        <v>5.0000000000000001E-3</v>
      </c>
    </row>
    <row r="470" spans="1:29" x14ac:dyDescent="0.35">
      <c r="A470" t="s">
        <v>1247</v>
      </c>
      <c r="B470" s="3">
        <v>0.27</v>
      </c>
      <c r="C470" s="3">
        <v>0.52100000000000002</v>
      </c>
      <c r="D470" s="3">
        <v>0.42799999999999999</v>
      </c>
      <c r="E470" s="3">
        <v>0.58699999999999997</v>
      </c>
      <c r="F470" s="85">
        <v>8.6999999999999994E-2</v>
      </c>
      <c r="G470" s="85">
        <v>9.0999999999999998E-2</v>
      </c>
      <c r="H470" s="85">
        <v>0.08</v>
      </c>
      <c r="I470" s="85">
        <v>8.1000000000000003E-2</v>
      </c>
      <c r="J470" s="85">
        <v>7.0999999999999994E-2</v>
      </c>
      <c r="K470" s="85">
        <v>7.3999999999999996E-2</v>
      </c>
      <c r="L470" s="3">
        <v>0.01</v>
      </c>
      <c r="M470" s="3">
        <v>0.105</v>
      </c>
      <c r="N470" t="s">
        <v>1272</v>
      </c>
      <c r="O470" t="s">
        <v>1272</v>
      </c>
      <c r="P470" s="3">
        <v>8.2000000000000003E-2</v>
      </c>
      <c r="Q470" t="s">
        <v>1272</v>
      </c>
      <c r="R470" t="s">
        <v>1272</v>
      </c>
      <c r="S470" s="3">
        <v>-8.9999999999999993E-3</v>
      </c>
      <c r="T470" s="3">
        <v>7.0999999999999994E-2</v>
      </c>
      <c r="U470" s="3">
        <v>6.6000000000000003E-2</v>
      </c>
      <c r="V470" s="3">
        <v>9.2999999999999999E-2</v>
      </c>
      <c r="W470" s="3">
        <v>0.10199999999999999</v>
      </c>
      <c r="X470" s="3">
        <v>0.29199999999999998</v>
      </c>
      <c r="Y470" s="3">
        <v>0.11</v>
      </c>
      <c r="Z470" s="3">
        <v>0.441</v>
      </c>
      <c r="AA470" s="3">
        <v>0.59799999999999998</v>
      </c>
      <c r="AB470" s="3">
        <v>0.42799999999999999</v>
      </c>
      <c r="AC470" s="3">
        <v>0.35699999999999998</v>
      </c>
    </row>
    <row r="471" spans="1:29" x14ac:dyDescent="0.35">
      <c r="A471" t="s">
        <v>1248</v>
      </c>
      <c r="B471" s="7">
        <v>0.7</v>
      </c>
      <c r="C471" s="7">
        <v>1.41</v>
      </c>
      <c r="D471" s="7">
        <v>1.1599999999999999</v>
      </c>
      <c r="E471" s="7">
        <v>1.67</v>
      </c>
      <c r="F471" s="7">
        <v>0.24</v>
      </c>
      <c r="G471" s="7">
        <v>0.25</v>
      </c>
      <c r="H471" s="7">
        <v>0.22</v>
      </c>
      <c r="I471" s="7">
        <v>0.22</v>
      </c>
      <c r="J471" s="7">
        <v>0.19</v>
      </c>
      <c r="K471" s="7">
        <v>0.2</v>
      </c>
      <c r="L471" s="7">
        <v>0.03</v>
      </c>
      <c r="M471" s="7">
        <v>0.26</v>
      </c>
      <c r="N471" t="s">
        <v>1272</v>
      </c>
      <c r="O471" t="s">
        <v>1272</v>
      </c>
      <c r="P471" s="7">
        <v>0.24</v>
      </c>
      <c r="Q471" t="s">
        <v>1272</v>
      </c>
      <c r="R471" t="s">
        <v>1272</v>
      </c>
      <c r="S471" s="7">
        <v>-0.02</v>
      </c>
      <c r="T471" s="7">
        <v>0.19</v>
      </c>
      <c r="U471" s="7">
        <v>0.17</v>
      </c>
      <c r="V471" s="7">
        <v>0.25</v>
      </c>
      <c r="W471" s="7">
        <v>0.27</v>
      </c>
      <c r="X471" s="7">
        <v>0.86</v>
      </c>
      <c r="Y471" s="7">
        <v>0.31</v>
      </c>
      <c r="Z471" s="7">
        <v>1.29</v>
      </c>
      <c r="AA471" s="7">
        <v>1.78</v>
      </c>
      <c r="AB471" s="7">
        <v>1.25</v>
      </c>
      <c r="AC471" s="7">
        <v>1.05</v>
      </c>
    </row>
    <row r="472" spans="1:29" x14ac:dyDescent="0.35">
      <c r="A472" t="s">
        <v>1249</v>
      </c>
      <c r="B472" s="7">
        <v>1.9</v>
      </c>
      <c r="C472" s="7">
        <v>1.29</v>
      </c>
      <c r="D472" s="7">
        <v>1.55</v>
      </c>
      <c r="E472" s="7">
        <v>1.18</v>
      </c>
      <c r="F472" s="7">
        <v>2.5099999999999998</v>
      </c>
      <c r="G472" s="7">
        <v>2.5</v>
      </c>
      <c r="H472" s="7">
        <v>2.52</v>
      </c>
      <c r="I472" s="7">
        <v>2.5099999999999998</v>
      </c>
      <c r="J472" s="7">
        <v>2.5099999999999998</v>
      </c>
      <c r="K472" s="7">
        <v>2.5</v>
      </c>
      <c r="L472" s="7">
        <v>2.5</v>
      </c>
      <c r="M472" s="7">
        <v>2.2400000000000002</v>
      </c>
      <c r="N472" t="s">
        <v>1272</v>
      </c>
      <c r="O472" t="s">
        <v>1272</v>
      </c>
      <c r="P472" s="7">
        <v>2.73</v>
      </c>
      <c r="Q472" t="s">
        <v>1272</v>
      </c>
      <c r="R472" t="s">
        <v>1272</v>
      </c>
      <c r="S472" s="7">
        <v>2.64</v>
      </c>
      <c r="T472" s="7">
        <v>2.52</v>
      </c>
      <c r="U472" s="7">
        <v>2.46</v>
      </c>
      <c r="V472" s="7">
        <v>2.46</v>
      </c>
      <c r="W472" s="7">
        <v>2.41</v>
      </c>
      <c r="X472" s="7">
        <v>2.09</v>
      </c>
      <c r="Y472" s="7">
        <v>2.5099999999999998</v>
      </c>
      <c r="Z472" s="7">
        <v>1.63</v>
      </c>
      <c r="AA472" s="7">
        <v>1.19</v>
      </c>
      <c r="AB472" s="7">
        <v>1.67</v>
      </c>
      <c r="AC472" s="7">
        <v>1.9</v>
      </c>
    </row>
    <row r="473" spans="1:29" x14ac:dyDescent="0.35">
      <c r="A473" t="s">
        <v>1245</v>
      </c>
      <c r="B473" s="7">
        <v>2.4700000000000002</v>
      </c>
      <c r="C473" s="7">
        <v>2.52</v>
      </c>
      <c r="D473" s="7">
        <v>2.4700000000000002</v>
      </c>
      <c r="E473" s="7">
        <v>2.67</v>
      </c>
      <c r="F473" s="7">
        <v>2.54</v>
      </c>
      <c r="G473" s="7">
        <v>2.5</v>
      </c>
      <c r="H473" s="7">
        <v>2.52</v>
      </c>
      <c r="I473" s="7">
        <v>2.52</v>
      </c>
      <c r="J473" s="7">
        <v>2.52</v>
      </c>
      <c r="K473" s="7">
        <v>2.5</v>
      </c>
      <c r="L473" s="7">
        <v>2.5099999999999998</v>
      </c>
      <c r="M473" s="7">
        <v>2.4900000000000002</v>
      </c>
      <c r="N473" s="7">
        <v>2.77</v>
      </c>
      <c r="O473" s="7">
        <v>2.99</v>
      </c>
      <c r="P473" s="7">
        <v>2.98</v>
      </c>
      <c r="Q473" s="7">
        <v>2.86</v>
      </c>
      <c r="R473" s="7">
        <v>2.82</v>
      </c>
      <c r="S473" s="7">
        <v>2.5099999999999998</v>
      </c>
      <c r="T473" s="7">
        <v>2.5</v>
      </c>
      <c r="U473" s="7">
        <v>2.44</v>
      </c>
      <c r="V473" s="7">
        <v>2.58</v>
      </c>
      <c r="W473" s="7">
        <v>2.58</v>
      </c>
      <c r="X473" s="7">
        <v>2.81</v>
      </c>
      <c r="Y473" s="7">
        <v>2.8</v>
      </c>
      <c r="Z473" s="7">
        <v>2.86</v>
      </c>
      <c r="AA473" s="7">
        <v>2.79</v>
      </c>
      <c r="AB473" s="7">
        <v>2.87</v>
      </c>
      <c r="AC473" s="7">
        <v>2.9</v>
      </c>
    </row>
    <row r="476" spans="1:29" x14ac:dyDescent="0.35">
      <c r="A476" t="s">
        <v>1254</v>
      </c>
      <c r="B476" s="5">
        <v>46026</v>
      </c>
      <c r="C476" s="5">
        <v>46033</v>
      </c>
      <c r="D476" s="5">
        <v>46040</v>
      </c>
      <c r="E476" s="5">
        <v>46047</v>
      </c>
      <c r="F476" s="5">
        <v>46054</v>
      </c>
      <c r="G476" s="5">
        <v>46061</v>
      </c>
      <c r="H476" s="5">
        <v>46068</v>
      </c>
      <c r="I476" s="5">
        <v>46075</v>
      </c>
      <c r="J476" s="72">
        <v>46082</v>
      </c>
      <c r="K476" s="72">
        <v>46089</v>
      </c>
      <c r="L476" s="72">
        <v>46096</v>
      </c>
      <c r="M476" s="72">
        <v>46103</v>
      </c>
      <c r="N476" s="72">
        <v>46110</v>
      </c>
      <c r="O476" s="72">
        <v>46117</v>
      </c>
      <c r="P476" s="72">
        <v>46124</v>
      </c>
      <c r="Q476" s="72">
        <v>46131</v>
      </c>
      <c r="R476" s="72">
        <v>46138</v>
      </c>
      <c r="S476" s="5">
        <v>46145</v>
      </c>
      <c r="T476" s="5">
        <v>46152</v>
      </c>
      <c r="U476" s="5">
        <v>46159</v>
      </c>
      <c r="V476" s="5">
        <v>46166</v>
      </c>
      <c r="W476" s="5">
        <v>46173</v>
      </c>
      <c r="X476" s="5">
        <v>46180</v>
      </c>
      <c r="Y476" s="5">
        <v>46187</v>
      </c>
      <c r="Z476" s="5">
        <v>46194</v>
      </c>
      <c r="AA476" s="5">
        <v>46201</v>
      </c>
      <c r="AB476" s="5">
        <v>46208</v>
      </c>
      <c r="AC476" s="5">
        <v>46215</v>
      </c>
    </row>
    <row r="477" spans="1:29" x14ac:dyDescent="0.35">
      <c r="A477" t="s">
        <v>1241</v>
      </c>
      <c r="B477">
        <v>464</v>
      </c>
      <c r="C477">
        <v>721</v>
      </c>
      <c r="D477">
        <v>723</v>
      </c>
      <c r="E477">
        <v>801</v>
      </c>
      <c r="F477">
        <v>616</v>
      </c>
      <c r="G477">
        <v>633</v>
      </c>
      <c r="H477">
        <v>563</v>
      </c>
      <c r="I477">
        <v>570</v>
      </c>
      <c r="J477">
        <v>832</v>
      </c>
      <c r="K477">
        <v>899</v>
      </c>
      <c r="L477">
        <v>814</v>
      </c>
      <c r="M477">
        <v>742</v>
      </c>
      <c r="N477">
        <v>888</v>
      </c>
      <c r="O477">
        <v>973</v>
      </c>
      <c r="P477" s="6">
        <v>1028</v>
      </c>
      <c r="Q477">
        <v>958</v>
      </c>
      <c r="R477">
        <v>843</v>
      </c>
      <c r="S477">
        <v>688</v>
      </c>
      <c r="T477">
        <v>658</v>
      </c>
      <c r="U477">
        <v>872</v>
      </c>
      <c r="V477" s="6">
        <v>1193</v>
      </c>
      <c r="W477" s="6">
        <v>1848</v>
      </c>
      <c r="X477" s="6">
        <v>2319</v>
      </c>
      <c r="Y477" s="6">
        <v>2418</v>
      </c>
      <c r="Z477" s="6">
        <v>2374</v>
      </c>
      <c r="AA477" s="6">
        <v>2269</v>
      </c>
      <c r="AB477" s="6">
        <v>1632</v>
      </c>
      <c r="AC477" s="6">
        <v>1226</v>
      </c>
    </row>
    <row r="478" spans="1:29" x14ac:dyDescent="0.35">
      <c r="A478" t="s">
        <v>1242</v>
      </c>
      <c r="B478" s="3">
        <v>0.48099999999999998</v>
      </c>
      <c r="C478" s="3">
        <v>0.81200000000000006</v>
      </c>
      <c r="D478" s="3">
        <v>0.54900000000000004</v>
      </c>
      <c r="E478" s="3">
        <v>0.55600000000000005</v>
      </c>
      <c r="F478" s="3">
        <v>0.315</v>
      </c>
      <c r="G478" s="3">
        <v>0.32200000000000001</v>
      </c>
      <c r="H478" s="3">
        <v>0.155</v>
      </c>
      <c r="I478" s="3">
        <v>0.17299999999999999</v>
      </c>
      <c r="J478" s="60">
        <v>0.59599999999999997</v>
      </c>
      <c r="K478" s="60">
        <v>0.66900000000000004</v>
      </c>
      <c r="L478" s="60">
        <v>0.6</v>
      </c>
      <c r="M478" s="60">
        <v>0.49099999999999999</v>
      </c>
      <c r="N478" s="60">
        <v>0.67500000000000004</v>
      </c>
      <c r="O478" s="60">
        <v>0.72199999999999998</v>
      </c>
      <c r="P478" s="60">
        <v>0.65100000000000002</v>
      </c>
      <c r="Q478" s="60">
        <v>0.52700000000000002</v>
      </c>
      <c r="R478" s="3">
        <v>0.59899999999999998</v>
      </c>
      <c r="S478" s="3">
        <v>0.14000000000000001</v>
      </c>
      <c r="T478" s="3">
        <v>0.08</v>
      </c>
      <c r="U478" s="3">
        <v>3.4000000000000002E-2</v>
      </c>
      <c r="V478" s="3">
        <v>1.4999999999999999E-2</v>
      </c>
      <c r="W478" s="60">
        <v>0.52500000000000002</v>
      </c>
      <c r="X478" s="60">
        <v>0.89</v>
      </c>
      <c r="Y478" s="60">
        <v>0.97399999999999998</v>
      </c>
      <c r="Z478" s="60">
        <v>0.89800000000000002</v>
      </c>
      <c r="AA478" s="60">
        <v>0.83899999999999997</v>
      </c>
      <c r="AB478" s="60">
        <v>0.48299999999999998</v>
      </c>
      <c r="AC478" s="3">
        <v>3.1E-2</v>
      </c>
    </row>
    <row r="479" spans="1:29" x14ac:dyDescent="0.35">
      <c r="A479" t="s">
        <v>1243</v>
      </c>
      <c r="B479">
        <v>151</v>
      </c>
      <c r="C479">
        <v>323</v>
      </c>
      <c r="D479">
        <v>256</v>
      </c>
      <c r="E479">
        <v>286</v>
      </c>
      <c r="F479">
        <v>148</v>
      </c>
      <c r="G479">
        <v>154</v>
      </c>
      <c r="H479">
        <v>76</v>
      </c>
      <c r="I479">
        <v>84</v>
      </c>
      <c r="J479">
        <v>311</v>
      </c>
      <c r="K479">
        <v>360</v>
      </c>
      <c r="L479">
        <v>305</v>
      </c>
      <c r="M479">
        <v>244</v>
      </c>
      <c r="N479">
        <v>358</v>
      </c>
      <c r="O479">
        <v>408</v>
      </c>
      <c r="P479">
        <v>405</v>
      </c>
      <c r="Q479">
        <v>331</v>
      </c>
      <c r="R479">
        <v>316</v>
      </c>
      <c r="S479">
        <v>85</v>
      </c>
      <c r="T479">
        <v>49</v>
      </c>
      <c r="U479">
        <v>29</v>
      </c>
      <c r="V479">
        <v>17</v>
      </c>
      <c r="W479">
        <v>636</v>
      </c>
      <c r="X479" s="6">
        <v>1092</v>
      </c>
      <c r="Y479" s="6">
        <v>1193</v>
      </c>
      <c r="Z479" s="6">
        <v>1123</v>
      </c>
      <c r="AA479" s="6">
        <v>1036</v>
      </c>
      <c r="AB479">
        <v>531</v>
      </c>
      <c r="AC479">
        <v>37</v>
      </c>
    </row>
    <row r="480" spans="1:29" x14ac:dyDescent="0.35">
      <c r="A480" t="s">
        <v>1244</v>
      </c>
      <c r="B480">
        <v>313</v>
      </c>
      <c r="C480">
        <v>398</v>
      </c>
      <c r="D480">
        <v>467</v>
      </c>
      <c r="E480">
        <v>515</v>
      </c>
      <c r="F480">
        <v>468</v>
      </c>
      <c r="G480">
        <v>479</v>
      </c>
      <c r="H480">
        <v>487</v>
      </c>
      <c r="I480">
        <v>486</v>
      </c>
      <c r="J480">
        <v>521</v>
      </c>
      <c r="K480">
        <v>539</v>
      </c>
      <c r="L480">
        <v>509</v>
      </c>
      <c r="M480">
        <v>498</v>
      </c>
      <c r="N480">
        <v>530</v>
      </c>
      <c r="O480">
        <v>565</v>
      </c>
      <c r="P480">
        <v>623</v>
      </c>
      <c r="Q480">
        <v>627</v>
      </c>
      <c r="R480">
        <v>527</v>
      </c>
      <c r="S480">
        <v>603</v>
      </c>
      <c r="T480">
        <v>609</v>
      </c>
      <c r="U480">
        <v>843</v>
      </c>
      <c r="V480" s="6">
        <v>1176</v>
      </c>
      <c r="W480" s="6">
        <v>1212</v>
      </c>
      <c r="X480" s="6">
        <v>1227</v>
      </c>
      <c r="Y480" s="6">
        <v>1225</v>
      </c>
      <c r="Z480" s="6">
        <v>1251</v>
      </c>
      <c r="AA480" s="6">
        <v>1234</v>
      </c>
      <c r="AB480" s="6">
        <v>1101</v>
      </c>
      <c r="AC480" s="6">
        <v>1189</v>
      </c>
    </row>
    <row r="481" spans="1:29" x14ac:dyDescent="0.35">
      <c r="A481" t="s">
        <v>1245</v>
      </c>
      <c r="B481" s="7">
        <v>10.050000000000001</v>
      </c>
      <c r="C481" s="7">
        <v>9.98</v>
      </c>
      <c r="D481" s="7">
        <v>10.07</v>
      </c>
      <c r="E481" s="7">
        <v>10.01</v>
      </c>
      <c r="F481" s="7">
        <v>11.73</v>
      </c>
      <c r="G481" s="7">
        <v>12.83</v>
      </c>
      <c r="H481" s="7">
        <v>12.95</v>
      </c>
      <c r="I481" s="7">
        <v>12.88</v>
      </c>
      <c r="J481" s="7">
        <v>10.9</v>
      </c>
      <c r="K481" s="7">
        <v>10.1</v>
      </c>
      <c r="L481" s="7">
        <v>9.99</v>
      </c>
      <c r="M481" s="7">
        <v>10.050000000000001</v>
      </c>
      <c r="N481" s="7">
        <v>9.92</v>
      </c>
      <c r="O481" s="7">
        <v>9.75</v>
      </c>
      <c r="P481" s="7">
        <v>9.43</v>
      </c>
      <c r="Q481" s="7">
        <v>9.3800000000000008</v>
      </c>
      <c r="R481" s="7">
        <v>10.1</v>
      </c>
      <c r="S481" s="7">
        <v>11.51</v>
      </c>
      <c r="T481" s="7">
        <v>11.75</v>
      </c>
      <c r="U481" s="7">
        <v>11.48</v>
      </c>
      <c r="V481" s="7">
        <v>11.31</v>
      </c>
      <c r="W481" s="7">
        <v>9.76</v>
      </c>
      <c r="X481" s="7">
        <v>9.0399999999999991</v>
      </c>
      <c r="Y481" s="7">
        <v>9.06</v>
      </c>
      <c r="Z481" s="7">
        <v>8.99</v>
      </c>
      <c r="AA481" s="7">
        <v>8.39</v>
      </c>
      <c r="AB481" s="7">
        <v>9.56</v>
      </c>
      <c r="AC481" s="7">
        <v>11.14</v>
      </c>
    </row>
    <row r="482" spans="1:29" x14ac:dyDescent="0.35">
      <c r="J482">
        <f>SUM(J480:R480)</f>
        <v>4939</v>
      </c>
      <c r="K482">
        <f>SUM(J479:R479)</f>
        <v>3038</v>
      </c>
      <c r="W482" s="6">
        <f>SUM(W480:AB480)</f>
        <v>7250</v>
      </c>
      <c r="X482">
        <f>SUM(W479:AB479)</f>
        <v>5611</v>
      </c>
    </row>
    <row r="483" spans="1:29" x14ac:dyDescent="0.35">
      <c r="A483" t="s">
        <v>1254</v>
      </c>
      <c r="B483" s="5">
        <v>46026</v>
      </c>
      <c r="C483" s="5">
        <v>46033</v>
      </c>
      <c r="D483" s="5">
        <v>46040</v>
      </c>
      <c r="E483" s="5">
        <v>46047</v>
      </c>
      <c r="F483" s="5">
        <v>46054</v>
      </c>
      <c r="G483" s="5">
        <v>46061</v>
      </c>
      <c r="H483" s="5">
        <v>46068</v>
      </c>
      <c r="I483" s="5">
        <v>46075</v>
      </c>
      <c r="J483" s="72">
        <v>46082</v>
      </c>
      <c r="K483" s="72">
        <v>46089</v>
      </c>
      <c r="L483" s="72">
        <v>46096</v>
      </c>
      <c r="M483" s="72">
        <v>46103</v>
      </c>
      <c r="N483" s="72">
        <v>46110</v>
      </c>
      <c r="O483" s="72">
        <v>46117</v>
      </c>
      <c r="P483" s="72">
        <v>46124</v>
      </c>
      <c r="Q483" s="72">
        <v>46131</v>
      </c>
      <c r="R483" s="72">
        <v>46138</v>
      </c>
      <c r="S483" s="5">
        <v>46145</v>
      </c>
      <c r="T483" s="5">
        <v>46152</v>
      </c>
      <c r="U483" s="5">
        <v>46159</v>
      </c>
      <c r="V483" s="5">
        <v>46166</v>
      </c>
      <c r="W483" s="5">
        <v>46173</v>
      </c>
      <c r="X483" s="5">
        <v>46180</v>
      </c>
      <c r="Y483" s="5">
        <v>46187</v>
      </c>
      <c r="Z483" s="5">
        <v>46194</v>
      </c>
      <c r="AA483" s="5">
        <v>46201</v>
      </c>
      <c r="AB483" s="5">
        <v>46208</v>
      </c>
      <c r="AC483" s="5">
        <v>46215</v>
      </c>
    </row>
    <row r="484" spans="1:29" x14ac:dyDescent="0.35">
      <c r="A484" t="s">
        <v>1293</v>
      </c>
      <c r="B484" s="3">
        <v>0.254</v>
      </c>
      <c r="C484" s="3">
        <v>0.46100000000000002</v>
      </c>
      <c r="D484" s="3">
        <v>0.34200000000000003</v>
      </c>
      <c r="E484" s="3">
        <v>0.35799999999999998</v>
      </c>
      <c r="F484" s="3">
        <v>0.247</v>
      </c>
      <c r="G484" s="3">
        <v>0.309</v>
      </c>
      <c r="H484" s="3">
        <v>0.156</v>
      </c>
      <c r="I484" s="3">
        <v>0.17100000000000001</v>
      </c>
      <c r="J484" s="3">
        <v>0.39700000000000002</v>
      </c>
      <c r="K484" s="3">
        <v>0.372</v>
      </c>
      <c r="L484" s="3">
        <v>0.32200000000000001</v>
      </c>
      <c r="M484" s="3">
        <v>0.26400000000000001</v>
      </c>
      <c r="N484" s="3">
        <v>0.36499999999999999</v>
      </c>
      <c r="O484" s="3">
        <v>0.36599999999999999</v>
      </c>
      <c r="P484" s="3">
        <v>0.35</v>
      </c>
      <c r="Q484" s="3">
        <v>0.26400000000000001</v>
      </c>
      <c r="R484" s="3">
        <v>0.36199999999999999</v>
      </c>
      <c r="S484" s="3">
        <v>5.6000000000000001E-2</v>
      </c>
      <c r="T484" s="3">
        <v>3.4000000000000002E-2</v>
      </c>
      <c r="U484" s="3">
        <v>1.2E-2</v>
      </c>
      <c r="V484" s="3">
        <v>1.4E-2</v>
      </c>
      <c r="W484" s="60">
        <v>0.36099999999999999</v>
      </c>
      <c r="X484" s="60">
        <v>0.55100000000000005</v>
      </c>
      <c r="Y484" s="60">
        <v>0.60499999999999998</v>
      </c>
      <c r="Z484" s="60">
        <v>0.54900000000000004</v>
      </c>
      <c r="AA484" s="60">
        <v>0.41899999999999998</v>
      </c>
      <c r="AB484" s="60">
        <v>0.30099999999999999</v>
      </c>
      <c r="AC484" s="3">
        <v>8.9999999999999993E-3</v>
      </c>
    </row>
    <row r="485" spans="1:29" x14ac:dyDescent="0.35">
      <c r="A485" t="s">
        <v>1247</v>
      </c>
      <c r="B485" s="3">
        <v>0.151</v>
      </c>
      <c r="C485" s="3">
        <v>0.19400000000000001</v>
      </c>
      <c r="D485" s="3">
        <v>0.13400000000000001</v>
      </c>
      <c r="E485" s="3">
        <v>0.122</v>
      </c>
      <c r="F485" s="3">
        <v>6.0999999999999999E-2</v>
      </c>
      <c r="G485" s="3">
        <v>1.4E-2</v>
      </c>
      <c r="H485" s="3">
        <v>-1E-3</v>
      </c>
      <c r="I485" s="3">
        <v>-1E-3</v>
      </c>
      <c r="J485" s="60">
        <v>0.122</v>
      </c>
      <c r="K485" s="60">
        <v>0.17899999999999999</v>
      </c>
      <c r="L485" s="60">
        <v>0.17399999999999999</v>
      </c>
      <c r="M485" s="60">
        <v>0.152</v>
      </c>
      <c r="N485" s="60">
        <v>0.186</v>
      </c>
      <c r="O485" s="60">
        <v>0.20599999999999999</v>
      </c>
      <c r="P485" s="60">
        <v>0.192</v>
      </c>
      <c r="Q485" s="60">
        <v>0.184</v>
      </c>
      <c r="R485" s="60">
        <v>0.17299999999999999</v>
      </c>
      <c r="S485" s="3">
        <v>0.25900000000000001</v>
      </c>
      <c r="T485" s="3">
        <v>0.29899999999999999</v>
      </c>
      <c r="U485" s="3">
        <v>0.38100000000000001</v>
      </c>
      <c r="V485" s="3">
        <v>-1.7000000000000001E-2</v>
      </c>
      <c r="W485" s="60">
        <v>0.106</v>
      </c>
      <c r="X485" s="60">
        <v>0.17899999999999999</v>
      </c>
      <c r="Y485" s="60">
        <v>0.187</v>
      </c>
      <c r="Z485" s="60">
        <v>0.182</v>
      </c>
      <c r="AA485" s="60">
        <v>0.23300000000000001</v>
      </c>
      <c r="AB485" s="60">
        <v>0.13800000000000001</v>
      </c>
      <c r="AC485" s="3">
        <v>0.54800000000000004</v>
      </c>
    </row>
    <row r="486" spans="1:29" x14ac:dyDescent="0.35">
      <c r="A486" t="s">
        <v>1248</v>
      </c>
      <c r="B486" s="7">
        <v>1.8</v>
      </c>
      <c r="C486" s="7">
        <v>2.4</v>
      </c>
      <c r="D486" s="7">
        <v>1.56</v>
      </c>
      <c r="E486" s="7">
        <v>1.4</v>
      </c>
      <c r="F486" s="7">
        <v>0.75</v>
      </c>
      <c r="G486" s="7">
        <v>0.18</v>
      </c>
      <c r="H486" s="7">
        <v>-0.02</v>
      </c>
      <c r="I486" s="7">
        <v>-0.01</v>
      </c>
      <c r="J486" s="7">
        <v>1.52</v>
      </c>
      <c r="K486" s="7">
        <v>2.19</v>
      </c>
      <c r="L486" s="7">
        <v>2.1</v>
      </c>
      <c r="M486" s="7">
        <v>1.8</v>
      </c>
      <c r="N486" s="7">
        <v>2.2599999999999998</v>
      </c>
      <c r="O486" s="7">
        <v>2.54</v>
      </c>
      <c r="P486" s="7">
        <v>2.21</v>
      </c>
      <c r="Q486" s="7">
        <v>2.08</v>
      </c>
      <c r="R486" s="7">
        <v>2.06</v>
      </c>
      <c r="S486" s="7">
        <v>3.21</v>
      </c>
      <c r="T486" s="7">
        <v>3.67</v>
      </c>
      <c r="U486" s="7">
        <v>4.47</v>
      </c>
      <c r="V486" s="7">
        <v>-0.2</v>
      </c>
      <c r="W486" s="7">
        <v>1.1599999999999999</v>
      </c>
      <c r="X486" s="7">
        <v>1.97</v>
      </c>
      <c r="Y486" s="7">
        <v>2.08</v>
      </c>
      <c r="Z486" s="7">
        <v>2</v>
      </c>
      <c r="AA486" s="7">
        <v>2.54</v>
      </c>
      <c r="AB486" s="7">
        <v>1.5</v>
      </c>
      <c r="AC486" s="7">
        <v>6.24</v>
      </c>
    </row>
    <row r="487" spans="1:29" x14ac:dyDescent="0.35">
      <c r="A487" t="s">
        <v>1249</v>
      </c>
      <c r="B487" s="7">
        <v>10.09</v>
      </c>
      <c r="C487" s="7">
        <v>9.9700000000000006</v>
      </c>
      <c r="D487" s="7">
        <v>10.07</v>
      </c>
      <c r="E487" s="7">
        <v>10.06</v>
      </c>
      <c r="F487" s="7">
        <v>11.62</v>
      </c>
      <c r="G487" s="7">
        <v>12.78</v>
      </c>
      <c r="H487" s="7">
        <v>12.96</v>
      </c>
      <c r="I487" s="7">
        <v>12.91</v>
      </c>
      <c r="J487" s="7">
        <v>10.93</v>
      </c>
      <c r="K487" s="7">
        <v>10.09</v>
      </c>
      <c r="L487" s="7">
        <v>9.99</v>
      </c>
      <c r="M487" s="7">
        <v>10.050000000000001</v>
      </c>
      <c r="N487" s="7">
        <v>9.92</v>
      </c>
      <c r="O487" s="7">
        <v>9.75</v>
      </c>
      <c r="P487" s="7">
        <v>9.32</v>
      </c>
      <c r="Q487" s="7">
        <v>9.24</v>
      </c>
      <c r="R487" s="7">
        <v>9.8000000000000007</v>
      </c>
      <c r="S487" s="7">
        <v>9.2100000000000009</v>
      </c>
      <c r="T487" s="7">
        <v>8.6</v>
      </c>
      <c r="U487" s="7">
        <v>7.26</v>
      </c>
      <c r="V487" s="7">
        <v>11.52</v>
      </c>
      <c r="W487" s="7">
        <v>9.7799999999999994</v>
      </c>
      <c r="X487" s="7">
        <v>9.0399999999999991</v>
      </c>
      <c r="Y487" s="7">
        <v>9.06</v>
      </c>
      <c r="Z487" s="7">
        <v>9.01</v>
      </c>
      <c r="AA487" s="7">
        <v>8.34</v>
      </c>
      <c r="AB487" s="7">
        <v>9.39</v>
      </c>
      <c r="AC487" s="7">
        <v>5.14</v>
      </c>
    </row>
    <row r="488" spans="1:29" x14ac:dyDescent="0.35">
      <c r="A488" t="s">
        <v>1245</v>
      </c>
      <c r="B488" s="7">
        <v>10.050000000000001</v>
      </c>
      <c r="C488" s="7">
        <v>9.98</v>
      </c>
      <c r="D488" s="7">
        <v>10.07</v>
      </c>
      <c r="E488" s="7">
        <v>10.01</v>
      </c>
      <c r="F488" s="7">
        <v>11.73</v>
      </c>
      <c r="G488" s="7">
        <v>12.83</v>
      </c>
      <c r="H488" s="7">
        <v>12.95</v>
      </c>
      <c r="I488" s="7">
        <v>12.88</v>
      </c>
      <c r="J488" s="7">
        <v>10.9</v>
      </c>
      <c r="K488" s="7">
        <v>10.1</v>
      </c>
      <c r="L488" s="7">
        <v>9.99</v>
      </c>
      <c r="M488" s="7">
        <v>10.050000000000001</v>
      </c>
      <c r="N488" s="7">
        <v>9.92</v>
      </c>
      <c r="O488" s="7">
        <v>9.75</v>
      </c>
      <c r="P488" s="7">
        <v>9.43</v>
      </c>
      <c r="Q488" s="7">
        <v>9.3800000000000008</v>
      </c>
      <c r="R488" s="7">
        <v>10.1</v>
      </c>
      <c r="S488" s="7">
        <v>11.51</v>
      </c>
      <c r="T488" s="7">
        <v>11.75</v>
      </c>
      <c r="U488" s="7">
        <v>11.48</v>
      </c>
      <c r="V488" s="7">
        <v>11.31</v>
      </c>
      <c r="W488" s="7">
        <v>9.76</v>
      </c>
      <c r="X488" s="7">
        <v>9.0399999999999991</v>
      </c>
      <c r="Y488" s="7">
        <v>9.06</v>
      </c>
      <c r="Z488" s="7">
        <v>8.99</v>
      </c>
      <c r="AA488" s="7">
        <v>8.39</v>
      </c>
      <c r="AB488" s="7">
        <v>9.56</v>
      </c>
      <c r="AC488" s="7">
        <v>11.14</v>
      </c>
    </row>
    <row r="491" spans="1:29" s="66" customFormat="1" x14ac:dyDescent="0.35"/>
    <row r="493" spans="1:29" x14ac:dyDescent="0.35">
      <c r="A493" s="49" t="s">
        <v>1353</v>
      </c>
    </row>
    <row r="495" spans="1:29" x14ac:dyDescent="0.35">
      <c r="A495" t="s">
        <v>1240</v>
      </c>
      <c r="B495" s="5">
        <v>46026</v>
      </c>
      <c r="C495" s="5">
        <v>46033</v>
      </c>
      <c r="D495" s="72">
        <v>46040</v>
      </c>
      <c r="E495" s="5">
        <v>46047</v>
      </c>
      <c r="F495" s="5">
        <v>46054</v>
      </c>
      <c r="G495" s="5">
        <v>46061</v>
      </c>
      <c r="H495" s="5">
        <v>46068</v>
      </c>
      <c r="I495" s="5">
        <v>46075</v>
      </c>
      <c r="J495" s="5">
        <v>46082</v>
      </c>
      <c r="K495" s="5">
        <v>46089</v>
      </c>
      <c r="L495" s="5">
        <v>46096</v>
      </c>
      <c r="M495" s="5">
        <v>46103</v>
      </c>
      <c r="N495" s="5">
        <v>46110</v>
      </c>
      <c r="O495" s="5">
        <v>46117</v>
      </c>
      <c r="P495" s="5">
        <v>46124</v>
      </c>
      <c r="Q495" s="5">
        <v>46131</v>
      </c>
      <c r="R495" s="5">
        <v>46138</v>
      </c>
      <c r="S495" s="5">
        <v>46145</v>
      </c>
      <c r="T495" s="5">
        <v>46152</v>
      </c>
      <c r="U495" s="5">
        <v>46159</v>
      </c>
      <c r="V495" s="5">
        <v>46166</v>
      </c>
      <c r="W495" s="5">
        <v>46173</v>
      </c>
      <c r="X495" s="5">
        <v>46180</v>
      </c>
      <c r="Y495" s="5">
        <v>46187</v>
      </c>
      <c r="Z495" s="5">
        <v>46194</v>
      </c>
      <c r="AA495" s="5">
        <v>46201</v>
      </c>
      <c r="AB495" s="5">
        <v>46208</v>
      </c>
      <c r="AC495" s="5">
        <v>46215</v>
      </c>
    </row>
    <row r="496" spans="1:29" x14ac:dyDescent="0.35">
      <c r="A496" t="s">
        <v>1241</v>
      </c>
      <c r="B496" s="6">
        <v>12017</v>
      </c>
      <c r="C496" s="6">
        <v>15438</v>
      </c>
      <c r="D496" s="58">
        <v>16250</v>
      </c>
      <c r="E496" s="6">
        <v>15182</v>
      </c>
      <c r="F496" s="6">
        <v>15806</v>
      </c>
      <c r="G496" s="6">
        <v>16881</v>
      </c>
      <c r="H496" s="6">
        <v>15992</v>
      </c>
      <c r="I496" s="6">
        <v>15319</v>
      </c>
      <c r="J496" s="6">
        <v>16841</v>
      </c>
      <c r="K496" s="6">
        <v>16451</v>
      </c>
      <c r="L496" s="6">
        <v>16693</v>
      </c>
      <c r="M496" s="6">
        <v>17281</v>
      </c>
      <c r="N496" s="6">
        <v>17280</v>
      </c>
      <c r="O496" s="6">
        <v>16274</v>
      </c>
      <c r="P496" s="6">
        <v>17266</v>
      </c>
      <c r="Q496" s="6">
        <v>16985</v>
      </c>
      <c r="R496" s="6">
        <v>17721</v>
      </c>
      <c r="S496" s="6">
        <v>17117</v>
      </c>
      <c r="T496" s="6">
        <v>16842</v>
      </c>
      <c r="U496" s="6">
        <v>16941</v>
      </c>
      <c r="V496" s="6">
        <v>16282</v>
      </c>
      <c r="W496" s="6">
        <v>15760</v>
      </c>
      <c r="X496" s="6">
        <v>16902</v>
      </c>
      <c r="Y496" s="6">
        <v>16713</v>
      </c>
      <c r="Z496" s="6">
        <v>16721</v>
      </c>
      <c r="AA496" s="6">
        <v>16702</v>
      </c>
      <c r="AB496" s="6">
        <v>14863</v>
      </c>
      <c r="AC496" s="6">
        <v>15983</v>
      </c>
    </row>
    <row r="497" spans="1:29" x14ac:dyDescent="0.35">
      <c r="A497" t="s">
        <v>1242</v>
      </c>
      <c r="B497" s="3">
        <v>6.9000000000000006E-2</v>
      </c>
      <c r="C497" s="3">
        <v>0.113</v>
      </c>
      <c r="D497" s="60">
        <v>0.221</v>
      </c>
      <c r="E497" s="3">
        <v>9.7000000000000003E-2</v>
      </c>
      <c r="F497" s="3">
        <v>0.14499999999999999</v>
      </c>
      <c r="G497" s="3">
        <v>0.152</v>
      </c>
      <c r="H497" s="3">
        <v>0.13</v>
      </c>
      <c r="I497" s="3">
        <v>0.10100000000000001</v>
      </c>
      <c r="J497" s="3">
        <v>0.105</v>
      </c>
      <c r="K497" s="3">
        <v>0.10299999999999999</v>
      </c>
      <c r="L497" s="3">
        <v>0.105</v>
      </c>
      <c r="M497" s="3">
        <v>9.2999999999999999E-2</v>
      </c>
      <c r="N497" s="3">
        <v>9.9000000000000005E-2</v>
      </c>
      <c r="O497" s="3">
        <v>0.10199999999999999</v>
      </c>
      <c r="P497" s="3">
        <v>0.114</v>
      </c>
      <c r="Q497" s="3">
        <v>0.1</v>
      </c>
      <c r="R497" s="3">
        <v>0.10299999999999999</v>
      </c>
      <c r="S497" s="3">
        <v>9.6000000000000002E-2</v>
      </c>
      <c r="T497" s="3">
        <v>9.5000000000000001E-2</v>
      </c>
      <c r="U497" s="3">
        <v>8.1000000000000003E-2</v>
      </c>
      <c r="V497" s="3">
        <v>8.5000000000000006E-2</v>
      </c>
      <c r="W497" s="3">
        <v>9.0999999999999998E-2</v>
      </c>
      <c r="X497" s="3">
        <v>9.5000000000000001E-2</v>
      </c>
      <c r="Y497" s="3">
        <v>9.0999999999999998E-2</v>
      </c>
      <c r="Z497" s="3">
        <v>9.1999999999999998E-2</v>
      </c>
      <c r="AA497" s="3">
        <v>0.1</v>
      </c>
      <c r="AB497" s="3">
        <v>7.2999999999999995E-2</v>
      </c>
      <c r="AC497" s="3">
        <v>8.7999999999999995E-2</v>
      </c>
    </row>
    <row r="498" spans="1:29" x14ac:dyDescent="0.35">
      <c r="A498" t="s">
        <v>1243</v>
      </c>
      <c r="B498">
        <v>779</v>
      </c>
      <c r="C498" s="6">
        <v>1567</v>
      </c>
      <c r="D498" s="58">
        <v>2943</v>
      </c>
      <c r="E498" s="6">
        <v>1341</v>
      </c>
      <c r="F498" s="6">
        <v>2001</v>
      </c>
      <c r="G498" s="6">
        <v>2222</v>
      </c>
      <c r="H498" s="6">
        <v>1846</v>
      </c>
      <c r="I498" s="6">
        <v>1409</v>
      </c>
      <c r="J498" s="6">
        <v>1602</v>
      </c>
      <c r="K498" s="6">
        <v>1530</v>
      </c>
      <c r="L498" s="6">
        <v>1580</v>
      </c>
      <c r="M498" s="6">
        <v>1473</v>
      </c>
      <c r="N498" s="6">
        <v>1556</v>
      </c>
      <c r="O498" s="6">
        <v>1503</v>
      </c>
      <c r="P498" s="6">
        <v>1764</v>
      </c>
      <c r="Q498" s="6">
        <v>1550</v>
      </c>
      <c r="R498" s="6">
        <v>1650</v>
      </c>
      <c r="S498" s="6">
        <v>1497</v>
      </c>
      <c r="T498" s="6">
        <v>1463</v>
      </c>
      <c r="U498" s="6">
        <v>1270</v>
      </c>
      <c r="V498" s="6">
        <v>1271</v>
      </c>
      <c r="W498" s="6">
        <v>1309</v>
      </c>
      <c r="X498" s="6">
        <v>1472</v>
      </c>
      <c r="Y498" s="6">
        <v>1394</v>
      </c>
      <c r="Z498" s="6">
        <v>1403</v>
      </c>
      <c r="AA498" s="6">
        <v>1523</v>
      </c>
      <c r="AB498" s="6">
        <v>1017</v>
      </c>
      <c r="AC498" s="6">
        <v>1287</v>
      </c>
    </row>
    <row r="499" spans="1:29" x14ac:dyDescent="0.35">
      <c r="A499" t="s">
        <v>1244</v>
      </c>
      <c r="B499" s="6">
        <v>11239</v>
      </c>
      <c r="C499" s="6">
        <v>13871</v>
      </c>
      <c r="D499" s="58">
        <v>13306</v>
      </c>
      <c r="E499" s="6">
        <v>13841</v>
      </c>
      <c r="F499" s="6">
        <v>13805</v>
      </c>
      <c r="G499" s="6">
        <v>14659</v>
      </c>
      <c r="H499" s="6">
        <v>14146</v>
      </c>
      <c r="I499" s="6">
        <v>13910</v>
      </c>
      <c r="J499" s="6">
        <v>15240</v>
      </c>
      <c r="K499" s="6">
        <v>14921</v>
      </c>
      <c r="L499" s="6">
        <v>15114</v>
      </c>
      <c r="M499" s="6">
        <v>15808</v>
      </c>
      <c r="N499" s="6">
        <v>15724</v>
      </c>
      <c r="O499" s="6">
        <v>14771</v>
      </c>
      <c r="P499" s="6">
        <v>15502</v>
      </c>
      <c r="Q499" s="6">
        <v>15435</v>
      </c>
      <c r="R499" s="6">
        <v>16072</v>
      </c>
      <c r="S499" s="6">
        <v>15620</v>
      </c>
      <c r="T499" s="6">
        <v>15379</v>
      </c>
      <c r="U499" s="6">
        <v>15671</v>
      </c>
      <c r="V499" s="6">
        <v>15011</v>
      </c>
      <c r="W499" s="6">
        <v>14451</v>
      </c>
      <c r="X499" s="6">
        <v>15430</v>
      </c>
      <c r="Y499" s="6">
        <v>15319</v>
      </c>
      <c r="Z499" s="6">
        <v>15318</v>
      </c>
      <c r="AA499" s="6">
        <v>15179</v>
      </c>
      <c r="AB499" s="6">
        <v>13846</v>
      </c>
      <c r="AC499" s="6">
        <v>14696</v>
      </c>
    </row>
    <row r="500" spans="1:29" x14ac:dyDescent="0.35">
      <c r="A500" t="s">
        <v>1245</v>
      </c>
      <c r="B500" s="7">
        <v>3.14</v>
      </c>
      <c r="C500" s="7">
        <v>3.12</v>
      </c>
      <c r="D500" s="59">
        <v>3.01</v>
      </c>
      <c r="E500" s="7">
        <v>3.13</v>
      </c>
      <c r="F500" s="7">
        <v>3.13</v>
      </c>
      <c r="G500" s="7">
        <v>3.14</v>
      </c>
      <c r="H500" s="7">
        <v>3.14</v>
      </c>
      <c r="I500" s="7">
        <v>3.15</v>
      </c>
      <c r="J500" s="7">
        <v>3.17</v>
      </c>
      <c r="K500" s="7">
        <v>3.16</v>
      </c>
      <c r="L500" s="7">
        <v>3.16</v>
      </c>
      <c r="M500" s="7">
        <v>3.17</v>
      </c>
      <c r="N500" s="7">
        <v>3.16</v>
      </c>
      <c r="O500" s="7">
        <v>3.15</v>
      </c>
      <c r="P500" s="7">
        <v>3.16</v>
      </c>
      <c r="Q500" s="7">
        <v>3.16</v>
      </c>
      <c r="R500" s="7">
        <v>3.16</v>
      </c>
      <c r="S500" s="7">
        <v>3.16</v>
      </c>
      <c r="T500" s="7">
        <v>3.16</v>
      </c>
      <c r="U500" s="7">
        <v>3.17</v>
      </c>
      <c r="V500" s="7">
        <v>3.16</v>
      </c>
      <c r="W500" s="7">
        <v>3.15</v>
      </c>
      <c r="X500" s="7">
        <v>3.16</v>
      </c>
      <c r="Y500" s="7">
        <v>3.16</v>
      </c>
      <c r="Z500" s="7">
        <v>3.16</v>
      </c>
      <c r="AA500" s="7">
        <v>3.16</v>
      </c>
      <c r="AB500" s="7">
        <v>3.17</v>
      </c>
      <c r="AC500" s="7">
        <v>3.17</v>
      </c>
    </row>
    <row r="502" spans="1:29" x14ac:dyDescent="0.35">
      <c r="A502" t="s">
        <v>1240</v>
      </c>
      <c r="B502" s="5">
        <v>46026</v>
      </c>
      <c r="C502" s="5">
        <v>46033</v>
      </c>
      <c r="D502" s="72">
        <v>46040</v>
      </c>
      <c r="E502" s="5">
        <v>46047</v>
      </c>
      <c r="F502" s="5">
        <v>46054</v>
      </c>
      <c r="G502" s="5">
        <v>46061</v>
      </c>
      <c r="H502" s="5">
        <v>46068</v>
      </c>
      <c r="I502" s="5">
        <v>46075</v>
      </c>
      <c r="J502" s="5">
        <v>46082</v>
      </c>
      <c r="K502" s="5">
        <v>46089</v>
      </c>
      <c r="L502" s="5">
        <v>46096</v>
      </c>
      <c r="M502" s="5">
        <v>46103</v>
      </c>
      <c r="N502" s="5">
        <v>46110</v>
      </c>
      <c r="O502" s="5">
        <v>46117</v>
      </c>
      <c r="P502" s="5">
        <v>46124</v>
      </c>
      <c r="Q502" s="5">
        <v>46131</v>
      </c>
      <c r="R502" s="5">
        <v>46138</v>
      </c>
      <c r="S502" s="5">
        <v>46145</v>
      </c>
      <c r="T502" s="5">
        <v>46152</v>
      </c>
      <c r="U502" s="5">
        <v>46159</v>
      </c>
      <c r="V502" s="5">
        <v>46166</v>
      </c>
      <c r="W502" s="5">
        <v>46173</v>
      </c>
      <c r="X502" s="5">
        <v>46180</v>
      </c>
      <c r="Y502" s="5">
        <v>46187</v>
      </c>
      <c r="Z502" s="5">
        <v>46194</v>
      </c>
      <c r="AA502" s="5">
        <v>46201</v>
      </c>
      <c r="AB502" s="5">
        <v>46208</v>
      </c>
      <c r="AC502" s="5">
        <v>46215</v>
      </c>
    </row>
    <row r="503" spans="1:29" x14ac:dyDescent="0.35">
      <c r="A503" t="s">
        <v>1293</v>
      </c>
      <c r="B503" s="3">
        <v>5.1999999999999998E-2</v>
      </c>
      <c r="C503" s="3">
        <v>9.1999999999999998E-2</v>
      </c>
      <c r="D503" s="60">
        <v>0.16700000000000001</v>
      </c>
      <c r="E503" s="3">
        <v>7.6999999999999999E-2</v>
      </c>
      <c r="F503" s="3">
        <v>0.121</v>
      </c>
      <c r="G503" s="3">
        <v>0.129</v>
      </c>
      <c r="H503" s="3">
        <v>0.108</v>
      </c>
      <c r="I503" s="3">
        <v>8.3000000000000004E-2</v>
      </c>
      <c r="J503" s="3">
        <v>8.6999999999999994E-2</v>
      </c>
      <c r="K503" s="3">
        <v>8.3000000000000004E-2</v>
      </c>
      <c r="L503" s="3">
        <v>8.5999999999999993E-2</v>
      </c>
      <c r="M503" s="3">
        <v>7.5999999999999998E-2</v>
      </c>
      <c r="N503" s="3">
        <v>8.1000000000000003E-2</v>
      </c>
      <c r="O503" s="3">
        <v>8.1000000000000003E-2</v>
      </c>
      <c r="P503" s="3">
        <v>9.4E-2</v>
      </c>
      <c r="Q503" s="3">
        <v>8.1000000000000003E-2</v>
      </c>
      <c r="R503" s="3">
        <v>8.2000000000000003E-2</v>
      </c>
      <c r="S503" s="3">
        <v>7.6999999999999999E-2</v>
      </c>
      <c r="T503" s="3">
        <v>7.6999999999999999E-2</v>
      </c>
      <c r="U503" s="3">
        <v>6.5000000000000002E-2</v>
      </c>
      <c r="V503" s="3">
        <v>6.8000000000000005E-2</v>
      </c>
      <c r="W503" s="3">
        <v>7.0999999999999994E-2</v>
      </c>
      <c r="X503" s="3">
        <v>7.6999999999999999E-2</v>
      </c>
      <c r="Y503" s="3">
        <v>7.2999999999999995E-2</v>
      </c>
      <c r="Z503" s="3">
        <v>7.4999999999999997E-2</v>
      </c>
      <c r="AA503" s="3">
        <v>8.2000000000000003E-2</v>
      </c>
      <c r="AB503" s="3">
        <v>5.7000000000000002E-2</v>
      </c>
      <c r="AC503" s="3">
        <v>7.0000000000000007E-2</v>
      </c>
    </row>
    <row r="504" spans="1:29" x14ac:dyDescent="0.35">
      <c r="A504" t="s">
        <v>1247</v>
      </c>
      <c r="B504" s="3">
        <v>7.3999999999999996E-2</v>
      </c>
      <c r="C504" s="3">
        <v>6.2E-2</v>
      </c>
      <c r="D504" s="60">
        <v>0.09</v>
      </c>
      <c r="E504" s="3">
        <v>6.4000000000000001E-2</v>
      </c>
      <c r="F504" s="3">
        <v>5.7000000000000002E-2</v>
      </c>
      <c r="G504" s="3">
        <v>5.0999999999999997E-2</v>
      </c>
      <c r="H504" s="3">
        <v>0.06</v>
      </c>
      <c r="I504" s="3">
        <v>6.5000000000000002E-2</v>
      </c>
      <c r="J504" s="3">
        <v>6.7000000000000004E-2</v>
      </c>
      <c r="K504" s="3">
        <v>6.9000000000000006E-2</v>
      </c>
      <c r="L504" s="3">
        <v>6.4000000000000001E-2</v>
      </c>
      <c r="M504" s="3">
        <v>6.0999999999999999E-2</v>
      </c>
      <c r="N504" s="3">
        <v>5.7000000000000002E-2</v>
      </c>
      <c r="O504" s="3">
        <v>6.5000000000000002E-2</v>
      </c>
      <c r="P504" s="3">
        <v>0.06</v>
      </c>
      <c r="Q504" s="3">
        <v>5.8999999999999997E-2</v>
      </c>
      <c r="R504" s="3">
        <v>6.6000000000000003E-2</v>
      </c>
      <c r="S504" s="3">
        <v>6.3E-2</v>
      </c>
      <c r="T504" s="3">
        <v>5.8000000000000003E-2</v>
      </c>
      <c r="U504" s="3">
        <v>6.0999999999999999E-2</v>
      </c>
      <c r="V504" s="3">
        <v>6.4000000000000001E-2</v>
      </c>
      <c r="W504" s="3">
        <v>6.2E-2</v>
      </c>
      <c r="X504" s="3">
        <v>5.8999999999999997E-2</v>
      </c>
      <c r="Y504" s="3">
        <v>6.0999999999999999E-2</v>
      </c>
      <c r="Z504" s="3">
        <v>5.8000000000000003E-2</v>
      </c>
      <c r="AA504" s="3">
        <v>5.8999999999999997E-2</v>
      </c>
      <c r="AB504" s="3">
        <v>6.3E-2</v>
      </c>
      <c r="AC504" s="3">
        <v>6.5000000000000002E-2</v>
      </c>
    </row>
    <row r="505" spans="1:29" x14ac:dyDescent="0.35">
      <c r="A505" t="s">
        <v>1248</v>
      </c>
      <c r="B505" s="7">
        <v>0.24</v>
      </c>
      <c r="C505" s="7">
        <v>0.2</v>
      </c>
      <c r="D505" s="59">
        <v>0.28000000000000003</v>
      </c>
      <c r="E505" s="7">
        <v>0.2</v>
      </c>
      <c r="F505" s="7">
        <v>0.18</v>
      </c>
      <c r="G505" s="7">
        <v>0.16</v>
      </c>
      <c r="H505" s="7">
        <v>0.19</v>
      </c>
      <c r="I505" s="7">
        <v>0.21</v>
      </c>
      <c r="J505" s="7">
        <v>0.22</v>
      </c>
      <c r="K505" s="7">
        <v>0.22</v>
      </c>
      <c r="L505" s="7">
        <v>0.21</v>
      </c>
      <c r="M505" s="7">
        <v>0.2</v>
      </c>
      <c r="N505" s="7">
        <v>0.18</v>
      </c>
      <c r="O505" s="7">
        <v>0.21</v>
      </c>
      <c r="P505" s="7">
        <v>0.19</v>
      </c>
      <c r="Q505" s="7">
        <v>0.19</v>
      </c>
      <c r="R505" s="7">
        <v>0.21</v>
      </c>
      <c r="S505" s="7">
        <v>0.2</v>
      </c>
      <c r="T505" s="7">
        <v>0.19</v>
      </c>
      <c r="U505" s="7">
        <v>0.2</v>
      </c>
      <c r="V505" s="7">
        <v>0.21</v>
      </c>
      <c r="W505" s="7">
        <v>0.2</v>
      </c>
      <c r="X505" s="7">
        <v>0.19</v>
      </c>
      <c r="Y505" s="7">
        <v>0.2</v>
      </c>
      <c r="Z505" s="7">
        <v>0.19</v>
      </c>
      <c r="AA505" s="7">
        <v>0.19</v>
      </c>
      <c r="AB505" s="7">
        <v>0.2</v>
      </c>
      <c r="AC505" s="7">
        <v>0.21</v>
      </c>
    </row>
    <row r="506" spans="1:29" x14ac:dyDescent="0.35">
      <c r="A506" t="s">
        <v>1249</v>
      </c>
      <c r="B506" s="7">
        <v>2.96</v>
      </c>
      <c r="C506" s="7">
        <v>2.99</v>
      </c>
      <c r="D506" s="59">
        <v>2.87</v>
      </c>
      <c r="E506" s="7">
        <v>2.98</v>
      </c>
      <c r="F506" s="7">
        <v>3.01</v>
      </c>
      <c r="G506" s="7">
        <v>3.04</v>
      </c>
      <c r="H506" s="7">
        <v>3.01</v>
      </c>
      <c r="I506" s="7">
        <v>3</v>
      </c>
      <c r="J506" s="7">
        <v>3</v>
      </c>
      <c r="K506" s="7">
        <v>3</v>
      </c>
      <c r="L506" s="7">
        <v>3.01</v>
      </c>
      <c r="M506" s="7">
        <v>3.02</v>
      </c>
      <c r="N506" s="7">
        <v>3.03</v>
      </c>
      <c r="O506" s="7">
        <v>3</v>
      </c>
      <c r="P506" s="7">
        <v>3.02</v>
      </c>
      <c r="Q506" s="7">
        <v>3.03</v>
      </c>
      <c r="R506" s="7">
        <v>3</v>
      </c>
      <c r="S506" s="7">
        <v>3.01</v>
      </c>
      <c r="T506" s="7">
        <v>3.03</v>
      </c>
      <c r="U506" s="7">
        <v>3.02</v>
      </c>
      <c r="V506" s="7">
        <v>3</v>
      </c>
      <c r="W506" s="7">
        <v>3.01</v>
      </c>
      <c r="X506" s="7">
        <v>3.02</v>
      </c>
      <c r="Y506" s="7">
        <v>3.02</v>
      </c>
      <c r="Z506" s="7">
        <v>3.03</v>
      </c>
      <c r="AA506" s="7">
        <v>3.03</v>
      </c>
      <c r="AB506" s="7">
        <v>3.01</v>
      </c>
      <c r="AC506" s="7">
        <v>3.01</v>
      </c>
    </row>
    <row r="507" spans="1:29" x14ac:dyDescent="0.35">
      <c r="A507" t="s">
        <v>1245</v>
      </c>
      <c r="B507" s="7">
        <v>3.14</v>
      </c>
      <c r="C507" s="7">
        <v>3.12</v>
      </c>
      <c r="D507" s="59">
        <v>3.01</v>
      </c>
      <c r="E507" s="7">
        <v>3.13</v>
      </c>
      <c r="F507" s="7">
        <v>3.13</v>
      </c>
      <c r="G507" s="7">
        <v>3.14</v>
      </c>
      <c r="H507" s="7">
        <v>3.14</v>
      </c>
      <c r="I507" s="7">
        <v>3.15</v>
      </c>
      <c r="J507" s="7">
        <v>3.17</v>
      </c>
      <c r="K507" s="7">
        <v>3.16</v>
      </c>
      <c r="L507" s="7">
        <v>3.16</v>
      </c>
      <c r="M507" s="7">
        <v>3.17</v>
      </c>
      <c r="N507" s="7">
        <v>3.16</v>
      </c>
      <c r="O507" s="7">
        <v>3.15</v>
      </c>
      <c r="P507" s="7">
        <v>3.16</v>
      </c>
      <c r="Q507" s="7">
        <v>3.16</v>
      </c>
      <c r="R507" s="7">
        <v>3.16</v>
      </c>
      <c r="S507" s="7">
        <v>3.16</v>
      </c>
      <c r="T507" s="7">
        <v>3.16</v>
      </c>
      <c r="U507" s="7">
        <v>3.17</v>
      </c>
      <c r="V507" s="7">
        <v>3.16</v>
      </c>
      <c r="W507" s="7">
        <v>3.15</v>
      </c>
      <c r="X507" s="7">
        <v>3.16</v>
      </c>
      <c r="Y507" s="7">
        <v>3.16</v>
      </c>
      <c r="Z507" s="7">
        <v>3.16</v>
      </c>
      <c r="AA507" s="7">
        <v>3.16</v>
      </c>
      <c r="AB507" s="7">
        <v>3.17</v>
      </c>
      <c r="AC507" s="7">
        <v>3.17</v>
      </c>
    </row>
    <row r="510" spans="1:29" s="66" customFormat="1" x14ac:dyDescent="0.35"/>
    <row r="512" spans="1:29" x14ac:dyDescent="0.35">
      <c r="A512" s="49" t="s">
        <v>1352</v>
      </c>
    </row>
    <row r="514" spans="1:29" x14ac:dyDescent="0.35">
      <c r="A514" t="s">
        <v>1254</v>
      </c>
      <c r="B514" s="5">
        <v>46026</v>
      </c>
      <c r="C514" s="5">
        <v>46033</v>
      </c>
      <c r="D514" s="5">
        <v>46040</v>
      </c>
      <c r="E514" s="5">
        <v>46047</v>
      </c>
      <c r="F514" s="5">
        <v>46054</v>
      </c>
      <c r="G514" s="84">
        <v>46061</v>
      </c>
      <c r="H514" s="84">
        <v>46068</v>
      </c>
      <c r="I514" s="84">
        <v>46075</v>
      </c>
      <c r="J514" s="84">
        <v>46082</v>
      </c>
      <c r="K514" s="84">
        <v>46089</v>
      </c>
      <c r="L514" s="5">
        <v>46096</v>
      </c>
      <c r="M514" s="5">
        <v>46103</v>
      </c>
      <c r="N514" s="5">
        <v>46110</v>
      </c>
      <c r="O514" s="5">
        <v>46117</v>
      </c>
      <c r="P514" s="103">
        <v>46124</v>
      </c>
      <c r="Q514" s="103">
        <v>46131</v>
      </c>
      <c r="R514" s="103">
        <v>46138</v>
      </c>
      <c r="S514" s="103">
        <v>46145</v>
      </c>
      <c r="T514" s="5">
        <v>46152</v>
      </c>
      <c r="U514" s="103">
        <v>46159</v>
      </c>
      <c r="V514" s="103">
        <v>46166</v>
      </c>
      <c r="W514" s="5">
        <v>46173</v>
      </c>
      <c r="X514" s="5">
        <v>46180</v>
      </c>
      <c r="Y514" s="5">
        <v>46187</v>
      </c>
      <c r="Z514" s="5">
        <v>46194</v>
      </c>
      <c r="AA514" s="5">
        <v>46201</v>
      </c>
      <c r="AB514" s="5">
        <v>46208</v>
      </c>
      <c r="AC514" s="5">
        <v>46215</v>
      </c>
    </row>
    <row r="515" spans="1:29" x14ac:dyDescent="0.35">
      <c r="A515" t="s">
        <v>1241</v>
      </c>
      <c r="B515" s="6">
        <v>5346</v>
      </c>
      <c r="C515" s="6">
        <v>7150</v>
      </c>
      <c r="D515" s="6">
        <v>6958</v>
      </c>
      <c r="E515" s="6">
        <v>5499</v>
      </c>
      <c r="F515" s="6">
        <v>3548</v>
      </c>
      <c r="G515" s="6">
        <v>4930</v>
      </c>
      <c r="H515" s="6">
        <v>5147</v>
      </c>
      <c r="I515" s="6">
        <v>5609</v>
      </c>
      <c r="J515" s="6">
        <v>6147</v>
      </c>
      <c r="K515" s="6">
        <v>5383</v>
      </c>
      <c r="L515" s="6">
        <v>4956</v>
      </c>
      <c r="M515" s="6">
        <v>4415</v>
      </c>
      <c r="N515" s="6">
        <v>4152</v>
      </c>
      <c r="O515" s="6">
        <v>4041</v>
      </c>
      <c r="P515" s="6">
        <v>4194</v>
      </c>
      <c r="Q515" s="6">
        <v>5216</v>
      </c>
      <c r="R515" s="6">
        <v>5211</v>
      </c>
      <c r="S515" s="6">
        <v>5655</v>
      </c>
      <c r="T515" s="6">
        <v>6935</v>
      </c>
      <c r="U515" s="6">
        <v>7906</v>
      </c>
      <c r="V515" s="6">
        <v>7953</v>
      </c>
      <c r="W515" s="6">
        <v>5026</v>
      </c>
      <c r="X515" s="6">
        <v>4297</v>
      </c>
      <c r="Y515" s="6">
        <v>4809</v>
      </c>
      <c r="Z515" s="6">
        <v>4969</v>
      </c>
      <c r="AA515" s="6">
        <v>4942</v>
      </c>
      <c r="AB515" s="6">
        <v>5321</v>
      </c>
      <c r="AC515" s="6">
        <v>6004</v>
      </c>
    </row>
    <row r="516" spans="1:29" x14ac:dyDescent="0.35">
      <c r="A516" t="s">
        <v>1242</v>
      </c>
      <c r="B516" s="3">
        <v>0.82499999999999996</v>
      </c>
      <c r="C516" s="3">
        <v>1.107</v>
      </c>
      <c r="D516" s="3">
        <v>0.90800000000000003</v>
      </c>
      <c r="E516" s="3">
        <v>0.48199999999999998</v>
      </c>
      <c r="F516" s="3">
        <v>0</v>
      </c>
      <c r="G516" s="85">
        <v>0.21099999999999999</v>
      </c>
      <c r="H516" s="85">
        <v>0.35899999999999999</v>
      </c>
      <c r="I516" s="85">
        <v>0.48199999999999998</v>
      </c>
      <c r="J516" s="85">
        <v>0.55200000000000005</v>
      </c>
      <c r="K516" s="85">
        <v>0.23599999999999999</v>
      </c>
      <c r="L516" s="3">
        <v>0.108</v>
      </c>
      <c r="M516" s="3">
        <v>9.1999999999999998E-2</v>
      </c>
      <c r="N516" s="3">
        <v>6.9000000000000006E-2</v>
      </c>
      <c r="O516" s="3">
        <v>7.3999999999999996E-2</v>
      </c>
      <c r="P516" s="31">
        <v>0.20100000000000001</v>
      </c>
      <c r="Q516" s="31">
        <v>0.35599999999999998</v>
      </c>
      <c r="R516" s="31">
        <v>0.33200000000000002</v>
      </c>
      <c r="S516" s="31">
        <v>0.30299999999999999</v>
      </c>
      <c r="T516" s="3">
        <v>0.14099999999999999</v>
      </c>
      <c r="U516" s="31">
        <v>0.27500000000000002</v>
      </c>
      <c r="V516" s="31">
        <v>0.29099999999999998</v>
      </c>
      <c r="W516" s="3">
        <v>0.09</v>
      </c>
      <c r="X516" s="3">
        <v>1.6E-2</v>
      </c>
      <c r="Y516" s="3">
        <v>1.7000000000000001E-2</v>
      </c>
      <c r="Z516" s="3">
        <v>2.3E-2</v>
      </c>
      <c r="AA516" s="3">
        <v>4.7E-2</v>
      </c>
      <c r="AB516" s="3">
        <v>0.14199999999999999</v>
      </c>
      <c r="AC516" s="3">
        <v>0.184</v>
      </c>
    </row>
    <row r="517" spans="1:29" x14ac:dyDescent="0.35">
      <c r="A517" t="s">
        <v>1243</v>
      </c>
      <c r="B517" s="6">
        <v>2416</v>
      </c>
      <c r="C517" s="6">
        <v>3757</v>
      </c>
      <c r="D517" s="6">
        <v>3310</v>
      </c>
      <c r="E517" s="6">
        <v>1788</v>
      </c>
      <c r="F517">
        <v>1</v>
      </c>
      <c r="G517">
        <v>861</v>
      </c>
      <c r="H517" s="6">
        <v>1360</v>
      </c>
      <c r="I517" s="6">
        <v>1824</v>
      </c>
      <c r="J517" s="6">
        <v>2187</v>
      </c>
      <c r="K517" s="6">
        <v>1028</v>
      </c>
      <c r="L517">
        <v>481</v>
      </c>
      <c r="M517">
        <v>371</v>
      </c>
      <c r="N517">
        <v>267</v>
      </c>
      <c r="O517">
        <v>277</v>
      </c>
      <c r="P517">
        <v>701</v>
      </c>
      <c r="Q517" s="6">
        <v>1371</v>
      </c>
      <c r="R517" s="6">
        <v>1300</v>
      </c>
      <c r="S517" s="6">
        <v>1315</v>
      </c>
      <c r="T517">
        <v>856</v>
      </c>
      <c r="U517" s="6">
        <v>1707</v>
      </c>
      <c r="V517" s="6">
        <v>1794</v>
      </c>
      <c r="W517">
        <v>414</v>
      </c>
      <c r="X517">
        <v>69</v>
      </c>
      <c r="Y517">
        <v>78</v>
      </c>
      <c r="Z517">
        <v>111</v>
      </c>
      <c r="AA517">
        <v>222</v>
      </c>
      <c r="AB517">
        <v>662</v>
      </c>
      <c r="AC517">
        <v>932</v>
      </c>
    </row>
    <row r="518" spans="1:29" x14ac:dyDescent="0.35">
      <c r="A518" t="s">
        <v>1244</v>
      </c>
      <c r="B518" s="6">
        <v>2930</v>
      </c>
      <c r="C518" s="6">
        <v>3393</v>
      </c>
      <c r="D518" s="6">
        <v>3648</v>
      </c>
      <c r="E518" s="6">
        <v>3711</v>
      </c>
      <c r="F518" s="6">
        <v>3547</v>
      </c>
      <c r="G518" s="6">
        <v>4069</v>
      </c>
      <c r="H518" s="6">
        <v>3787</v>
      </c>
      <c r="I518" s="6">
        <v>3785</v>
      </c>
      <c r="J518" s="6">
        <v>3961</v>
      </c>
      <c r="K518" s="6">
        <v>4355</v>
      </c>
      <c r="L518" s="6">
        <v>4475</v>
      </c>
      <c r="M518" s="6">
        <v>4045</v>
      </c>
      <c r="N518" s="6">
        <v>3885</v>
      </c>
      <c r="O518" s="6">
        <v>3764</v>
      </c>
      <c r="P518" s="6">
        <v>3493</v>
      </c>
      <c r="Q518" s="6">
        <v>3845</v>
      </c>
      <c r="R518" s="6">
        <v>3912</v>
      </c>
      <c r="S518" s="6">
        <v>4340</v>
      </c>
      <c r="T518" s="6">
        <v>6079</v>
      </c>
      <c r="U518" s="6">
        <v>6199</v>
      </c>
      <c r="V518" s="6">
        <v>6159</v>
      </c>
      <c r="W518" s="6">
        <v>4612</v>
      </c>
      <c r="X518" s="6">
        <v>4228</v>
      </c>
      <c r="Y518" s="6">
        <v>4731</v>
      </c>
      <c r="Z518" s="6">
        <v>4858</v>
      </c>
      <c r="AA518" s="6">
        <v>4720</v>
      </c>
      <c r="AB518" s="6">
        <v>4659</v>
      </c>
      <c r="AC518" s="6">
        <v>5072</v>
      </c>
    </row>
    <row r="519" spans="1:29" x14ac:dyDescent="0.35">
      <c r="A519" t="s">
        <v>1245</v>
      </c>
      <c r="B519" s="7">
        <v>7.69</v>
      </c>
      <c r="C519" s="7">
        <v>7.68</v>
      </c>
      <c r="D519" s="7">
        <v>7.7</v>
      </c>
      <c r="E519" s="7">
        <v>8.5399999999999991</v>
      </c>
      <c r="F519" s="7">
        <v>9.67</v>
      </c>
      <c r="G519" s="7">
        <v>9.11</v>
      </c>
      <c r="H519" s="7">
        <v>8.67</v>
      </c>
      <c r="I519" s="7">
        <v>8.66</v>
      </c>
      <c r="J519" s="7">
        <v>8.65</v>
      </c>
      <c r="K519" s="7">
        <v>9.1</v>
      </c>
      <c r="L519" s="7">
        <v>9.61</v>
      </c>
      <c r="M519" s="7">
        <v>9.6199999999999992</v>
      </c>
      <c r="N519" s="7">
        <v>9.65</v>
      </c>
      <c r="O519" s="7">
        <v>9.56</v>
      </c>
      <c r="P519" s="7">
        <v>8.84</v>
      </c>
      <c r="Q519" s="7">
        <v>8.44</v>
      </c>
      <c r="R519" s="7">
        <v>8.4499999999999993</v>
      </c>
      <c r="S519" s="7">
        <v>8.4700000000000006</v>
      </c>
      <c r="T519" s="7">
        <v>8.9600000000000009</v>
      </c>
      <c r="U519" s="7">
        <v>8.6199999999999992</v>
      </c>
      <c r="V519" s="7">
        <v>8.4700000000000006</v>
      </c>
      <c r="W519" s="7">
        <v>8.8699999999999992</v>
      </c>
      <c r="X519" s="7">
        <v>9.4600000000000009</v>
      </c>
      <c r="Y519" s="7">
        <v>9.4600000000000009</v>
      </c>
      <c r="Z519" s="7">
        <v>9.4</v>
      </c>
      <c r="AA519" s="7">
        <v>9.14</v>
      </c>
      <c r="AB519" s="7">
        <v>8.9700000000000006</v>
      </c>
      <c r="AC519" s="7">
        <v>8.69</v>
      </c>
    </row>
    <row r="520" spans="1:29" x14ac:dyDescent="0.35">
      <c r="G520" s="6">
        <f>SUM(G518:K518)</f>
        <v>19957</v>
      </c>
      <c r="H520">
        <f>SUM(G517:K517)</f>
        <v>7260</v>
      </c>
      <c r="P520" s="6">
        <f>SUM(P518:S518)</f>
        <v>15590</v>
      </c>
      <c r="Q520">
        <f>SUM(P517:S517)</f>
        <v>4687</v>
      </c>
      <c r="U520" s="6">
        <f>SUM(U518:V518)</f>
        <v>12358</v>
      </c>
      <c r="V520" s="6">
        <f>SUM(U517:V517)</f>
        <v>3501</v>
      </c>
    </row>
    <row r="522" spans="1:29" x14ac:dyDescent="0.35">
      <c r="A522" t="s">
        <v>1254</v>
      </c>
      <c r="B522" s="5">
        <v>46026</v>
      </c>
      <c r="C522" s="5">
        <v>46033</v>
      </c>
      <c r="D522" s="5">
        <v>46040</v>
      </c>
      <c r="E522" s="5">
        <v>46047</v>
      </c>
      <c r="F522" s="5">
        <v>46054</v>
      </c>
      <c r="G522" s="84">
        <v>46061</v>
      </c>
      <c r="H522" s="84">
        <v>46068</v>
      </c>
      <c r="I522" s="84">
        <v>46075</v>
      </c>
      <c r="J522" s="84">
        <v>46082</v>
      </c>
      <c r="K522" s="84">
        <v>46089</v>
      </c>
      <c r="L522" s="5">
        <v>46096</v>
      </c>
      <c r="M522" s="5">
        <v>46103</v>
      </c>
      <c r="N522" s="5">
        <v>46110</v>
      </c>
      <c r="O522" s="5">
        <v>46117</v>
      </c>
      <c r="P522" s="103">
        <v>46124</v>
      </c>
      <c r="Q522" s="103">
        <v>46131</v>
      </c>
      <c r="R522" s="103">
        <v>46138</v>
      </c>
      <c r="S522" s="103">
        <v>46145</v>
      </c>
      <c r="T522" s="5">
        <v>46152</v>
      </c>
      <c r="U522" s="103">
        <v>46159</v>
      </c>
      <c r="V522" s="103">
        <v>46166</v>
      </c>
      <c r="W522" s="5">
        <v>46173</v>
      </c>
      <c r="X522" s="5">
        <v>46180</v>
      </c>
      <c r="Y522" s="5">
        <v>46187</v>
      </c>
      <c r="Z522" s="5">
        <v>46194</v>
      </c>
      <c r="AA522" s="5">
        <v>46201</v>
      </c>
      <c r="AB522" s="5">
        <v>46208</v>
      </c>
      <c r="AC522" s="5">
        <v>46215</v>
      </c>
    </row>
    <row r="523" spans="1:29" x14ac:dyDescent="0.35">
      <c r="A523" t="s">
        <v>1293</v>
      </c>
      <c r="B523" s="3">
        <v>0.51200000000000001</v>
      </c>
      <c r="C523" s="3">
        <v>0.72699999999999998</v>
      </c>
      <c r="D523" s="3">
        <v>0.57799999999999996</v>
      </c>
      <c r="E523" s="3">
        <v>0.35799999999999998</v>
      </c>
      <c r="F523" s="3">
        <v>0</v>
      </c>
      <c r="G523" s="3">
        <v>0.18</v>
      </c>
      <c r="H523" s="3">
        <v>0.28000000000000003</v>
      </c>
      <c r="I523" s="3">
        <v>0.38800000000000001</v>
      </c>
      <c r="J523" s="3">
        <v>0.45100000000000001</v>
      </c>
      <c r="K523" s="3">
        <v>0.20699999999999999</v>
      </c>
      <c r="L523" s="3">
        <v>0.104</v>
      </c>
      <c r="M523" s="3">
        <v>0.09</v>
      </c>
      <c r="N523" s="3">
        <v>6.7000000000000004E-2</v>
      </c>
      <c r="O523" s="3">
        <v>6.9000000000000006E-2</v>
      </c>
      <c r="P523" s="3">
        <v>0.152</v>
      </c>
      <c r="Q523" s="3">
        <v>0.247</v>
      </c>
      <c r="R523" s="3">
        <v>0.23</v>
      </c>
      <c r="S523" s="3">
        <v>0.217</v>
      </c>
      <c r="T523" s="3">
        <v>0.115</v>
      </c>
      <c r="U523" s="3">
        <v>0.21099999999999999</v>
      </c>
      <c r="V523" s="3">
        <v>0.24</v>
      </c>
      <c r="W523" s="3">
        <v>7.2999999999999995E-2</v>
      </c>
      <c r="X523" s="3">
        <v>1.4999999999999999E-2</v>
      </c>
      <c r="Y523" s="3">
        <v>1.6E-2</v>
      </c>
      <c r="Z523" s="3">
        <v>2.1000000000000001E-2</v>
      </c>
      <c r="AA523" s="3">
        <v>4.1000000000000002E-2</v>
      </c>
      <c r="AB523" s="3">
        <v>0.13300000000000001</v>
      </c>
      <c r="AC523" s="3">
        <v>0.16400000000000001</v>
      </c>
    </row>
    <row r="524" spans="1:29" x14ac:dyDescent="0.35">
      <c r="A524" t="s">
        <v>1247</v>
      </c>
      <c r="B524" s="3">
        <v>0.17299999999999999</v>
      </c>
      <c r="C524" s="3">
        <v>0.18099999999999999</v>
      </c>
      <c r="D524" s="3">
        <v>0.17399999999999999</v>
      </c>
      <c r="E524" s="3">
        <v>0.1</v>
      </c>
      <c r="F524" s="3">
        <v>3.4000000000000002E-2</v>
      </c>
      <c r="G524" s="3">
        <v>3.9E-2</v>
      </c>
      <c r="H524" s="3">
        <v>5.8999999999999997E-2</v>
      </c>
      <c r="I524" s="3">
        <v>6.4000000000000001E-2</v>
      </c>
      <c r="J524" s="3">
        <v>6.6000000000000003E-2</v>
      </c>
      <c r="K524" s="3">
        <v>3.5999999999999997E-2</v>
      </c>
      <c r="L524" s="3">
        <v>2.4E-2</v>
      </c>
      <c r="M524" s="3">
        <v>1.7999999999999999E-2</v>
      </c>
      <c r="N524" s="3">
        <v>0.02</v>
      </c>
      <c r="O524" s="3">
        <v>2.3E-2</v>
      </c>
      <c r="P524" s="3">
        <v>4.4999999999999998E-2</v>
      </c>
      <c r="Q524" s="3">
        <v>8.1000000000000003E-2</v>
      </c>
      <c r="R524" s="3">
        <v>7.6999999999999999E-2</v>
      </c>
      <c r="S524" s="3">
        <v>6.6000000000000003E-2</v>
      </c>
      <c r="T524" s="3">
        <v>3.2000000000000001E-2</v>
      </c>
      <c r="U524" s="3">
        <v>5.8000000000000003E-2</v>
      </c>
      <c r="V524" s="3">
        <v>0.04</v>
      </c>
      <c r="W524" s="3">
        <v>2.7E-2</v>
      </c>
      <c r="X524" s="3">
        <v>1.0999999999999999E-2</v>
      </c>
      <c r="Y524" s="3">
        <v>0.01</v>
      </c>
      <c r="Z524" s="3">
        <v>2.9000000000000001E-2</v>
      </c>
      <c r="AA524" s="3">
        <v>2.1000000000000001E-2</v>
      </c>
      <c r="AB524" s="3">
        <v>0.01</v>
      </c>
      <c r="AC524" s="3">
        <v>0.02</v>
      </c>
    </row>
    <row r="525" spans="1:29" x14ac:dyDescent="0.35">
      <c r="A525" t="s">
        <v>1248</v>
      </c>
      <c r="B525" s="7">
        <v>1.6</v>
      </c>
      <c r="C525" s="7">
        <v>1.7</v>
      </c>
      <c r="D525" s="7">
        <v>1.62</v>
      </c>
      <c r="E525" s="7">
        <v>0.94</v>
      </c>
      <c r="F525" s="7">
        <v>0.33</v>
      </c>
      <c r="G525" s="7">
        <v>0.37</v>
      </c>
      <c r="H525" s="7">
        <v>0.54</v>
      </c>
      <c r="I525" s="7">
        <v>0.6</v>
      </c>
      <c r="J525" s="7">
        <v>0.61</v>
      </c>
      <c r="K525" s="7">
        <v>0.34</v>
      </c>
      <c r="L525" s="7">
        <v>0.23</v>
      </c>
      <c r="M525" s="7">
        <v>0.17</v>
      </c>
      <c r="N525" s="7">
        <v>0.19</v>
      </c>
      <c r="O525" s="7">
        <v>0.22</v>
      </c>
      <c r="P525" s="7">
        <v>0.41</v>
      </c>
      <c r="Q525" s="7">
        <v>0.74</v>
      </c>
      <c r="R525" s="7">
        <v>0.71</v>
      </c>
      <c r="S525" s="7">
        <v>0.6</v>
      </c>
      <c r="T525" s="7">
        <v>0.28999999999999998</v>
      </c>
      <c r="U525" s="7">
        <v>0.52</v>
      </c>
      <c r="V525" s="7">
        <v>0.36</v>
      </c>
      <c r="W525" s="7">
        <v>0.25</v>
      </c>
      <c r="X525" s="7">
        <v>0.1</v>
      </c>
      <c r="Y525" s="7">
        <v>0.1</v>
      </c>
      <c r="Z525" s="7">
        <v>0.28000000000000003</v>
      </c>
      <c r="AA525" s="7">
        <v>0.19</v>
      </c>
      <c r="AB525" s="7">
        <v>0.09</v>
      </c>
      <c r="AC525" s="7">
        <v>0.18</v>
      </c>
    </row>
    <row r="526" spans="1:29" x14ac:dyDescent="0.35">
      <c r="A526" t="s">
        <v>1249</v>
      </c>
      <c r="B526" s="7">
        <v>7.67</v>
      </c>
      <c r="C526" s="7">
        <v>7.67</v>
      </c>
      <c r="D526" s="7">
        <v>7.7</v>
      </c>
      <c r="E526" s="7">
        <v>8.39</v>
      </c>
      <c r="F526" s="7">
        <v>9.34</v>
      </c>
      <c r="G526" s="87">
        <v>8.99</v>
      </c>
      <c r="H526" s="87">
        <v>8.66</v>
      </c>
      <c r="I526" s="87">
        <v>8.66</v>
      </c>
      <c r="J526" s="87">
        <v>8.64</v>
      </c>
      <c r="K526" s="87">
        <v>8.98</v>
      </c>
      <c r="L526" s="7">
        <v>9.42</v>
      </c>
      <c r="M526" s="7">
        <v>9.4600000000000009</v>
      </c>
      <c r="N526" s="7">
        <v>9.48</v>
      </c>
      <c r="O526" s="7">
        <v>9.3800000000000008</v>
      </c>
      <c r="P526" s="7">
        <v>8.8000000000000007</v>
      </c>
      <c r="Q526" s="7">
        <v>8.43</v>
      </c>
      <c r="R526" s="7">
        <v>8.44</v>
      </c>
      <c r="S526" s="7">
        <v>8.4700000000000006</v>
      </c>
      <c r="T526" s="7">
        <v>8.8800000000000008</v>
      </c>
      <c r="U526" s="7">
        <v>8.5500000000000007</v>
      </c>
      <c r="V526" s="7">
        <v>8.4600000000000009</v>
      </c>
      <c r="W526" s="7">
        <v>8.76</v>
      </c>
      <c r="X526" s="7">
        <v>9.3699999999999992</v>
      </c>
      <c r="Y526" s="7">
        <v>9.3699999999999992</v>
      </c>
      <c r="Z526" s="7">
        <v>9.15</v>
      </c>
      <c r="AA526" s="7">
        <v>9</v>
      </c>
      <c r="AB526" s="7">
        <v>8.9600000000000009</v>
      </c>
      <c r="AC526" s="7">
        <v>8.66</v>
      </c>
    </row>
    <row r="527" spans="1:29" x14ac:dyDescent="0.35">
      <c r="A527" t="s">
        <v>1245</v>
      </c>
      <c r="B527" s="7">
        <v>7.69</v>
      </c>
      <c r="C527" s="7">
        <v>7.68</v>
      </c>
      <c r="D527" s="7">
        <v>7.7</v>
      </c>
      <c r="E527" s="7">
        <v>8.5399999999999991</v>
      </c>
      <c r="F527" s="7">
        <v>9.67</v>
      </c>
      <c r="G527" s="7">
        <v>9.11</v>
      </c>
      <c r="H527" s="7">
        <v>8.67</v>
      </c>
      <c r="I527" s="7">
        <v>8.66</v>
      </c>
      <c r="J527" s="7">
        <v>8.65</v>
      </c>
      <c r="K527" s="7">
        <v>9.1</v>
      </c>
      <c r="L527" s="7">
        <v>9.61</v>
      </c>
      <c r="M527" s="7">
        <v>9.6199999999999992</v>
      </c>
      <c r="N527" s="7">
        <v>9.65</v>
      </c>
      <c r="O527" s="7">
        <v>9.56</v>
      </c>
      <c r="P527" s="7">
        <v>8.84</v>
      </c>
      <c r="Q527" s="7">
        <v>8.44</v>
      </c>
      <c r="R527" s="7">
        <v>8.4499999999999993</v>
      </c>
      <c r="S527" s="7">
        <v>8.4700000000000006</v>
      </c>
      <c r="T527" s="7">
        <v>8.9600000000000009</v>
      </c>
      <c r="U527" s="7">
        <v>8.6199999999999992</v>
      </c>
      <c r="V527" s="7">
        <v>8.4700000000000006</v>
      </c>
      <c r="W527" s="7">
        <v>8.8699999999999992</v>
      </c>
      <c r="X527" s="7">
        <v>9.4600000000000009</v>
      </c>
      <c r="Y527" s="7">
        <v>9.4600000000000009</v>
      </c>
      <c r="Z527" s="7">
        <v>9.4</v>
      </c>
      <c r="AA527" s="7">
        <v>9.14</v>
      </c>
      <c r="AB527" s="7">
        <v>8.9700000000000006</v>
      </c>
      <c r="AC527" s="7">
        <v>8.69</v>
      </c>
    </row>
    <row r="530" spans="1:29" s="66" customFormat="1" x14ac:dyDescent="0.35"/>
    <row r="532" spans="1:29" x14ac:dyDescent="0.35">
      <c r="A532" s="49" t="s">
        <v>1355</v>
      </c>
    </row>
    <row r="535" spans="1:29" x14ac:dyDescent="0.35">
      <c r="A535" t="s">
        <v>1240</v>
      </c>
      <c r="B535" s="5">
        <v>46026</v>
      </c>
      <c r="C535" s="5">
        <v>46033</v>
      </c>
      <c r="D535" s="5">
        <v>46040</v>
      </c>
      <c r="E535" s="5">
        <v>46047</v>
      </c>
      <c r="F535" s="5">
        <v>46054</v>
      </c>
      <c r="G535" s="103">
        <v>46061</v>
      </c>
      <c r="H535" s="103">
        <v>46068</v>
      </c>
      <c r="I535" s="5">
        <v>46075</v>
      </c>
      <c r="J535" s="5">
        <v>46082</v>
      </c>
      <c r="K535" s="5">
        <v>46089</v>
      </c>
      <c r="L535" s="5">
        <v>46096</v>
      </c>
      <c r="M535" s="5">
        <v>46103</v>
      </c>
      <c r="N535" s="5">
        <v>46110</v>
      </c>
      <c r="O535" s="5">
        <v>46117</v>
      </c>
      <c r="P535" s="5">
        <v>46124</v>
      </c>
      <c r="Q535" s="5">
        <v>46131</v>
      </c>
      <c r="R535" s="5">
        <v>46138</v>
      </c>
      <c r="S535" s="103">
        <v>46145</v>
      </c>
      <c r="T535" s="103">
        <v>46152</v>
      </c>
      <c r="U535" s="5">
        <v>46159</v>
      </c>
      <c r="V535" s="5">
        <v>46166</v>
      </c>
      <c r="W535" s="5">
        <v>46173</v>
      </c>
      <c r="X535" s="5">
        <v>46180</v>
      </c>
      <c r="Y535" s="5">
        <v>46187</v>
      </c>
      <c r="Z535" s="5">
        <v>46194</v>
      </c>
      <c r="AA535" s="5">
        <v>46201</v>
      </c>
      <c r="AB535" s="5">
        <v>46208</v>
      </c>
      <c r="AC535" s="5">
        <v>46215</v>
      </c>
    </row>
    <row r="536" spans="1:29" x14ac:dyDescent="0.35">
      <c r="A536" t="s">
        <v>1241</v>
      </c>
      <c r="B536">
        <v>547</v>
      </c>
      <c r="C536">
        <v>517</v>
      </c>
      <c r="D536">
        <v>527</v>
      </c>
      <c r="E536">
        <v>528</v>
      </c>
      <c r="F536">
        <v>685</v>
      </c>
      <c r="G536" s="6">
        <v>1654</v>
      </c>
      <c r="H536" s="6">
        <v>2855</v>
      </c>
      <c r="I536" s="6">
        <v>1047</v>
      </c>
      <c r="J536" s="6">
        <v>1494</v>
      </c>
      <c r="K536">
        <v>742</v>
      </c>
      <c r="L536">
        <v>919</v>
      </c>
      <c r="M536">
        <v>936</v>
      </c>
      <c r="N536">
        <v>767</v>
      </c>
      <c r="O536">
        <v>836</v>
      </c>
      <c r="P536">
        <v>822</v>
      </c>
      <c r="Q536">
        <v>955</v>
      </c>
      <c r="R536">
        <v>745</v>
      </c>
      <c r="S536" s="6">
        <v>1213</v>
      </c>
      <c r="T536" s="6">
        <v>1254</v>
      </c>
      <c r="U536">
        <v>925</v>
      </c>
      <c r="V536" s="6">
        <v>1124</v>
      </c>
      <c r="W536" s="6">
        <v>1290</v>
      </c>
      <c r="X536">
        <v>919</v>
      </c>
      <c r="Y536">
        <v>779</v>
      </c>
      <c r="Z536">
        <v>892</v>
      </c>
      <c r="AA536">
        <v>976</v>
      </c>
      <c r="AB536" s="6">
        <v>1436</v>
      </c>
      <c r="AC536">
        <v>906</v>
      </c>
    </row>
    <row r="537" spans="1:29" x14ac:dyDescent="0.35">
      <c r="A537" t="s">
        <v>1242</v>
      </c>
      <c r="B537" s="3">
        <v>1.2E-2</v>
      </c>
      <c r="C537" s="3">
        <v>0</v>
      </c>
      <c r="D537" s="3">
        <v>0</v>
      </c>
      <c r="E537" s="3">
        <v>0</v>
      </c>
      <c r="F537" s="3">
        <v>0</v>
      </c>
      <c r="G537" s="31">
        <v>0.96099999999999997</v>
      </c>
      <c r="H537" s="31">
        <v>1.784</v>
      </c>
      <c r="I537" s="3">
        <v>0</v>
      </c>
      <c r="J537" s="3">
        <v>1.2050000000000001</v>
      </c>
      <c r="K537" s="3">
        <v>0</v>
      </c>
      <c r="L537" s="3">
        <v>2.5999999999999999E-2</v>
      </c>
      <c r="M537" s="3">
        <v>0</v>
      </c>
      <c r="N537" s="3">
        <v>8.9999999999999993E-3</v>
      </c>
      <c r="O537" s="3">
        <v>0.13600000000000001</v>
      </c>
      <c r="P537" s="3">
        <v>6.8000000000000005E-2</v>
      </c>
      <c r="Q537" s="3">
        <v>0</v>
      </c>
      <c r="R537" s="3">
        <v>4.3999999999999997E-2</v>
      </c>
      <c r="S537" s="31">
        <v>0.46300000000000002</v>
      </c>
      <c r="T537" s="31">
        <v>0.57499999999999996</v>
      </c>
      <c r="U537" s="3">
        <v>0</v>
      </c>
      <c r="V537" s="3">
        <v>0.47</v>
      </c>
      <c r="W537" s="3">
        <v>0.59899999999999998</v>
      </c>
      <c r="X537" s="3">
        <v>0.26</v>
      </c>
      <c r="Y537" s="3">
        <v>0</v>
      </c>
      <c r="Z537" s="3">
        <v>0.38400000000000001</v>
      </c>
      <c r="AA537" s="3">
        <v>0.40500000000000003</v>
      </c>
      <c r="AB537" s="3">
        <v>0.61699999999999999</v>
      </c>
      <c r="AC537" s="3">
        <v>0</v>
      </c>
    </row>
    <row r="538" spans="1:29" x14ac:dyDescent="0.35">
      <c r="A538" t="s">
        <v>1243</v>
      </c>
      <c r="B538">
        <v>7</v>
      </c>
      <c r="C538">
        <v>0</v>
      </c>
      <c r="D538">
        <v>0</v>
      </c>
      <c r="E538">
        <v>0</v>
      </c>
      <c r="F538">
        <v>0</v>
      </c>
      <c r="G538">
        <v>811</v>
      </c>
      <c r="H538" s="6">
        <v>1830</v>
      </c>
      <c r="I538">
        <v>0</v>
      </c>
      <c r="J538">
        <v>817</v>
      </c>
      <c r="K538">
        <v>0</v>
      </c>
      <c r="L538">
        <v>23</v>
      </c>
      <c r="M538">
        <v>0</v>
      </c>
      <c r="N538">
        <v>7</v>
      </c>
      <c r="O538">
        <v>100</v>
      </c>
      <c r="P538">
        <v>53</v>
      </c>
      <c r="Q538">
        <v>0</v>
      </c>
      <c r="R538">
        <v>32</v>
      </c>
      <c r="S538">
        <v>384</v>
      </c>
      <c r="T538">
        <v>458</v>
      </c>
      <c r="U538">
        <v>0</v>
      </c>
      <c r="V538">
        <v>359</v>
      </c>
      <c r="W538">
        <v>483</v>
      </c>
      <c r="X538">
        <v>189</v>
      </c>
      <c r="Y538">
        <v>0</v>
      </c>
      <c r="Z538">
        <v>247</v>
      </c>
      <c r="AA538">
        <v>282</v>
      </c>
      <c r="AB538">
        <v>548</v>
      </c>
      <c r="AC538">
        <v>0</v>
      </c>
    </row>
    <row r="539" spans="1:29" x14ac:dyDescent="0.35">
      <c r="A539" t="s">
        <v>1244</v>
      </c>
      <c r="B539">
        <v>541</v>
      </c>
      <c r="C539">
        <v>517</v>
      </c>
      <c r="D539">
        <v>527</v>
      </c>
      <c r="E539">
        <v>528</v>
      </c>
      <c r="F539">
        <v>685</v>
      </c>
      <c r="G539">
        <v>843</v>
      </c>
      <c r="H539" s="6">
        <v>1025</v>
      </c>
      <c r="I539" s="6">
        <v>1047</v>
      </c>
      <c r="J539">
        <v>677</v>
      </c>
      <c r="K539">
        <v>742</v>
      </c>
      <c r="L539">
        <v>896</v>
      </c>
      <c r="M539">
        <v>936</v>
      </c>
      <c r="N539">
        <v>760</v>
      </c>
      <c r="O539">
        <v>736</v>
      </c>
      <c r="P539">
        <v>769</v>
      </c>
      <c r="Q539">
        <v>955</v>
      </c>
      <c r="R539">
        <v>713</v>
      </c>
      <c r="S539">
        <v>829</v>
      </c>
      <c r="T539">
        <v>796</v>
      </c>
      <c r="U539">
        <v>925</v>
      </c>
      <c r="V539">
        <v>765</v>
      </c>
      <c r="W539">
        <v>807</v>
      </c>
      <c r="X539">
        <v>730</v>
      </c>
      <c r="Y539">
        <v>779</v>
      </c>
      <c r="Z539">
        <v>645</v>
      </c>
      <c r="AA539">
        <v>695</v>
      </c>
      <c r="AB539">
        <v>888</v>
      </c>
      <c r="AC539">
        <v>906</v>
      </c>
    </row>
    <row r="540" spans="1:29" x14ac:dyDescent="0.35">
      <c r="A540" t="s">
        <v>1245</v>
      </c>
      <c r="B540" s="7">
        <v>3.25</v>
      </c>
      <c r="C540" s="7">
        <v>3.29</v>
      </c>
      <c r="D540" s="7">
        <v>3.29</v>
      </c>
      <c r="E540" s="7">
        <v>3.26</v>
      </c>
      <c r="F540" s="7">
        <v>3.29</v>
      </c>
      <c r="G540" s="7">
        <v>2.12</v>
      </c>
      <c r="H540" s="7">
        <v>1.68</v>
      </c>
      <c r="I540" s="7">
        <v>2.98</v>
      </c>
      <c r="J540" s="7">
        <v>2.04</v>
      </c>
      <c r="K540" s="7">
        <v>3.29</v>
      </c>
      <c r="L540" s="7">
        <v>3.23</v>
      </c>
      <c r="M540" s="7">
        <v>3.14</v>
      </c>
      <c r="N540" s="7">
        <v>3.24</v>
      </c>
      <c r="O540" s="7">
        <v>3.19</v>
      </c>
      <c r="P540" s="7">
        <v>3.14</v>
      </c>
      <c r="Q540" s="7">
        <v>3.27</v>
      </c>
      <c r="R540" s="7">
        <v>3.14</v>
      </c>
      <c r="S540" s="7">
        <v>2.5</v>
      </c>
      <c r="T540" s="7">
        <v>2.5</v>
      </c>
      <c r="U540" s="7">
        <v>3.22</v>
      </c>
      <c r="V540" s="7">
        <v>2.5</v>
      </c>
      <c r="W540" s="7">
        <v>2.5</v>
      </c>
      <c r="X540" s="7">
        <v>2.86</v>
      </c>
      <c r="Y540" s="7">
        <v>3.21</v>
      </c>
      <c r="Z540" s="7">
        <v>2.58</v>
      </c>
      <c r="AA540" s="7">
        <v>2.57</v>
      </c>
      <c r="AB540" s="7">
        <v>2.5</v>
      </c>
      <c r="AC540" s="7">
        <v>2.85</v>
      </c>
    </row>
    <row r="541" spans="1:29" x14ac:dyDescent="0.35">
      <c r="G541">
        <f>SUM(G539:H539)</f>
        <v>1868</v>
      </c>
      <c r="H541">
        <f>SUM(G538:H538)</f>
        <v>2641</v>
      </c>
      <c r="S541" s="20">
        <f>SUM(S539:T539)</f>
        <v>1625</v>
      </c>
      <c r="T541">
        <f>SUM(S538:T538)</f>
        <v>842</v>
      </c>
    </row>
    <row r="543" spans="1:29" x14ac:dyDescent="0.35">
      <c r="A543" t="s">
        <v>1240</v>
      </c>
      <c r="B543" s="5">
        <v>46026</v>
      </c>
      <c r="C543" s="5">
        <v>46033</v>
      </c>
      <c r="D543" s="5">
        <v>46040</v>
      </c>
      <c r="E543" s="5">
        <v>46047</v>
      </c>
      <c r="F543" s="5">
        <v>46054</v>
      </c>
      <c r="G543" s="103">
        <v>46061</v>
      </c>
      <c r="H543" s="103">
        <v>46068</v>
      </c>
      <c r="I543" s="5">
        <v>46075</v>
      </c>
      <c r="J543" s="5">
        <v>46082</v>
      </c>
      <c r="K543" s="5">
        <v>46089</v>
      </c>
      <c r="L543" s="5">
        <v>46096</v>
      </c>
      <c r="M543" s="5">
        <v>46103</v>
      </c>
      <c r="N543" s="5">
        <v>46110</v>
      </c>
      <c r="O543" s="5">
        <v>46117</v>
      </c>
      <c r="P543" s="5">
        <v>46124</v>
      </c>
      <c r="Q543" s="5">
        <v>46131</v>
      </c>
      <c r="R543" s="5">
        <v>46138</v>
      </c>
      <c r="S543" s="104">
        <v>46145</v>
      </c>
      <c r="T543" s="104">
        <v>46152</v>
      </c>
      <c r="U543" s="5">
        <v>46159</v>
      </c>
      <c r="V543" s="5">
        <v>46166</v>
      </c>
      <c r="W543" s="5">
        <v>46173</v>
      </c>
      <c r="X543" s="5">
        <v>46180</v>
      </c>
      <c r="Y543" s="5">
        <v>46187</v>
      </c>
      <c r="Z543" s="5">
        <v>46194</v>
      </c>
      <c r="AA543" s="5">
        <v>46201</v>
      </c>
      <c r="AB543" s="5">
        <v>46208</v>
      </c>
      <c r="AC543" s="5">
        <v>46215</v>
      </c>
    </row>
    <row r="544" spans="1:29" x14ac:dyDescent="0.35">
      <c r="A544" t="s">
        <v>1293</v>
      </c>
      <c r="B544" s="3">
        <v>0.01</v>
      </c>
      <c r="C544" s="3">
        <v>0</v>
      </c>
      <c r="D544" s="3">
        <v>0</v>
      </c>
      <c r="E544" s="3">
        <v>0</v>
      </c>
      <c r="F544" s="3">
        <v>0</v>
      </c>
      <c r="G544" s="31">
        <v>0.34699999999999998</v>
      </c>
      <c r="H544" s="31">
        <v>0.59699999999999998</v>
      </c>
      <c r="I544" s="3">
        <v>0</v>
      </c>
      <c r="J544" s="3">
        <v>0.47599999999999998</v>
      </c>
      <c r="K544" s="3">
        <v>0</v>
      </c>
      <c r="L544" s="3">
        <v>1.6E-2</v>
      </c>
      <c r="M544" s="3">
        <v>0</v>
      </c>
      <c r="N544" s="3">
        <v>6.0000000000000001E-3</v>
      </c>
      <c r="O544" s="3">
        <v>0.11799999999999999</v>
      </c>
      <c r="P544" s="3">
        <v>5.0999999999999997E-2</v>
      </c>
      <c r="Q544" s="3">
        <v>0</v>
      </c>
      <c r="R544" s="3">
        <v>3.3000000000000002E-2</v>
      </c>
      <c r="S544" s="34">
        <v>0.22</v>
      </c>
      <c r="T544" s="34">
        <v>0.311</v>
      </c>
      <c r="U544" s="3">
        <v>0</v>
      </c>
      <c r="V544" s="3">
        <v>0.22700000000000001</v>
      </c>
      <c r="W544" s="3">
        <v>0.34100000000000003</v>
      </c>
      <c r="X544" s="3">
        <v>0.155</v>
      </c>
      <c r="Y544" s="3">
        <v>0</v>
      </c>
      <c r="Z544" s="3">
        <v>0.20599999999999999</v>
      </c>
      <c r="AA544" s="3">
        <v>0.247</v>
      </c>
      <c r="AB544" s="3">
        <v>0.45</v>
      </c>
      <c r="AC544" s="3">
        <v>0</v>
      </c>
    </row>
    <row r="545" spans="1:29" x14ac:dyDescent="0.35">
      <c r="A545" t="s">
        <v>1247</v>
      </c>
      <c r="B545" s="3">
        <v>0.10199999999999999</v>
      </c>
      <c r="C545" t="s">
        <v>1272</v>
      </c>
      <c r="D545" t="s">
        <v>1272</v>
      </c>
      <c r="E545" t="s">
        <v>1272</v>
      </c>
      <c r="F545" t="s">
        <v>1272</v>
      </c>
      <c r="G545" s="31">
        <v>0.35</v>
      </c>
      <c r="H545" s="31">
        <v>0.42899999999999999</v>
      </c>
      <c r="I545" s="3">
        <v>-0.05</v>
      </c>
      <c r="J545" s="3">
        <v>0.34399999999999997</v>
      </c>
      <c r="K545" s="3">
        <v>9.0999999999999998E-2</v>
      </c>
      <c r="L545" s="3">
        <v>8.3000000000000004E-2</v>
      </c>
      <c r="M545" t="s">
        <v>1272</v>
      </c>
      <c r="N545" s="3">
        <v>8.1000000000000003E-2</v>
      </c>
      <c r="O545" s="3">
        <v>6.8000000000000005E-2</v>
      </c>
      <c r="P545" s="3">
        <v>6.3E-2</v>
      </c>
      <c r="Q545" t="s">
        <v>1272</v>
      </c>
      <c r="R545" s="3">
        <v>5.7000000000000002E-2</v>
      </c>
      <c r="S545" s="3">
        <v>0.16600000000000001</v>
      </c>
      <c r="T545" s="3">
        <v>0.16800000000000001</v>
      </c>
      <c r="U545" t="s">
        <v>1272</v>
      </c>
      <c r="V545" s="3">
        <v>0.16500000000000001</v>
      </c>
      <c r="W545" s="3">
        <v>0.161</v>
      </c>
      <c r="X545" s="3">
        <v>0.185</v>
      </c>
      <c r="Y545" t="s">
        <v>1272</v>
      </c>
      <c r="Z545" s="3">
        <v>0.154</v>
      </c>
      <c r="AA545" s="3">
        <v>0.13700000000000001</v>
      </c>
      <c r="AB545" s="3">
        <v>0.10299999999999999</v>
      </c>
      <c r="AC545" t="s">
        <v>1272</v>
      </c>
    </row>
    <row r="546" spans="1:29" x14ac:dyDescent="0.35">
      <c r="A546" t="s">
        <v>1248</v>
      </c>
      <c r="B546" s="7">
        <v>0.33</v>
      </c>
      <c r="C546" t="s">
        <v>1272</v>
      </c>
      <c r="D546" t="s">
        <v>1272</v>
      </c>
      <c r="E546" t="s">
        <v>1272</v>
      </c>
      <c r="F546" t="s">
        <v>1272</v>
      </c>
      <c r="G546" s="7">
        <v>1.08</v>
      </c>
      <c r="H546" s="7">
        <v>1.25</v>
      </c>
      <c r="I546" s="7">
        <v>-0.15</v>
      </c>
      <c r="J546" s="7">
        <v>1.05</v>
      </c>
      <c r="K546" s="7">
        <v>0.3</v>
      </c>
      <c r="L546" s="7">
        <v>0.27</v>
      </c>
      <c r="M546" t="s">
        <v>1272</v>
      </c>
      <c r="N546" s="7">
        <v>0.26</v>
      </c>
      <c r="O546" s="7">
        <v>0.22</v>
      </c>
      <c r="P546" s="7">
        <v>0.2</v>
      </c>
      <c r="Q546" t="s">
        <v>1272</v>
      </c>
      <c r="R546" s="7">
        <v>0.18</v>
      </c>
      <c r="S546" s="7">
        <v>0.5</v>
      </c>
      <c r="T546" s="7">
        <v>0.5</v>
      </c>
      <c r="U546" t="s">
        <v>1272</v>
      </c>
      <c r="V546" s="7">
        <v>0.49</v>
      </c>
      <c r="W546" s="7">
        <v>0.48</v>
      </c>
      <c r="X546" s="7">
        <v>0.57999999999999996</v>
      </c>
      <c r="Y546" t="s">
        <v>1272</v>
      </c>
      <c r="Z546" s="7">
        <v>0.45</v>
      </c>
      <c r="AA546" s="7">
        <v>0.4</v>
      </c>
      <c r="AB546" s="7">
        <v>0.28999999999999998</v>
      </c>
      <c r="AC546" t="s">
        <v>1272</v>
      </c>
    </row>
    <row r="547" spans="1:29" x14ac:dyDescent="0.35">
      <c r="A547" t="s">
        <v>1249</v>
      </c>
      <c r="B547" s="7">
        <v>2.92</v>
      </c>
      <c r="C547" t="s">
        <v>1272</v>
      </c>
      <c r="D547" t="s">
        <v>1272</v>
      </c>
      <c r="E547" t="s">
        <v>1272</v>
      </c>
      <c r="F547" t="s">
        <v>1272</v>
      </c>
      <c r="G547" s="7">
        <v>2.0099999999999998</v>
      </c>
      <c r="H547" s="7">
        <v>1.67</v>
      </c>
      <c r="I547" s="7">
        <v>3.14</v>
      </c>
      <c r="J547" s="7">
        <v>2</v>
      </c>
      <c r="K547" s="7">
        <v>2.99</v>
      </c>
      <c r="L547" s="7">
        <v>2.99</v>
      </c>
      <c r="M547" t="s">
        <v>1272</v>
      </c>
      <c r="N547" s="7">
        <v>2.99</v>
      </c>
      <c r="O547" s="7">
        <v>3.02</v>
      </c>
      <c r="P547" s="7">
        <v>2.99</v>
      </c>
      <c r="Q547" t="s">
        <v>1272</v>
      </c>
      <c r="R547" s="7">
        <v>2.99</v>
      </c>
      <c r="S547" s="7">
        <v>2.5</v>
      </c>
      <c r="T547" s="7">
        <v>2.5</v>
      </c>
      <c r="U547" t="s">
        <v>1272</v>
      </c>
      <c r="V547" s="7">
        <v>2.5</v>
      </c>
      <c r="W547" s="7">
        <v>2.5</v>
      </c>
      <c r="X547" s="7">
        <v>2.54</v>
      </c>
      <c r="Y547" t="s">
        <v>1272</v>
      </c>
      <c r="Z547" s="7">
        <v>2.5</v>
      </c>
      <c r="AA547" s="7">
        <v>2.5</v>
      </c>
      <c r="AB547" s="7">
        <v>2.5</v>
      </c>
      <c r="AC547" t="s">
        <v>1272</v>
      </c>
    </row>
    <row r="548" spans="1:29" x14ac:dyDescent="0.35">
      <c r="A548" t="s">
        <v>1245</v>
      </c>
      <c r="B548" s="7">
        <v>3.25</v>
      </c>
      <c r="C548" s="7">
        <v>3.29</v>
      </c>
      <c r="D548" s="7">
        <v>3.29</v>
      </c>
      <c r="E548" s="7">
        <v>3.26</v>
      </c>
      <c r="F548" s="7">
        <v>3.29</v>
      </c>
      <c r="G548" s="7">
        <v>2.12</v>
      </c>
      <c r="H548" s="7">
        <v>1.68</v>
      </c>
      <c r="I548" s="7">
        <v>2.98</v>
      </c>
      <c r="J548" s="7">
        <v>2.04</v>
      </c>
      <c r="K548" s="7">
        <v>3.29</v>
      </c>
      <c r="L548" s="7">
        <v>3.23</v>
      </c>
      <c r="M548" s="7">
        <v>3.14</v>
      </c>
      <c r="N548" s="7">
        <v>3.24</v>
      </c>
      <c r="O548" s="7">
        <v>3.19</v>
      </c>
      <c r="P548" s="7">
        <v>3.14</v>
      </c>
      <c r="Q548" s="7">
        <v>3.27</v>
      </c>
      <c r="R548" s="7">
        <v>3.14</v>
      </c>
      <c r="S548" s="7">
        <v>2.5</v>
      </c>
      <c r="T548" s="7">
        <v>2.5</v>
      </c>
      <c r="U548" s="7">
        <v>3.22</v>
      </c>
      <c r="V548" s="7">
        <v>2.5</v>
      </c>
      <c r="W548" s="7">
        <v>2.5</v>
      </c>
      <c r="X548" s="7">
        <v>2.86</v>
      </c>
      <c r="Y548" s="7">
        <v>3.21</v>
      </c>
      <c r="Z548" s="7">
        <v>2.58</v>
      </c>
      <c r="AA548" s="7">
        <v>2.57</v>
      </c>
      <c r="AB548" s="7">
        <v>2.5</v>
      </c>
      <c r="AC548" s="7">
        <v>2.85</v>
      </c>
    </row>
    <row r="552" spans="1:29" s="66" customFormat="1" x14ac:dyDescent="0.35"/>
    <row r="553" spans="1:29" x14ac:dyDescent="0.35">
      <c r="A553" s="4" t="s">
        <v>1358</v>
      </c>
    </row>
    <row r="555" spans="1:29" x14ac:dyDescent="0.35">
      <c r="A555" t="s">
        <v>1240</v>
      </c>
      <c r="B555" s="5">
        <v>46026</v>
      </c>
      <c r="C555" s="5">
        <v>46033</v>
      </c>
      <c r="D555" s="5">
        <v>46040</v>
      </c>
      <c r="E555" s="5">
        <v>46047</v>
      </c>
      <c r="F555" s="5">
        <v>46054</v>
      </c>
      <c r="G555" s="5">
        <v>46061</v>
      </c>
      <c r="H555" s="5">
        <v>46068</v>
      </c>
      <c r="I555" s="5">
        <v>46075</v>
      </c>
      <c r="J555" s="5">
        <v>46082</v>
      </c>
      <c r="K555" s="5">
        <v>46089</v>
      </c>
      <c r="L555" s="5">
        <v>46096</v>
      </c>
      <c r="M555" s="5">
        <v>46103</v>
      </c>
      <c r="N555" s="5">
        <v>46110</v>
      </c>
      <c r="O555" s="5">
        <v>46117</v>
      </c>
      <c r="P555" s="84">
        <v>46124</v>
      </c>
      <c r="Q555" s="84">
        <v>46131</v>
      </c>
      <c r="R555" s="84">
        <v>46138</v>
      </c>
      <c r="S555" s="84">
        <v>46145</v>
      </c>
      <c r="T555" s="5">
        <v>46152</v>
      </c>
      <c r="U555" s="5">
        <v>46159</v>
      </c>
      <c r="V555" s="5">
        <v>46166</v>
      </c>
      <c r="W555" s="5">
        <v>46173</v>
      </c>
      <c r="X555" s="5">
        <v>46180</v>
      </c>
      <c r="Y555" s="5">
        <v>46187</v>
      </c>
      <c r="Z555" s="5">
        <v>46194</v>
      </c>
      <c r="AA555" s="5">
        <v>46201</v>
      </c>
      <c r="AB555" s="5">
        <v>46208</v>
      </c>
      <c r="AC555" s="5">
        <v>46215</v>
      </c>
    </row>
    <row r="556" spans="1:29" x14ac:dyDescent="0.35">
      <c r="A556" t="s">
        <v>1241</v>
      </c>
      <c r="B556">
        <v>343</v>
      </c>
      <c r="C556">
        <v>531</v>
      </c>
      <c r="D556">
        <v>714</v>
      </c>
      <c r="E556">
        <v>523</v>
      </c>
      <c r="F556">
        <v>670</v>
      </c>
      <c r="G556">
        <v>564</v>
      </c>
      <c r="H556">
        <v>412</v>
      </c>
      <c r="I556">
        <v>489</v>
      </c>
      <c r="J556">
        <v>599</v>
      </c>
      <c r="K556">
        <v>459</v>
      </c>
      <c r="L556">
        <v>514</v>
      </c>
      <c r="M556">
        <v>418</v>
      </c>
      <c r="N556">
        <v>538</v>
      </c>
      <c r="O556">
        <v>563</v>
      </c>
      <c r="P556">
        <v>642</v>
      </c>
      <c r="Q556">
        <v>754</v>
      </c>
      <c r="R556">
        <v>736</v>
      </c>
      <c r="S556">
        <v>737</v>
      </c>
      <c r="T556">
        <v>600</v>
      </c>
      <c r="U556">
        <v>505</v>
      </c>
      <c r="V556">
        <v>438</v>
      </c>
      <c r="W556">
        <v>577</v>
      </c>
      <c r="X556">
        <v>533</v>
      </c>
      <c r="Y556">
        <v>513</v>
      </c>
      <c r="Z556">
        <v>595</v>
      </c>
      <c r="AA556">
        <v>387</v>
      </c>
      <c r="AB556">
        <v>551</v>
      </c>
      <c r="AC556">
        <v>660</v>
      </c>
    </row>
    <row r="557" spans="1:29" x14ac:dyDescent="0.35">
      <c r="A557" t="s">
        <v>1242</v>
      </c>
      <c r="B557" s="3">
        <v>0</v>
      </c>
      <c r="C557" s="85">
        <v>0.435</v>
      </c>
      <c r="D557" s="85">
        <v>0.40300000000000002</v>
      </c>
      <c r="E557" s="85">
        <v>0.33500000000000002</v>
      </c>
      <c r="F557" s="85">
        <v>0.43099999999999999</v>
      </c>
      <c r="G557" s="3">
        <v>0.17</v>
      </c>
      <c r="H557" s="3">
        <v>0</v>
      </c>
      <c r="I557" s="3">
        <v>0</v>
      </c>
      <c r="J557" s="3">
        <v>0</v>
      </c>
      <c r="K557" s="3">
        <v>0</v>
      </c>
      <c r="L557" s="3">
        <v>0</v>
      </c>
      <c r="M557" s="3">
        <v>0</v>
      </c>
      <c r="N557" s="3">
        <v>0</v>
      </c>
      <c r="O557" s="3">
        <v>8.6999999999999994E-2</v>
      </c>
      <c r="P557" s="85">
        <v>0.35299999999999998</v>
      </c>
      <c r="Q557" s="85">
        <v>0.55400000000000005</v>
      </c>
      <c r="R557" s="85">
        <v>0.36699999999999999</v>
      </c>
      <c r="S557" s="85">
        <v>0.36899999999999999</v>
      </c>
      <c r="T557" s="3">
        <v>0</v>
      </c>
      <c r="U557" s="3">
        <v>1.0999999999999999E-2</v>
      </c>
      <c r="V557" s="3">
        <v>9.6000000000000002E-2</v>
      </c>
      <c r="W557" s="3">
        <v>5.7000000000000002E-2</v>
      </c>
      <c r="X557" s="3">
        <v>6.9000000000000006E-2</v>
      </c>
      <c r="Y557" s="3">
        <v>4.2000000000000003E-2</v>
      </c>
      <c r="Z557" s="3">
        <v>1.7999999999999999E-2</v>
      </c>
      <c r="AA557" s="3">
        <v>3.1E-2</v>
      </c>
      <c r="AB557" s="3">
        <v>0.19400000000000001</v>
      </c>
      <c r="AC557" s="3">
        <v>0.375</v>
      </c>
    </row>
    <row r="558" spans="1:29" x14ac:dyDescent="0.35">
      <c r="A558" t="s">
        <v>1243</v>
      </c>
      <c r="B558">
        <v>0</v>
      </c>
      <c r="C558">
        <v>161</v>
      </c>
      <c r="D558">
        <v>205</v>
      </c>
      <c r="E558">
        <v>131</v>
      </c>
      <c r="F558">
        <v>202</v>
      </c>
      <c r="G558">
        <v>82</v>
      </c>
      <c r="H558">
        <v>0</v>
      </c>
      <c r="I558">
        <v>0</v>
      </c>
      <c r="J558">
        <v>0</v>
      </c>
      <c r="K558">
        <v>0</v>
      </c>
      <c r="L558">
        <v>0</v>
      </c>
      <c r="M558">
        <v>0</v>
      </c>
      <c r="N558">
        <v>0</v>
      </c>
      <c r="O558">
        <v>45</v>
      </c>
      <c r="P558">
        <v>168</v>
      </c>
      <c r="Q558">
        <v>269</v>
      </c>
      <c r="R558">
        <v>198</v>
      </c>
      <c r="S558">
        <v>199</v>
      </c>
      <c r="T558">
        <v>0</v>
      </c>
      <c r="U558">
        <v>6</v>
      </c>
      <c r="V558">
        <v>38</v>
      </c>
      <c r="W558">
        <v>31</v>
      </c>
      <c r="X558">
        <v>35</v>
      </c>
      <c r="Y558">
        <v>21</v>
      </c>
      <c r="Z558">
        <v>11</v>
      </c>
      <c r="AA558">
        <v>12</v>
      </c>
      <c r="AB558">
        <v>90</v>
      </c>
      <c r="AC558">
        <v>180</v>
      </c>
    </row>
    <row r="559" spans="1:29" x14ac:dyDescent="0.35">
      <c r="A559" t="s">
        <v>1244</v>
      </c>
      <c r="B559">
        <v>343</v>
      </c>
      <c r="C559">
        <v>370</v>
      </c>
      <c r="D559">
        <v>509</v>
      </c>
      <c r="E559">
        <v>392</v>
      </c>
      <c r="F559">
        <v>468</v>
      </c>
      <c r="G559">
        <v>482</v>
      </c>
      <c r="H559">
        <v>412</v>
      </c>
      <c r="I559">
        <v>489</v>
      </c>
      <c r="J559">
        <v>599</v>
      </c>
      <c r="K559">
        <v>459</v>
      </c>
      <c r="L559">
        <v>514</v>
      </c>
      <c r="M559">
        <v>418</v>
      </c>
      <c r="N559">
        <v>538</v>
      </c>
      <c r="O559">
        <v>518</v>
      </c>
      <c r="P559">
        <v>475</v>
      </c>
      <c r="Q559">
        <v>485</v>
      </c>
      <c r="R559">
        <v>539</v>
      </c>
      <c r="S559">
        <v>538</v>
      </c>
      <c r="T559">
        <v>600</v>
      </c>
      <c r="U559">
        <v>499</v>
      </c>
      <c r="V559">
        <v>399</v>
      </c>
      <c r="W559">
        <v>546</v>
      </c>
      <c r="X559">
        <v>498</v>
      </c>
      <c r="Y559">
        <v>492</v>
      </c>
      <c r="Z559">
        <v>584</v>
      </c>
      <c r="AA559">
        <v>375</v>
      </c>
      <c r="AB559">
        <v>461</v>
      </c>
      <c r="AC559">
        <v>480</v>
      </c>
    </row>
    <row r="560" spans="1:29" x14ac:dyDescent="0.35">
      <c r="A560" t="s">
        <v>1245</v>
      </c>
      <c r="B560" s="7">
        <v>2.99</v>
      </c>
      <c r="C560" s="7">
        <v>2.62</v>
      </c>
      <c r="D560" s="7">
        <v>2.61</v>
      </c>
      <c r="E560" s="7">
        <v>2.62</v>
      </c>
      <c r="F560" s="7">
        <v>2.63</v>
      </c>
      <c r="G560" s="7">
        <v>2.78</v>
      </c>
      <c r="H560" s="7">
        <v>2.99</v>
      </c>
      <c r="I560" s="7">
        <v>2.99</v>
      </c>
      <c r="J560" s="7">
        <v>2.99</v>
      </c>
      <c r="K560" s="7">
        <v>2.99</v>
      </c>
      <c r="L560" s="7">
        <v>2.99</v>
      </c>
      <c r="M560" s="7">
        <v>2.99</v>
      </c>
      <c r="N560" s="7">
        <v>2.99</v>
      </c>
      <c r="O560" s="7">
        <v>2.86</v>
      </c>
      <c r="P560" s="7">
        <v>2.66</v>
      </c>
      <c r="Q560" s="7">
        <v>2.64</v>
      </c>
      <c r="R560" s="7">
        <v>2.63</v>
      </c>
      <c r="S560" s="7">
        <v>2.64</v>
      </c>
      <c r="T560" s="7">
        <v>2.94</v>
      </c>
      <c r="U560" s="7">
        <v>2.93</v>
      </c>
      <c r="V560" s="7">
        <v>2.9</v>
      </c>
      <c r="W560" s="7">
        <v>2.89</v>
      </c>
      <c r="X560" s="7">
        <v>2.88</v>
      </c>
      <c r="Y560" s="7">
        <v>2.87</v>
      </c>
      <c r="Z560" s="7">
        <v>2.9</v>
      </c>
      <c r="AA560" s="7">
        <v>2.86</v>
      </c>
      <c r="AB560" s="7">
        <v>2.83</v>
      </c>
      <c r="AC560" s="7">
        <v>2.7</v>
      </c>
    </row>
    <row r="561" spans="1:29" x14ac:dyDescent="0.35">
      <c r="C561">
        <f>SUM(C559:F559)</f>
        <v>1739</v>
      </c>
      <c r="D561">
        <f>SUM(C558:F558)</f>
        <v>699</v>
      </c>
      <c r="P561">
        <f>SUM(P559:S559)</f>
        <v>2037</v>
      </c>
      <c r="Q561">
        <f>SUM(P558:S558)</f>
        <v>834</v>
      </c>
    </row>
    <row r="562" spans="1:29" x14ac:dyDescent="0.35">
      <c r="A562" t="s">
        <v>1240</v>
      </c>
      <c r="B562" s="5">
        <v>46026</v>
      </c>
      <c r="C562" s="5">
        <v>46033</v>
      </c>
      <c r="D562" s="5">
        <v>46040</v>
      </c>
      <c r="E562" s="5">
        <v>46047</v>
      </c>
      <c r="F562" s="5">
        <v>46054</v>
      </c>
      <c r="G562" s="5">
        <v>46061</v>
      </c>
      <c r="H562" s="5">
        <v>46068</v>
      </c>
      <c r="I562" s="5">
        <v>46075</v>
      </c>
      <c r="J562" s="5">
        <v>46082</v>
      </c>
      <c r="K562" s="5">
        <v>46089</v>
      </c>
      <c r="L562" s="5">
        <v>46096</v>
      </c>
      <c r="M562" s="5">
        <v>46103</v>
      </c>
      <c r="N562" s="5">
        <v>46110</v>
      </c>
      <c r="O562" s="5">
        <v>46117</v>
      </c>
      <c r="P562" s="5">
        <v>46124</v>
      </c>
      <c r="Q562" s="5">
        <v>46131</v>
      </c>
      <c r="R562" s="5">
        <v>46138</v>
      </c>
      <c r="S562" s="5">
        <v>46145</v>
      </c>
      <c r="T562" s="5">
        <v>46152</v>
      </c>
      <c r="U562" s="5">
        <v>46159</v>
      </c>
      <c r="V562" s="5">
        <v>46166</v>
      </c>
      <c r="W562" s="5">
        <v>46173</v>
      </c>
      <c r="X562" s="5">
        <v>46180</v>
      </c>
      <c r="Y562" s="5">
        <v>46187</v>
      </c>
      <c r="Z562" s="5">
        <v>46194</v>
      </c>
      <c r="AA562" s="5">
        <v>46201</v>
      </c>
      <c r="AB562" s="5">
        <v>46208</v>
      </c>
      <c r="AC562" s="5">
        <v>46215</v>
      </c>
    </row>
    <row r="563" spans="1:29" x14ac:dyDescent="0.35">
      <c r="A563" t="s">
        <v>1242</v>
      </c>
      <c r="B563" s="3">
        <v>0</v>
      </c>
      <c r="C563" s="85">
        <v>0.435</v>
      </c>
      <c r="D563" s="85">
        <v>0.40300000000000002</v>
      </c>
      <c r="E563" s="85">
        <v>0.33500000000000002</v>
      </c>
      <c r="F563" s="85">
        <v>0.43099999999999999</v>
      </c>
      <c r="G563" s="3">
        <v>0.17</v>
      </c>
      <c r="H563" s="3">
        <v>0</v>
      </c>
      <c r="I563" s="3">
        <v>0</v>
      </c>
      <c r="J563" s="3">
        <v>0</v>
      </c>
      <c r="K563" s="3">
        <v>0</v>
      </c>
      <c r="L563" s="3">
        <v>0</v>
      </c>
      <c r="M563" s="3">
        <v>0</v>
      </c>
      <c r="N563" s="3">
        <v>0</v>
      </c>
      <c r="O563" s="3">
        <v>8.6999999999999994E-2</v>
      </c>
      <c r="P563" s="3">
        <v>0.35299999999999998</v>
      </c>
      <c r="Q563" s="3">
        <v>0.55400000000000005</v>
      </c>
      <c r="R563" s="3">
        <v>0.36699999999999999</v>
      </c>
      <c r="S563" s="3">
        <v>0.36899999999999999</v>
      </c>
      <c r="T563" s="3">
        <v>0</v>
      </c>
      <c r="U563" s="3">
        <v>1.0999999999999999E-2</v>
      </c>
      <c r="V563" s="3">
        <v>9.6000000000000002E-2</v>
      </c>
      <c r="W563" s="3">
        <v>5.7000000000000002E-2</v>
      </c>
      <c r="X563" s="3">
        <v>6.9000000000000006E-2</v>
      </c>
      <c r="Y563" s="3">
        <v>4.2000000000000003E-2</v>
      </c>
      <c r="Z563" s="3">
        <v>1.7999999999999999E-2</v>
      </c>
      <c r="AA563" s="3">
        <v>3.1E-2</v>
      </c>
      <c r="AB563" s="3">
        <v>0.19400000000000001</v>
      </c>
      <c r="AC563" s="3">
        <v>0.375</v>
      </c>
    </row>
    <row r="564" spans="1:29" x14ac:dyDescent="0.35">
      <c r="A564" t="s">
        <v>1247</v>
      </c>
      <c r="B564" t="s">
        <v>1272</v>
      </c>
      <c r="C564" s="85">
        <v>9.6000000000000002E-2</v>
      </c>
      <c r="D564" s="85">
        <v>7.8E-2</v>
      </c>
      <c r="E564" s="85">
        <v>8.5999999999999993E-2</v>
      </c>
      <c r="F564" s="85">
        <v>8.2000000000000003E-2</v>
      </c>
      <c r="G564" s="3">
        <v>9.7000000000000003E-2</v>
      </c>
      <c r="H564" t="s">
        <v>1272</v>
      </c>
      <c r="I564" t="s">
        <v>1272</v>
      </c>
      <c r="J564" t="s">
        <v>1272</v>
      </c>
      <c r="K564" t="s">
        <v>1272</v>
      </c>
      <c r="L564" t="s">
        <v>1272</v>
      </c>
      <c r="M564" t="s">
        <v>1272</v>
      </c>
      <c r="N564" t="s">
        <v>1272</v>
      </c>
      <c r="O564" s="3">
        <v>9.5000000000000001E-2</v>
      </c>
      <c r="P564" s="85">
        <v>8.1000000000000003E-2</v>
      </c>
      <c r="Q564" s="85">
        <v>0.10100000000000001</v>
      </c>
      <c r="R564" s="85">
        <v>9.7000000000000003E-2</v>
      </c>
      <c r="S564" s="85">
        <v>8.3000000000000004E-2</v>
      </c>
      <c r="T564" t="s">
        <v>1272</v>
      </c>
      <c r="U564" s="3">
        <v>6.0999999999999999E-2</v>
      </c>
      <c r="V564" s="3">
        <v>5.6000000000000001E-2</v>
      </c>
      <c r="W564" s="3">
        <v>5.3999999999999999E-2</v>
      </c>
      <c r="X564" s="3">
        <v>8.8999999999999996E-2</v>
      </c>
      <c r="Y564" s="3">
        <v>7.8E-2</v>
      </c>
      <c r="Z564" s="3">
        <v>8.3000000000000004E-2</v>
      </c>
      <c r="AA564" s="3">
        <v>0.13</v>
      </c>
      <c r="AB564" s="3">
        <v>9.2999999999999999E-2</v>
      </c>
      <c r="AC564" s="3">
        <v>0.109</v>
      </c>
    </row>
    <row r="565" spans="1:29" x14ac:dyDescent="0.35">
      <c r="A565" t="s">
        <v>1248</v>
      </c>
      <c r="B565" t="s">
        <v>1272</v>
      </c>
      <c r="C565" s="7">
        <v>0.27</v>
      </c>
      <c r="D565" s="7">
        <v>0.22</v>
      </c>
      <c r="E565" s="7">
        <v>0.24</v>
      </c>
      <c r="F565" s="7">
        <v>0.23</v>
      </c>
      <c r="G565" s="7">
        <v>0.28000000000000003</v>
      </c>
      <c r="H565" t="s">
        <v>1272</v>
      </c>
      <c r="I565" t="s">
        <v>1272</v>
      </c>
      <c r="J565" t="s">
        <v>1272</v>
      </c>
      <c r="K565" t="s">
        <v>1272</v>
      </c>
      <c r="L565" t="s">
        <v>1272</v>
      </c>
      <c r="M565" t="s">
        <v>1272</v>
      </c>
      <c r="N565" t="s">
        <v>1272</v>
      </c>
      <c r="O565" s="7">
        <v>0.28000000000000003</v>
      </c>
      <c r="P565" s="7">
        <v>0.23</v>
      </c>
      <c r="Q565" s="7">
        <v>0.28999999999999998</v>
      </c>
      <c r="R565" s="7">
        <v>0.28000000000000003</v>
      </c>
      <c r="S565" s="7">
        <v>0.23</v>
      </c>
      <c r="T565" t="s">
        <v>1272</v>
      </c>
      <c r="U565" s="7">
        <v>0.18</v>
      </c>
      <c r="V565" s="7">
        <v>0.16</v>
      </c>
      <c r="W565" s="7">
        <v>0.16</v>
      </c>
      <c r="X565" s="7">
        <v>0.26</v>
      </c>
      <c r="Y565" s="7">
        <v>0.23</v>
      </c>
      <c r="Z565" s="7">
        <v>0.24</v>
      </c>
      <c r="AA565" s="7">
        <v>0.38</v>
      </c>
      <c r="AB565" s="7">
        <v>0.27</v>
      </c>
      <c r="AC565" s="7">
        <v>0.31</v>
      </c>
    </row>
    <row r="566" spans="1:29" x14ac:dyDescent="0.35">
      <c r="A566" t="s">
        <v>1249</v>
      </c>
      <c r="B566" t="s">
        <v>1272</v>
      </c>
      <c r="C566" s="7">
        <v>2.58</v>
      </c>
      <c r="D566" s="7">
        <v>2.59</v>
      </c>
      <c r="E566" s="7">
        <v>2.5499999999999998</v>
      </c>
      <c r="F566" s="7">
        <v>2.58</v>
      </c>
      <c r="G566" s="7">
        <v>2.62</v>
      </c>
      <c r="H566" t="s">
        <v>1272</v>
      </c>
      <c r="I566" t="s">
        <v>1272</v>
      </c>
      <c r="J566" t="s">
        <v>1272</v>
      </c>
      <c r="K566" t="s">
        <v>1272</v>
      </c>
      <c r="L566" t="s">
        <v>1272</v>
      </c>
      <c r="M566" t="s">
        <v>1272</v>
      </c>
      <c r="N566" t="s">
        <v>1272</v>
      </c>
      <c r="O566" s="7">
        <v>2.67</v>
      </c>
      <c r="P566" s="7">
        <v>2.62</v>
      </c>
      <c r="Q566" s="7">
        <v>2.6</v>
      </c>
      <c r="R566" s="7">
        <v>2.59</v>
      </c>
      <c r="S566" s="7">
        <v>2.6</v>
      </c>
      <c r="T566" t="s">
        <v>1272</v>
      </c>
      <c r="U566" s="7">
        <v>2.76</v>
      </c>
      <c r="V566" s="7">
        <v>2.76</v>
      </c>
      <c r="W566" s="7">
        <v>2.75</v>
      </c>
      <c r="X566" s="7">
        <v>2.66</v>
      </c>
      <c r="Y566" s="7">
        <v>2.67</v>
      </c>
      <c r="Z566" s="7">
        <v>2.67</v>
      </c>
      <c r="AA566" s="7">
        <v>2.5299999999999998</v>
      </c>
      <c r="AB566" s="7">
        <v>2.65</v>
      </c>
      <c r="AC566" s="7">
        <v>2.56</v>
      </c>
    </row>
    <row r="567" spans="1:29" x14ac:dyDescent="0.35">
      <c r="A567" t="s">
        <v>1250</v>
      </c>
      <c r="B567" s="7">
        <v>2.99</v>
      </c>
      <c r="C567" s="7">
        <v>2.85</v>
      </c>
      <c r="D567" s="7">
        <v>2.81</v>
      </c>
      <c r="E567" s="7">
        <v>2.79</v>
      </c>
      <c r="F567" s="7">
        <v>2.81</v>
      </c>
      <c r="G567" s="7">
        <v>2.9</v>
      </c>
      <c r="H567" s="7">
        <v>2.99</v>
      </c>
      <c r="I567" s="7">
        <v>2.99</v>
      </c>
      <c r="J567" s="7">
        <v>2.99</v>
      </c>
      <c r="K567" s="7">
        <v>2.99</v>
      </c>
      <c r="L567" s="7">
        <v>2.99</v>
      </c>
      <c r="M567" s="7">
        <v>2.99</v>
      </c>
      <c r="N567" s="7">
        <v>2.99</v>
      </c>
      <c r="O567" s="7">
        <v>2.95</v>
      </c>
      <c r="P567" s="7">
        <v>2.85</v>
      </c>
      <c r="Q567" s="7">
        <v>2.89</v>
      </c>
      <c r="R567" s="7">
        <v>2.87</v>
      </c>
      <c r="S567" s="7">
        <v>2.83</v>
      </c>
      <c r="T567" s="7">
        <v>2.94</v>
      </c>
      <c r="U567" s="7">
        <v>2.94</v>
      </c>
      <c r="V567" s="7">
        <v>2.92</v>
      </c>
      <c r="W567" s="7">
        <v>2.9</v>
      </c>
      <c r="X567" s="7">
        <v>2.92</v>
      </c>
      <c r="Y567" s="7">
        <v>2.89</v>
      </c>
      <c r="Z567" s="7">
        <v>2.91</v>
      </c>
      <c r="AA567" s="7">
        <v>2.91</v>
      </c>
      <c r="AB567" s="7">
        <v>2.92</v>
      </c>
      <c r="AC567" s="7">
        <v>2.87</v>
      </c>
    </row>
    <row r="568" spans="1:29" x14ac:dyDescent="0.35">
      <c r="A568" t="s">
        <v>1245</v>
      </c>
      <c r="B568" s="7">
        <v>2.99</v>
      </c>
      <c r="C568" s="7">
        <v>2.62</v>
      </c>
      <c r="D568" s="7">
        <v>2.61</v>
      </c>
      <c r="E568" s="7">
        <v>2.62</v>
      </c>
      <c r="F568" s="7">
        <v>2.63</v>
      </c>
      <c r="G568" s="7">
        <v>2.78</v>
      </c>
      <c r="H568" s="7">
        <v>2.99</v>
      </c>
      <c r="I568" s="7">
        <v>2.99</v>
      </c>
      <c r="J568" s="7">
        <v>2.99</v>
      </c>
      <c r="K568" s="7">
        <v>2.99</v>
      </c>
      <c r="L568" s="7">
        <v>2.99</v>
      </c>
      <c r="M568" s="7">
        <v>2.99</v>
      </c>
      <c r="N568" s="7">
        <v>2.99</v>
      </c>
      <c r="O568" s="7">
        <v>2.86</v>
      </c>
      <c r="P568" s="7">
        <v>2.66</v>
      </c>
      <c r="Q568" s="7">
        <v>2.64</v>
      </c>
      <c r="R568" s="7">
        <v>2.63</v>
      </c>
      <c r="S568" s="7">
        <v>2.64</v>
      </c>
      <c r="T568" s="7">
        <v>2.94</v>
      </c>
      <c r="U568" s="7">
        <v>2.93</v>
      </c>
      <c r="V568" s="7">
        <v>2.9</v>
      </c>
      <c r="W568" s="7">
        <v>2.89</v>
      </c>
      <c r="X568" s="7">
        <v>2.88</v>
      </c>
      <c r="Y568" s="7">
        <v>2.87</v>
      </c>
      <c r="Z568" s="7">
        <v>2.9</v>
      </c>
      <c r="AA568" s="7">
        <v>2.86</v>
      </c>
      <c r="AB568" s="7">
        <v>2.83</v>
      </c>
      <c r="AC568" s="7">
        <v>2.7</v>
      </c>
    </row>
    <row r="571" spans="1:29" s="79" customFormat="1" x14ac:dyDescent="0.35"/>
    <row r="572" spans="1:29" x14ac:dyDescent="0.35">
      <c r="A572" t="s">
        <v>1360</v>
      </c>
    </row>
    <row r="575" spans="1:29" x14ac:dyDescent="0.35">
      <c r="A575" t="s">
        <v>1240</v>
      </c>
      <c r="B575" s="5">
        <v>46026</v>
      </c>
      <c r="C575" s="5">
        <v>46033</v>
      </c>
      <c r="D575" s="5">
        <v>46040</v>
      </c>
      <c r="E575" s="5">
        <v>46047</v>
      </c>
      <c r="F575" s="5">
        <v>46054</v>
      </c>
      <c r="G575" s="5">
        <v>46061</v>
      </c>
      <c r="H575" s="5">
        <v>46068</v>
      </c>
      <c r="I575" s="5">
        <v>46075</v>
      </c>
      <c r="J575" s="5">
        <v>46082</v>
      </c>
      <c r="K575" s="5">
        <v>46089</v>
      </c>
      <c r="L575" s="5">
        <v>46096</v>
      </c>
      <c r="M575" s="5">
        <v>46103</v>
      </c>
      <c r="N575" s="5">
        <v>46110</v>
      </c>
      <c r="O575" s="5">
        <v>46117</v>
      </c>
      <c r="P575" s="5">
        <v>46124</v>
      </c>
      <c r="Q575" s="5">
        <v>46131</v>
      </c>
      <c r="R575" s="5">
        <v>46138</v>
      </c>
      <c r="S575" s="5">
        <v>46145</v>
      </c>
      <c r="T575" s="5">
        <v>46152</v>
      </c>
      <c r="U575" s="5">
        <v>46159</v>
      </c>
      <c r="V575" s="106">
        <v>46166</v>
      </c>
      <c r="W575" s="106">
        <v>46173</v>
      </c>
      <c r="X575" s="5">
        <v>46180</v>
      </c>
      <c r="Y575" s="5">
        <v>46187</v>
      </c>
      <c r="Z575" s="5">
        <v>46194</v>
      </c>
      <c r="AA575" s="5">
        <v>46201</v>
      </c>
      <c r="AB575" s="5">
        <v>46208</v>
      </c>
      <c r="AC575" s="5">
        <v>46215</v>
      </c>
    </row>
    <row r="576" spans="1:29" x14ac:dyDescent="0.35">
      <c r="A576" t="s">
        <v>1241</v>
      </c>
      <c r="B576" s="6">
        <v>1428</v>
      </c>
      <c r="C576" s="6">
        <v>1779</v>
      </c>
      <c r="D576" s="6">
        <v>1926</v>
      </c>
      <c r="E576" s="6">
        <v>2081</v>
      </c>
      <c r="F576" s="6">
        <v>3323</v>
      </c>
      <c r="G576" s="6">
        <v>3329</v>
      </c>
      <c r="H576" s="6">
        <v>3385</v>
      </c>
      <c r="I576" s="6">
        <v>3997</v>
      </c>
      <c r="J576" s="6">
        <v>4488</v>
      </c>
      <c r="K576" s="6">
        <v>5712</v>
      </c>
      <c r="L576" s="6">
        <v>10242</v>
      </c>
      <c r="M576" s="6">
        <v>10893</v>
      </c>
      <c r="N576" s="6">
        <v>10283</v>
      </c>
      <c r="O576" s="6">
        <v>9727</v>
      </c>
      <c r="P576" s="6">
        <v>4209</v>
      </c>
      <c r="Q576" s="6">
        <v>3680</v>
      </c>
      <c r="R576" s="6">
        <v>3029</v>
      </c>
      <c r="S576" s="6">
        <v>3567</v>
      </c>
      <c r="T576" s="6">
        <v>3526</v>
      </c>
      <c r="U576" s="6">
        <v>3478</v>
      </c>
      <c r="V576" s="6">
        <v>2805</v>
      </c>
      <c r="W576" s="6">
        <v>2239</v>
      </c>
      <c r="X576" s="6">
        <v>2118</v>
      </c>
      <c r="Y576" s="6">
        <v>2216</v>
      </c>
      <c r="Z576" s="6">
        <v>3036</v>
      </c>
      <c r="AA576" s="6">
        <v>3257</v>
      </c>
      <c r="AB576" s="6">
        <v>2936</v>
      </c>
      <c r="AC576" s="6">
        <v>4023</v>
      </c>
    </row>
    <row r="577" spans="1:29" x14ac:dyDescent="0.35">
      <c r="A577" t="s">
        <v>1242</v>
      </c>
      <c r="B577" s="3">
        <v>2E-3</v>
      </c>
      <c r="C577" s="3">
        <v>3.0000000000000001E-3</v>
      </c>
      <c r="D577" s="3">
        <v>3.0000000000000001E-3</v>
      </c>
      <c r="E577" s="3">
        <v>0.04</v>
      </c>
      <c r="F577" s="60">
        <v>0.76600000000000001</v>
      </c>
      <c r="G577" s="60">
        <v>0.65900000000000003</v>
      </c>
      <c r="H577" s="60">
        <v>0.625</v>
      </c>
      <c r="I577" s="60">
        <v>0.66900000000000004</v>
      </c>
      <c r="J577" s="60">
        <v>0.32200000000000001</v>
      </c>
      <c r="K577" s="60">
        <v>0.40600000000000003</v>
      </c>
      <c r="L577" s="60">
        <v>0.98599999999999999</v>
      </c>
      <c r="M577" s="60">
        <v>0.629</v>
      </c>
      <c r="N577" s="60">
        <v>0.41499999999999998</v>
      </c>
      <c r="O577" s="60">
        <v>0.42899999999999999</v>
      </c>
      <c r="P577" s="3">
        <v>0.21099999999999999</v>
      </c>
      <c r="Q577" s="3">
        <v>0.16700000000000001</v>
      </c>
      <c r="R577" s="3">
        <v>0.23300000000000001</v>
      </c>
      <c r="S577" s="60">
        <v>0.41099999999999998</v>
      </c>
      <c r="T577" s="60">
        <v>0.44600000000000001</v>
      </c>
      <c r="U577" s="60">
        <v>0.42099999999999999</v>
      </c>
      <c r="V577" s="3">
        <v>0.193</v>
      </c>
      <c r="W577" s="3">
        <v>3.4000000000000002E-2</v>
      </c>
      <c r="X577" s="3">
        <v>3.6999999999999998E-2</v>
      </c>
      <c r="Y577" s="3">
        <v>2.9000000000000001E-2</v>
      </c>
      <c r="Z577" s="3">
        <v>0.27</v>
      </c>
      <c r="AA577" s="3">
        <v>0.36199999999999999</v>
      </c>
      <c r="AB577" s="3">
        <v>0.34799999999999998</v>
      </c>
      <c r="AC577" s="3">
        <v>0.55100000000000005</v>
      </c>
    </row>
    <row r="578" spans="1:29" x14ac:dyDescent="0.35">
      <c r="A578" t="s">
        <v>1243</v>
      </c>
      <c r="B578">
        <v>3</v>
      </c>
      <c r="C578">
        <v>6</v>
      </c>
      <c r="D578">
        <v>6</v>
      </c>
      <c r="E578">
        <v>80</v>
      </c>
      <c r="F578" s="6">
        <v>1441</v>
      </c>
      <c r="G578" s="6">
        <v>1322</v>
      </c>
      <c r="H578" s="6">
        <v>1302</v>
      </c>
      <c r="I578" s="6">
        <v>1602</v>
      </c>
      <c r="J578" s="6">
        <v>1094</v>
      </c>
      <c r="K578" s="6">
        <v>1649</v>
      </c>
      <c r="L578" s="6">
        <v>5085</v>
      </c>
      <c r="M578" s="6">
        <v>4205</v>
      </c>
      <c r="N578" s="6">
        <v>3014</v>
      </c>
      <c r="O578" s="6">
        <v>2921</v>
      </c>
      <c r="P578">
        <v>734</v>
      </c>
      <c r="Q578">
        <v>526</v>
      </c>
      <c r="R578">
        <v>573</v>
      </c>
      <c r="S578" s="58">
        <v>1040</v>
      </c>
      <c r="T578" s="58">
        <v>1088</v>
      </c>
      <c r="U578" s="58">
        <v>1031</v>
      </c>
      <c r="V578">
        <v>454</v>
      </c>
      <c r="W578">
        <v>73</v>
      </c>
      <c r="X578">
        <v>76</v>
      </c>
      <c r="Y578">
        <v>63</v>
      </c>
      <c r="Z578">
        <v>645</v>
      </c>
      <c r="AA578">
        <v>866</v>
      </c>
      <c r="AB578">
        <v>758</v>
      </c>
      <c r="AC578" s="6">
        <v>1428</v>
      </c>
    </row>
    <row r="579" spans="1:29" x14ac:dyDescent="0.35">
      <c r="A579" t="s">
        <v>1244</v>
      </c>
      <c r="B579" s="6">
        <v>1425</v>
      </c>
      <c r="C579" s="6">
        <v>1773</v>
      </c>
      <c r="D579" s="6">
        <v>1920</v>
      </c>
      <c r="E579" s="6">
        <v>2001</v>
      </c>
      <c r="F579" s="58">
        <v>1882</v>
      </c>
      <c r="G579" s="58">
        <v>2007</v>
      </c>
      <c r="H579" s="58">
        <v>2083</v>
      </c>
      <c r="I579" s="58">
        <v>2395</v>
      </c>
      <c r="J579" s="58">
        <v>3395</v>
      </c>
      <c r="K579" s="58">
        <v>4063</v>
      </c>
      <c r="L579" s="58">
        <v>5157</v>
      </c>
      <c r="M579" s="58">
        <v>6688</v>
      </c>
      <c r="N579" s="58">
        <v>7269</v>
      </c>
      <c r="O579" s="58">
        <v>6806</v>
      </c>
      <c r="P579" s="6">
        <v>3475</v>
      </c>
      <c r="Q579" s="6">
        <v>3154</v>
      </c>
      <c r="R579" s="6">
        <v>2456</v>
      </c>
      <c r="S579" s="58">
        <v>2527</v>
      </c>
      <c r="T579" s="58">
        <v>2438</v>
      </c>
      <c r="U579" s="58">
        <v>2447</v>
      </c>
      <c r="V579" s="6">
        <v>2351</v>
      </c>
      <c r="W579" s="6">
        <v>2166</v>
      </c>
      <c r="X579" s="6">
        <v>2042</v>
      </c>
      <c r="Y579" s="6">
        <v>2153</v>
      </c>
      <c r="Z579" s="6">
        <v>2391</v>
      </c>
      <c r="AA579" s="6">
        <v>2391</v>
      </c>
      <c r="AB579" s="6">
        <v>2178</v>
      </c>
      <c r="AC579" s="6">
        <v>2595</v>
      </c>
    </row>
    <row r="580" spans="1:29" x14ac:dyDescent="0.35">
      <c r="A580" t="s">
        <v>1245</v>
      </c>
      <c r="B580" s="7">
        <v>3.26</v>
      </c>
      <c r="C580" s="7">
        <v>3.27</v>
      </c>
      <c r="D580" s="7">
        <v>3.32</v>
      </c>
      <c r="E580" s="7">
        <v>3.22</v>
      </c>
      <c r="F580" s="7">
        <v>2.38</v>
      </c>
      <c r="G580" s="7">
        <v>2.1800000000000002</v>
      </c>
      <c r="H580" s="7">
        <v>2.11</v>
      </c>
      <c r="I580" s="7">
        <v>2.08</v>
      </c>
      <c r="J580" s="7">
        <v>2.21</v>
      </c>
      <c r="K580" s="7">
        <v>2.17</v>
      </c>
      <c r="L580" s="7">
        <v>2.15</v>
      </c>
      <c r="M580" s="7">
        <v>2.17</v>
      </c>
      <c r="N580" s="7">
        <v>2.1800000000000002</v>
      </c>
      <c r="O580" s="7">
        <v>2.19</v>
      </c>
      <c r="P580" s="7">
        <v>2.88</v>
      </c>
      <c r="Q580" s="7">
        <v>2.85</v>
      </c>
      <c r="R580" s="7">
        <v>2.87</v>
      </c>
      <c r="S580" s="7">
        <v>2.66</v>
      </c>
      <c r="T580" s="7">
        <v>2.59</v>
      </c>
      <c r="U580" s="7">
        <v>2.64</v>
      </c>
      <c r="V580" s="7">
        <v>2.85</v>
      </c>
      <c r="W580" s="7">
        <v>3.17</v>
      </c>
      <c r="X580" s="7">
        <v>3.16</v>
      </c>
      <c r="Y580" s="7">
        <v>3.2</v>
      </c>
      <c r="Z580" s="7">
        <v>2.76</v>
      </c>
      <c r="AA580" s="7">
        <v>2.6</v>
      </c>
      <c r="AB580" s="7">
        <v>2.61</v>
      </c>
      <c r="AC580" s="7">
        <v>2.58</v>
      </c>
    </row>
    <row r="581" spans="1:29" x14ac:dyDescent="0.35">
      <c r="S581" s="6">
        <f>SUM(S579:U579)</f>
        <v>7412</v>
      </c>
      <c r="T581" s="6">
        <f>SUM(S578:U578)</f>
        <v>3159</v>
      </c>
      <c r="V581" s="6">
        <f>SUM(V579:W579)</f>
        <v>4517</v>
      </c>
      <c r="W581">
        <f>SUM(V578:W578)</f>
        <v>527</v>
      </c>
    </row>
    <row r="583" spans="1:29" x14ac:dyDescent="0.35">
      <c r="A583" t="s">
        <v>1240</v>
      </c>
      <c r="B583" s="5">
        <v>46026</v>
      </c>
      <c r="C583" s="5">
        <v>46033</v>
      </c>
      <c r="D583" s="5">
        <v>46040</v>
      </c>
      <c r="E583" s="5">
        <v>46047</v>
      </c>
      <c r="F583" s="72">
        <v>46054</v>
      </c>
      <c r="G583" s="72">
        <v>46061</v>
      </c>
      <c r="H583" s="72">
        <v>46068</v>
      </c>
      <c r="I583" s="72">
        <v>46075</v>
      </c>
      <c r="J583" s="72">
        <v>46082</v>
      </c>
      <c r="K583" s="72">
        <v>46089</v>
      </c>
      <c r="L583" s="72">
        <v>46096</v>
      </c>
      <c r="M583" s="72">
        <v>46103</v>
      </c>
      <c r="N583" s="72">
        <v>46110</v>
      </c>
      <c r="O583" s="5">
        <v>46117</v>
      </c>
      <c r="P583" s="5">
        <v>46124</v>
      </c>
      <c r="Q583" s="5">
        <v>46131</v>
      </c>
      <c r="R583" s="5">
        <v>46138</v>
      </c>
      <c r="S583" s="72">
        <v>46145</v>
      </c>
      <c r="T583" s="72">
        <v>46152</v>
      </c>
      <c r="U583" s="72">
        <v>46159</v>
      </c>
      <c r="V583" s="106">
        <v>46166</v>
      </c>
      <c r="W583" s="106">
        <v>46173</v>
      </c>
      <c r="X583" s="5">
        <v>46180</v>
      </c>
      <c r="Y583" s="5">
        <v>46187</v>
      </c>
      <c r="Z583" s="5">
        <v>46194</v>
      </c>
      <c r="AA583" s="5">
        <v>46201</v>
      </c>
      <c r="AB583" s="5">
        <v>46208</v>
      </c>
      <c r="AC583" s="5">
        <v>46215</v>
      </c>
    </row>
    <row r="584" spans="1:29" x14ac:dyDescent="0.35">
      <c r="A584" t="s">
        <v>1242</v>
      </c>
      <c r="B584" s="3">
        <v>2E-3</v>
      </c>
      <c r="C584" s="3">
        <v>3.0000000000000001E-3</v>
      </c>
      <c r="D584" s="3">
        <v>3.0000000000000001E-3</v>
      </c>
      <c r="E584" s="3">
        <v>0.04</v>
      </c>
      <c r="F584" s="3">
        <v>0.76600000000000001</v>
      </c>
      <c r="G584" s="3">
        <v>0.65900000000000003</v>
      </c>
      <c r="H584" s="3">
        <v>0.625</v>
      </c>
      <c r="I584" s="3">
        <v>0.66900000000000004</v>
      </c>
      <c r="J584" s="3">
        <v>0.32200000000000001</v>
      </c>
      <c r="K584" s="3">
        <v>0.40600000000000003</v>
      </c>
      <c r="L584" s="3">
        <v>0.98599999999999999</v>
      </c>
      <c r="M584" s="3">
        <v>0.629</v>
      </c>
      <c r="N584" s="3">
        <v>0.41499999999999998</v>
      </c>
      <c r="O584" s="3">
        <v>0.42899999999999999</v>
      </c>
      <c r="P584" s="3">
        <v>0.21099999999999999</v>
      </c>
      <c r="Q584" s="3">
        <v>0.16700000000000001</v>
      </c>
      <c r="R584" s="3">
        <v>0.23300000000000001</v>
      </c>
      <c r="S584" s="3">
        <v>0.41099999999999998</v>
      </c>
      <c r="T584" s="3">
        <v>0.44600000000000001</v>
      </c>
      <c r="U584" s="3">
        <v>0.42099999999999999</v>
      </c>
      <c r="V584" s="3">
        <v>0.193</v>
      </c>
      <c r="W584" s="3">
        <v>3.4000000000000002E-2</v>
      </c>
      <c r="X584" s="3">
        <v>3.6999999999999998E-2</v>
      </c>
      <c r="Y584" s="3">
        <v>2.9000000000000001E-2</v>
      </c>
      <c r="Z584" s="3">
        <v>0.27</v>
      </c>
      <c r="AA584" s="3">
        <v>0.36199999999999999</v>
      </c>
      <c r="AB584" s="3">
        <v>0.34799999999999998</v>
      </c>
      <c r="AC584" s="3">
        <v>0.55100000000000005</v>
      </c>
    </row>
    <row r="585" spans="1:29" x14ac:dyDescent="0.35">
      <c r="A585" t="s">
        <v>1247</v>
      </c>
      <c r="B585" s="3">
        <v>6.2E-2</v>
      </c>
      <c r="C585" s="3">
        <v>0.69599999999999995</v>
      </c>
      <c r="D585" s="3">
        <v>-5.0000000000000001E-3</v>
      </c>
      <c r="E585" s="3">
        <v>0.36599999999999999</v>
      </c>
      <c r="F585" s="3">
        <v>0.246</v>
      </c>
      <c r="G585" s="3">
        <v>0.32900000000000001</v>
      </c>
      <c r="H585" s="3">
        <v>0.33</v>
      </c>
      <c r="I585" s="3">
        <v>0.34100000000000003</v>
      </c>
      <c r="J585" s="3">
        <v>0.19800000000000001</v>
      </c>
      <c r="K585" s="3">
        <v>0.183</v>
      </c>
      <c r="L585" s="3">
        <v>3.6999999999999998E-2</v>
      </c>
      <c r="M585" s="3">
        <v>-0.05</v>
      </c>
      <c r="N585" s="3">
        <v>0.107</v>
      </c>
      <c r="O585" s="3">
        <v>3.7999999999999999E-2</v>
      </c>
      <c r="P585" s="3">
        <v>0.04</v>
      </c>
      <c r="Q585" s="3">
        <v>0.13500000000000001</v>
      </c>
      <c r="R585" s="3">
        <v>0.315</v>
      </c>
      <c r="S585" s="3">
        <v>0.19800000000000001</v>
      </c>
      <c r="T585" s="3">
        <v>0.155</v>
      </c>
      <c r="U585" s="3">
        <v>0.17399999999999999</v>
      </c>
      <c r="V585" s="3">
        <v>0.152</v>
      </c>
      <c r="W585" s="3">
        <v>0.23400000000000001</v>
      </c>
      <c r="X585" s="3">
        <v>0.154</v>
      </c>
      <c r="Y585" s="3">
        <v>0.156</v>
      </c>
      <c r="Z585" s="3">
        <v>0.121</v>
      </c>
      <c r="AA585" s="3">
        <v>0.16300000000000001</v>
      </c>
      <c r="AB585" s="3">
        <v>0.156</v>
      </c>
      <c r="AC585" s="3">
        <v>0.16400000000000001</v>
      </c>
    </row>
    <row r="586" spans="1:29" x14ac:dyDescent="0.35">
      <c r="A586" t="s">
        <v>1248</v>
      </c>
      <c r="B586" s="7">
        <v>0.2</v>
      </c>
      <c r="C586" s="7">
        <v>2.2799999999999998</v>
      </c>
      <c r="D586" s="7">
        <v>-0.02</v>
      </c>
      <c r="E586" s="7">
        <v>1.2</v>
      </c>
      <c r="F586" s="7">
        <v>0.77</v>
      </c>
      <c r="G586" s="7">
        <v>1</v>
      </c>
      <c r="H586" s="7">
        <v>0.97</v>
      </c>
      <c r="I586" s="7">
        <v>0.99</v>
      </c>
      <c r="J586" s="7">
        <v>0.5</v>
      </c>
      <c r="K586" s="7">
        <v>0.45</v>
      </c>
      <c r="L586" s="7">
        <v>0.08</v>
      </c>
      <c r="M586" s="7">
        <v>-0.11</v>
      </c>
      <c r="N586" s="7">
        <v>0.25</v>
      </c>
      <c r="O586" s="7">
        <v>0.08</v>
      </c>
      <c r="P586" s="7">
        <v>0.12</v>
      </c>
      <c r="Q586" s="7">
        <v>0.4</v>
      </c>
      <c r="R586" s="7">
        <v>0.98</v>
      </c>
      <c r="S586" s="7">
        <v>0.59</v>
      </c>
      <c r="T586" s="7">
        <v>0.45</v>
      </c>
      <c r="U586" s="7">
        <v>0.52</v>
      </c>
      <c r="V586" s="7">
        <v>0.46</v>
      </c>
      <c r="W586" s="7">
        <v>0.75</v>
      </c>
      <c r="X586" s="7">
        <v>0.49</v>
      </c>
      <c r="Y586" s="7">
        <v>0.5</v>
      </c>
      <c r="Z586" s="7">
        <v>0.36</v>
      </c>
      <c r="AA586" s="7">
        <v>0.48</v>
      </c>
      <c r="AB586" s="7">
        <v>0.46</v>
      </c>
      <c r="AC586" s="7">
        <v>0.48</v>
      </c>
    </row>
    <row r="587" spans="1:29" x14ac:dyDescent="0.35">
      <c r="A587" t="s">
        <v>1249</v>
      </c>
      <c r="B587" s="7">
        <v>3.06</v>
      </c>
      <c r="C587" s="7">
        <v>1</v>
      </c>
      <c r="D587" s="7">
        <v>3.33</v>
      </c>
      <c r="E587" s="7">
        <v>2.08</v>
      </c>
      <c r="F587" s="7">
        <v>2.36</v>
      </c>
      <c r="G587" s="7">
        <v>2.04</v>
      </c>
      <c r="H587" s="7">
        <v>1.96</v>
      </c>
      <c r="I587" s="7">
        <v>1.91</v>
      </c>
      <c r="J587" s="7">
        <v>2.02</v>
      </c>
      <c r="K587" s="7">
        <v>2.02</v>
      </c>
      <c r="L587" s="7">
        <v>2.2000000000000002</v>
      </c>
      <c r="M587" s="7">
        <v>2.2799999999999998</v>
      </c>
      <c r="N587" s="7">
        <v>2.0499999999999998</v>
      </c>
      <c r="O587" s="7">
        <v>2.17</v>
      </c>
      <c r="P587" s="7">
        <v>2.84</v>
      </c>
      <c r="Q587" s="7">
        <v>2.54</v>
      </c>
      <c r="R587" s="7">
        <v>2.14</v>
      </c>
      <c r="S587" s="7">
        <v>2.4</v>
      </c>
      <c r="T587" s="7">
        <v>2.4700000000000002</v>
      </c>
      <c r="U587" s="7">
        <v>2.46</v>
      </c>
      <c r="V587" s="7">
        <v>2.56</v>
      </c>
      <c r="W587" s="7">
        <v>2.46</v>
      </c>
      <c r="X587" s="7">
        <v>2.7</v>
      </c>
      <c r="Y587" s="7">
        <v>2.71</v>
      </c>
      <c r="Z587" s="7">
        <v>2.63</v>
      </c>
      <c r="AA587" s="7">
        <v>2.46</v>
      </c>
      <c r="AB587" s="7">
        <v>2.46</v>
      </c>
      <c r="AC587" s="7">
        <v>2.46</v>
      </c>
    </row>
    <row r="588" spans="1:29" x14ac:dyDescent="0.35">
      <c r="A588" t="s">
        <v>1250</v>
      </c>
      <c r="B588" s="7">
        <v>3.27</v>
      </c>
      <c r="C588" s="7">
        <v>3.28</v>
      </c>
      <c r="D588" s="7">
        <v>3.32</v>
      </c>
      <c r="E588" s="7">
        <v>3.28</v>
      </c>
      <c r="F588" s="7">
        <v>3.13</v>
      </c>
      <c r="G588" s="7">
        <v>3.04</v>
      </c>
      <c r="H588" s="7">
        <v>2.93</v>
      </c>
      <c r="I588" s="7">
        <v>2.9</v>
      </c>
      <c r="J588" s="7">
        <v>2.52</v>
      </c>
      <c r="K588" s="7">
        <v>2.4700000000000002</v>
      </c>
      <c r="L588" s="7">
        <v>2.2799999999999998</v>
      </c>
      <c r="M588" s="7">
        <v>2.17</v>
      </c>
      <c r="N588" s="7">
        <v>2.29</v>
      </c>
      <c r="O588" s="7">
        <v>2.25</v>
      </c>
      <c r="P588" s="7">
        <v>2.95</v>
      </c>
      <c r="Q588" s="7">
        <v>2.94</v>
      </c>
      <c r="R588" s="7">
        <v>3.12</v>
      </c>
      <c r="S588" s="7">
        <v>2.99</v>
      </c>
      <c r="T588" s="7">
        <v>2.92</v>
      </c>
      <c r="U588" s="7">
        <v>2.98</v>
      </c>
      <c r="V588" s="7">
        <v>3.02</v>
      </c>
      <c r="W588" s="7">
        <v>3.22</v>
      </c>
      <c r="X588" s="7">
        <v>3.19</v>
      </c>
      <c r="Y588" s="7">
        <v>3.22</v>
      </c>
      <c r="Z588" s="7">
        <v>3</v>
      </c>
      <c r="AA588" s="7">
        <v>2.94</v>
      </c>
      <c r="AB588" s="7">
        <v>2.92</v>
      </c>
      <c r="AC588" s="7">
        <v>2.95</v>
      </c>
    </row>
    <row r="589" spans="1:29" x14ac:dyDescent="0.35">
      <c r="A589" t="s">
        <v>1245</v>
      </c>
      <c r="B589" s="7">
        <v>3.26</v>
      </c>
      <c r="C589" s="7">
        <v>3.27</v>
      </c>
      <c r="D589" s="7">
        <v>3.32</v>
      </c>
      <c r="E589" s="7">
        <v>3.22</v>
      </c>
      <c r="F589" s="7">
        <v>2.38</v>
      </c>
      <c r="G589" s="7">
        <v>2.1800000000000002</v>
      </c>
      <c r="H589" s="7">
        <v>2.11</v>
      </c>
      <c r="I589" s="7">
        <v>2.08</v>
      </c>
      <c r="J589" s="7">
        <v>2.21</v>
      </c>
      <c r="K589" s="7">
        <v>2.17</v>
      </c>
      <c r="L589" s="7">
        <v>2.15</v>
      </c>
      <c r="M589" s="7">
        <v>2.17</v>
      </c>
      <c r="N589" s="7">
        <v>2.1800000000000002</v>
      </c>
      <c r="O589" s="7">
        <v>2.19</v>
      </c>
      <c r="P589" s="7">
        <v>2.88</v>
      </c>
      <c r="Q589" s="7">
        <v>2.85</v>
      </c>
      <c r="R589" s="7">
        <v>2.87</v>
      </c>
      <c r="S589" s="7">
        <v>2.66</v>
      </c>
      <c r="T589" s="7">
        <v>2.59</v>
      </c>
      <c r="U589" s="7">
        <v>2.64</v>
      </c>
      <c r="V589" s="7">
        <v>2.85</v>
      </c>
      <c r="W589" s="7">
        <v>3.17</v>
      </c>
      <c r="X589" s="7">
        <v>3.16</v>
      </c>
      <c r="Y589" s="7">
        <v>3.2</v>
      </c>
      <c r="Z589" s="7">
        <v>2.76</v>
      </c>
      <c r="AA589" s="7">
        <v>2.6</v>
      </c>
      <c r="AB589" s="7">
        <v>2.61</v>
      </c>
      <c r="AC589" s="7">
        <v>2.58</v>
      </c>
    </row>
    <row r="591" spans="1:29" x14ac:dyDescent="0.35">
      <c r="A591" t="s">
        <v>1363</v>
      </c>
    </row>
    <row r="593" spans="1:29" s="79" customFormat="1" x14ac:dyDescent="0.35"/>
    <row r="594" spans="1:29" x14ac:dyDescent="0.35">
      <c r="A594" t="s">
        <v>1364</v>
      </c>
    </row>
    <row r="596" spans="1:29" x14ac:dyDescent="0.35">
      <c r="A596" t="s">
        <v>1240</v>
      </c>
      <c r="B596" s="103">
        <v>46026</v>
      </c>
      <c r="C596" s="103">
        <v>46033</v>
      </c>
      <c r="D596" s="103">
        <v>46040</v>
      </c>
      <c r="E596" s="103">
        <v>46047</v>
      </c>
      <c r="F596" s="5">
        <v>46054</v>
      </c>
      <c r="G596" s="5">
        <v>46061</v>
      </c>
      <c r="H596" s="5">
        <v>46068</v>
      </c>
      <c r="I596" s="5">
        <v>46075</v>
      </c>
      <c r="J596" s="5">
        <v>46082</v>
      </c>
      <c r="K596" s="5">
        <v>46089</v>
      </c>
      <c r="L596" s="5">
        <v>46096</v>
      </c>
      <c r="M596" s="5">
        <v>46103</v>
      </c>
      <c r="N596" s="5">
        <v>46110</v>
      </c>
      <c r="O596" s="5">
        <v>46117</v>
      </c>
      <c r="P596" s="5">
        <v>46124</v>
      </c>
      <c r="Q596" s="5">
        <v>46131</v>
      </c>
      <c r="R596" s="103">
        <v>46138</v>
      </c>
      <c r="S596" s="103">
        <v>46145</v>
      </c>
      <c r="T596" s="5">
        <v>46152</v>
      </c>
      <c r="U596" s="5">
        <v>46159</v>
      </c>
      <c r="V596" s="5">
        <v>46166</v>
      </c>
      <c r="W596" s="5">
        <v>46173</v>
      </c>
      <c r="X596" s="103">
        <v>46180</v>
      </c>
      <c r="Y596" s="103">
        <v>46187</v>
      </c>
      <c r="Z596" s="5">
        <v>46194</v>
      </c>
      <c r="AA596" s="5">
        <v>46201</v>
      </c>
      <c r="AB596" s="5">
        <v>46208</v>
      </c>
      <c r="AC596" s="5">
        <v>46215</v>
      </c>
    </row>
    <row r="597" spans="1:29" x14ac:dyDescent="0.35">
      <c r="A597" t="s">
        <v>1241</v>
      </c>
      <c r="B597" s="83">
        <v>3483</v>
      </c>
      <c r="C597" s="83">
        <v>5497</v>
      </c>
      <c r="D597" s="83">
        <v>4649</v>
      </c>
      <c r="E597" s="83">
        <v>4443</v>
      </c>
      <c r="F597" s="83">
        <v>2728</v>
      </c>
      <c r="G597" s="83">
        <v>1809</v>
      </c>
      <c r="H597" s="83">
        <v>1737</v>
      </c>
      <c r="I597" s="83">
        <v>1635</v>
      </c>
      <c r="J597" s="83">
        <v>1705</v>
      </c>
      <c r="K597" s="83">
        <v>2728</v>
      </c>
      <c r="L597" s="83">
        <v>2671</v>
      </c>
      <c r="M597" s="83">
        <v>1747</v>
      </c>
      <c r="N597" s="83">
        <v>1515</v>
      </c>
      <c r="O597" s="83">
        <v>1390</v>
      </c>
      <c r="P597" s="83">
        <v>1359</v>
      </c>
      <c r="Q597" s="83">
        <v>1440</v>
      </c>
      <c r="R597" s="83">
        <v>2247</v>
      </c>
      <c r="S597" s="83">
        <v>2448</v>
      </c>
      <c r="T597" s="83">
        <v>1327</v>
      </c>
      <c r="U597" s="83">
        <v>1073</v>
      </c>
      <c r="V597" s="83">
        <v>985</v>
      </c>
      <c r="W597" s="83">
        <v>1000</v>
      </c>
      <c r="X597" s="83">
        <v>2724</v>
      </c>
      <c r="Y597" s="83">
        <v>2804</v>
      </c>
      <c r="Z597" s="83">
        <v>1709</v>
      </c>
      <c r="AA597" s="83">
        <v>1279</v>
      </c>
      <c r="AB597" s="83">
        <v>1202</v>
      </c>
      <c r="AC597" s="83">
        <v>1130</v>
      </c>
    </row>
    <row r="598" spans="1:29" x14ac:dyDescent="0.35">
      <c r="A598" t="s">
        <v>1242</v>
      </c>
      <c r="B598" s="31">
        <v>0.54200000000000004</v>
      </c>
      <c r="C598" s="31">
        <v>1.1830000000000001</v>
      </c>
      <c r="D598" s="31">
        <v>0.98</v>
      </c>
      <c r="E598" s="31">
        <v>0.97599999999999998</v>
      </c>
      <c r="F598" s="3">
        <v>0.35499999999999998</v>
      </c>
      <c r="G598" s="3">
        <v>2.9000000000000001E-2</v>
      </c>
      <c r="H598" s="3">
        <v>2.1000000000000001E-2</v>
      </c>
      <c r="I598" s="3">
        <v>1.4999999999999999E-2</v>
      </c>
      <c r="J598" s="3">
        <v>8.0000000000000002E-3</v>
      </c>
      <c r="K598" s="31">
        <v>0.55500000000000005</v>
      </c>
      <c r="L598" s="31">
        <v>0.63500000000000001</v>
      </c>
      <c r="M598" s="3">
        <v>0.19600000000000001</v>
      </c>
      <c r="N598" s="3">
        <v>6.0000000000000001E-3</v>
      </c>
      <c r="O598" s="3">
        <v>8.9999999999999993E-3</v>
      </c>
      <c r="P598" s="3">
        <v>4.0000000000000001E-3</v>
      </c>
      <c r="Q598" s="3">
        <v>0</v>
      </c>
      <c r="R598" s="3">
        <v>0.49299999999999999</v>
      </c>
      <c r="S598" s="3">
        <v>0.63300000000000001</v>
      </c>
      <c r="T598" s="3">
        <v>0.13400000000000001</v>
      </c>
      <c r="U598" s="3">
        <v>8.9999999999999993E-3</v>
      </c>
      <c r="V598" s="3">
        <v>1.2E-2</v>
      </c>
      <c r="W598" s="3">
        <v>8.9999999999999993E-3</v>
      </c>
      <c r="X598" s="31">
        <v>0.21</v>
      </c>
      <c r="Y598" s="31">
        <v>0.36599999999999999</v>
      </c>
      <c r="Z598" s="3">
        <v>9.0999999999999998E-2</v>
      </c>
      <c r="AA598" s="3">
        <v>3.3000000000000002E-2</v>
      </c>
      <c r="AB598" s="3">
        <v>0.154</v>
      </c>
      <c r="AC598" s="3">
        <v>0.11</v>
      </c>
    </row>
    <row r="599" spans="1:29" s="20" customFormat="1" x14ac:dyDescent="0.35">
      <c r="A599" s="20" t="s">
        <v>1243</v>
      </c>
      <c r="B599" s="20">
        <v>1224</v>
      </c>
      <c r="C599" s="20">
        <v>2979</v>
      </c>
      <c r="D599" s="20">
        <v>2301</v>
      </c>
      <c r="E599" s="20">
        <v>2194</v>
      </c>
      <c r="F599" s="20">
        <v>715</v>
      </c>
      <c r="G599" s="20">
        <v>51</v>
      </c>
      <c r="H599" s="20">
        <v>35</v>
      </c>
      <c r="I599" s="20">
        <v>23</v>
      </c>
      <c r="J599" s="20">
        <v>13</v>
      </c>
      <c r="K599" s="20">
        <v>974</v>
      </c>
      <c r="L599" s="20">
        <v>1037</v>
      </c>
      <c r="M599" s="20">
        <v>286</v>
      </c>
      <c r="N599" s="20">
        <v>9</v>
      </c>
      <c r="O599" s="20">
        <v>12</v>
      </c>
      <c r="P599" s="20">
        <v>6</v>
      </c>
      <c r="Q599" s="20">
        <v>0</v>
      </c>
      <c r="R599" s="20">
        <v>742</v>
      </c>
      <c r="S599" s="20">
        <v>949</v>
      </c>
      <c r="T599" s="20">
        <v>157</v>
      </c>
      <c r="U599" s="20">
        <v>10</v>
      </c>
      <c r="V599" s="20">
        <v>12</v>
      </c>
      <c r="W599" s="20">
        <v>9</v>
      </c>
      <c r="X599" s="20">
        <v>472</v>
      </c>
      <c r="Y599" s="20">
        <v>751</v>
      </c>
      <c r="Z599" s="20">
        <v>143</v>
      </c>
      <c r="AA599" s="20">
        <v>41</v>
      </c>
      <c r="AB599" s="20">
        <v>161</v>
      </c>
      <c r="AC599" s="20">
        <v>112</v>
      </c>
    </row>
    <row r="600" spans="1:29" s="20" customFormat="1" x14ac:dyDescent="0.35">
      <c r="A600" s="20" t="s">
        <v>1244</v>
      </c>
      <c r="B600" s="20">
        <v>2259</v>
      </c>
      <c r="C600" s="20">
        <v>2518</v>
      </c>
      <c r="D600" s="20">
        <v>2348</v>
      </c>
      <c r="E600" s="20">
        <v>2249</v>
      </c>
      <c r="F600" s="20">
        <v>2013</v>
      </c>
      <c r="G600" s="20">
        <v>1758</v>
      </c>
      <c r="H600" s="20">
        <v>1702</v>
      </c>
      <c r="I600" s="20">
        <v>1612</v>
      </c>
      <c r="J600" s="20">
        <v>1692</v>
      </c>
      <c r="K600" s="20">
        <v>1754</v>
      </c>
      <c r="L600" s="20">
        <v>1634</v>
      </c>
      <c r="M600" s="20">
        <v>1460</v>
      </c>
      <c r="N600" s="20">
        <v>1506</v>
      </c>
      <c r="O600" s="20">
        <v>1378</v>
      </c>
      <c r="P600" s="20">
        <v>1353</v>
      </c>
      <c r="Q600" s="20">
        <v>1446</v>
      </c>
      <c r="R600" s="20">
        <v>1505</v>
      </c>
      <c r="S600" s="20">
        <v>1499</v>
      </c>
      <c r="T600" s="20">
        <v>1170</v>
      </c>
      <c r="U600" s="20">
        <v>1063</v>
      </c>
      <c r="V600" s="20">
        <v>973</v>
      </c>
      <c r="W600" s="20">
        <v>991</v>
      </c>
      <c r="X600" s="20">
        <v>2252</v>
      </c>
      <c r="Y600" s="20">
        <v>2053</v>
      </c>
      <c r="Z600" s="20">
        <v>1566</v>
      </c>
      <c r="AA600" s="20">
        <v>1238</v>
      </c>
      <c r="AB600" s="20">
        <v>1041</v>
      </c>
      <c r="AC600" s="20">
        <v>1018</v>
      </c>
    </row>
    <row r="601" spans="1:29" x14ac:dyDescent="0.35">
      <c r="A601" t="s">
        <v>1245</v>
      </c>
      <c r="B601" s="7">
        <v>2.25</v>
      </c>
      <c r="C601" s="7">
        <v>1.99</v>
      </c>
      <c r="D601" s="7">
        <v>2</v>
      </c>
      <c r="E601" s="7">
        <v>2</v>
      </c>
      <c r="F601" s="7">
        <v>2.46</v>
      </c>
      <c r="G601" s="7">
        <v>2.85</v>
      </c>
      <c r="H601" s="7">
        <v>2.86</v>
      </c>
      <c r="I601" s="7">
        <v>2.88</v>
      </c>
      <c r="J601" s="7">
        <v>2.93</v>
      </c>
      <c r="K601" s="7">
        <v>2.59</v>
      </c>
      <c r="L601" s="7">
        <v>2.48</v>
      </c>
      <c r="M601" s="7">
        <v>2.7</v>
      </c>
      <c r="N601" s="7">
        <v>2.88</v>
      </c>
      <c r="O601" s="7">
        <v>2.87</v>
      </c>
      <c r="P601" s="7">
        <v>2.9</v>
      </c>
      <c r="Q601" s="7">
        <v>2.97</v>
      </c>
      <c r="R601" s="7">
        <v>2.59</v>
      </c>
      <c r="S601" s="7">
        <v>2.52</v>
      </c>
      <c r="T601" s="7">
        <v>2.73</v>
      </c>
      <c r="U601" s="7">
        <v>2.96</v>
      </c>
      <c r="V601" s="7">
        <v>2.96</v>
      </c>
      <c r="W601" s="7">
        <v>2.97</v>
      </c>
      <c r="X601" s="7">
        <v>2.44</v>
      </c>
      <c r="Y601" s="7">
        <v>2.29</v>
      </c>
      <c r="Z601" s="7">
        <v>2.72</v>
      </c>
      <c r="AA601" s="7">
        <v>2.86</v>
      </c>
      <c r="AB601" s="7">
        <v>2.68</v>
      </c>
      <c r="AC601" s="7">
        <v>2.73</v>
      </c>
    </row>
    <row r="602" spans="1:29" x14ac:dyDescent="0.35">
      <c r="B602" s="63">
        <f>SUM(B600:E600)</f>
        <v>9374</v>
      </c>
      <c r="C602" s="63">
        <f>SUM(B599:E599)</f>
        <v>8698</v>
      </c>
      <c r="K602" s="63">
        <f>SUM(K600:L600)</f>
        <v>3388</v>
      </c>
      <c r="L602" s="63">
        <f>SUM(K599:L599)</f>
        <v>2011</v>
      </c>
      <c r="R602" s="63">
        <f>SUM(R600:S600)</f>
        <v>3004</v>
      </c>
      <c r="S602" s="63">
        <f>SUM(R599:S599)</f>
        <v>1691</v>
      </c>
      <c r="X602" s="63">
        <f>SUM(X600:Y600)</f>
        <v>4305</v>
      </c>
      <c r="Y602" s="63">
        <f>SUM(X599:Y599)</f>
        <v>1223</v>
      </c>
    </row>
    <row r="603" spans="1:29" x14ac:dyDescent="0.35">
      <c r="A603" t="s">
        <v>1240</v>
      </c>
      <c r="B603" s="103">
        <v>46026</v>
      </c>
      <c r="C603" s="103">
        <v>46033</v>
      </c>
      <c r="D603" s="103">
        <v>46040</v>
      </c>
      <c r="E603" s="103">
        <v>46047</v>
      </c>
      <c r="F603" s="5">
        <v>46054</v>
      </c>
      <c r="G603" s="5">
        <v>46061</v>
      </c>
      <c r="H603" s="5">
        <v>46068</v>
      </c>
      <c r="I603" s="5">
        <v>46075</v>
      </c>
      <c r="J603" s="5">
        <v>46082</v>
      </c>
      <c r="K603" s="103">
        <v>46089</v>
      </c>
      <c r="L603" s="103">
        <v>46096</v>
      </c>
      <c r="M603" s="5">
        <v>46103</v>
      </c>
      <c r="N603" s="5">
        <v>46110</v>
      </c>
      <c r="O603" s="5">
        <v>46117</v>
      </c>
      <c r="P603" s="5">
        <v>46124</v>
      </c>
      <c r="Q603" s="5">
        <v>46131</v>
      </c>
      <c r="R603" s="103">
        <v>46138</v>
      </c>
      <c r="S603" s="103">
        <v>46145</v>
      </c>
      <c r="T603" s="5">
        <v>46152</v>
      </c>
      <c r="U603" s="5">
        <v>46159</v>
      </c>
      <c r="V603" s="5">
        <v>46166</v>
      </c>
      <c r="W603" s="5">
        <v>46173</v>
      </c>
      <c r="X603" s="5">
        <v>46180</v>
      </c>
      <c r="Y603" s="5">
        <v>46187</v>
      </c>
      <c r="Z603" s="5">
        <v>46194</v>
      </c>
      <c r="AA603" s="5">
        <v>46201</v>
      </c>
      <c r="AB603" s="5">
        <v>46208</v>
      </c>
      <c r="AC603" s="5">
        <v>46215</v>
      </c>
    </row>
    <row r="604" spans="1:29" x14ac:dyDescent="0.35">
      <c r="A604" t="s">
        <v>1242</v>
      </c>
      <c r="B604" s="3">
        <v>0.54200000000000004</v>
      </c>
      <c r="C604" s="3">
        <v>1.1830000000000001</v>
      </c>
      <c r="D604" s="3">
        <v>0.98</v>
      </c>
      <c r="E604" s="3">
        <v>0.97599999999999998</v>
      </c>
      <c r="F604" s="3">
        <v>0.35499999999999998</v>
      </c>
      <c r="G604" s="3">
        <v>2.9000000000000001E-2</v>
      </c>
      <c r="H604" s="3">
        <v>2.1000000000000001E-2</v>
      </c>
      <c r="I604" s="3">
        <v>1.4999999999999999E-2</v>
      </c>
      <c r="J604" s="3">
        <v>8.0000000000000002E-3</v>
      </c>
      <c r="K604" s="31">
        <v>0.55500000000000005</v>
      </c>
      <c r="L604" s="31">
        <v>0.63500000000000001</v>
      </c>
      <c r="M604" s="3">
        <v>0.19600000000000001</v>
      </c>
      <c r="N604" s="3">
        <v>6.0000000000000001E-3</v>
      </c>
      <c r="O604" s="3">
        <v>8.9999999999999993E-3</v>
      </c>
      <c r="P604" s="3">
        <v>4.0000000000000001E-3</v>
      </c>
      <c r="Q604" s="3">
        <v>0</v>
      </c>
      <c r="R604" s="31">
        <v>0.49299999999999999</v>
      </c>
      <c r="S604" s="31">
        <v>0.63300000000000001</v>
      </c>
      <c r="T604" s="3">
        <v>0.13400000000000001</v>
      </c>
      <c r="U604" s="3">
        <v>8.9999999999999993E-3</v>
      </c>
      <c r="V604" s="3">
        <v>1.2E-2</v>
      </c>
      <c r="W604" s="3">
        <v>8.9999999999999993E-3</v>
      </c>
      <c r="X604" s="31">
        <v>0.21</v>
      </c>
      <c r="Y604" s="31">
        <v>0.36599999999999999</v>
      </c>
      <c r="Z604" s="3">
        <v>9.0999999999999998E-2</v>
      </c>
      <c r="AA604" s="3">
        <v>3.3000000000000002E-2</v>
      </c>
      <c r="AB604" s="3">
        <v>0.154</v>
      </c>
      <c r="AC604" s="3">
        <v>0.11</v>
      </c>
    </row>
    <row r="605" spans="1:29" x14ac:dyDescent="0.35">
      <c r="A605" t="s">
        <v>1247</v>
      </c>
      <c r="B605" s="31">
        <v>0.16900000000000001</v>
      </c>
      <c r="C605" s="31">
        <v>0.224</v>
      </c>
      <c r="D605" s="31">
        <v>0.217</v>
      </c>
      <c r="E605" s="31">
        <v>0.21199999999999999</v>
      </c>
      <c r="F605" s="3">
        <v>0.121</v>
      </c>
      <c r="G605" s="3">
        <v>0.28399999999999997</v>
      </c>
      <c r="H605" s="3">
        <v>0.313</v>
      </c>
      <c r="I605" s="3">
        <v>0.25900000000000001</v>
      </c>
      <c r="J605" s="3">
        <v>0.19500000000000001</v>
      </c>
      <c r="K605" s="31">
        <v>9.1999999999999998E-2</v>
      </c>
      <c r="L605" s="31">
        <v>9.8000000000000004E-2</v>
      </c>
      <c r="M605" s="3">
        <v>7.8E-2</v>
      </c>
      <c r="N605" s="3">
        <v>0.14199999999999999</v>
      </c>
      <c r="O605" s="3">
        <v>0.115</v>
      </c>
      <c r="P605" s="3">
        <v>0.15</v>
      </c>
      <c r="Q605" s="3">
        <v>0.14399999999999999</v>
      </c>
      <c r="R605" s="3">
        <v>7.8E-2</v>
      </c>
      <c r="S605" s="3">
        <v>9.7000000000000003E-2</v>
      </c>
      <c r="T605" s="3">
        <v>7.6999999999999999E-2</v>
      </c>
      <c r="U605" s="3">
        <v>0.38800000000000001</v>
      </c>
      <c r="V605" s="3">
        <v>0.20300000000000001</v>
      </c>
      <c r="W605" s="3">
        <v>0.124</v>
      </c>
      <c r="X605" s="3">
        <v>3.3000000000000002E-2</v>
      </c>
      <c r="Y605" s="3">
        <v>6.0999999999999999E-2</v>
      </c>
      <c r="Z605" s="3">
        <v>7.5999999999999998E-2</v>
      </c>
      <c r="AA605" s="3">
        <v>0.37</v>
      </c>
      <c r="AB605" s="3">
        <v>0.46</v>
      </c>
      <c r="AC605" s="3">
        <v>0.42599999999999999</v>
      </c>
    </row>
    <row r="606" spans="1:29" x14ac:dyDescent="0.35">
      <c r="A606" t="s">
        <v>1248</v>
      </c>
      <c r="B606" s="7">
        <v>0.44</v>
      </c>
      <c r="C606" s="7">
        <v>0.56999999999999995</v>
      </c>
      <c r="D606" s="7">
        <v>0.55000000000000004</v>
      </c>
      <c r="E606" s="7">
        <v>0.53</v>
      </c>
      <c r="F606" s="7">
        <v>0.32</v>
      </c>
      <c r="G606" s="7">
        <v>0.82</v>
      </c>
      <c r="H606" s="7">
        <v>0.9</v>
      </c>
      <c r="I606" s="7">
        <v>0.75</v>
      </c>
      <c r="J606" s="7">
        <v>0.56999999999999995</v>
      </c>
      <c r="K606" s="7">
        <v>0.26</v>
      </c>
      <c r="L606" s="7">
        <v>0.27</v>
      </c>
      <c r="M606" s="7">
        <v>0.22</v>
      </c>
      <c r="N606" s="7">
        <v>0.41</v>
      </c>
      <c r="O606" s="7">
        <v>0.33</v>
      </c>
      <c r="P606" s="7">
        <v>0.44</v>
      </c>
      <c r="Q606" s="7">
        <v>0.43</v>
      </c>
      <c r="R606" s="7">
        <v>0.22</v>
      </c>
      <c r="S606" s="7">
        <v>0.27</v>
      </c>
      <c r="T606" s="7">
        <v>0.22</v>
      </c>
      <c r="U606" s="7">
        <v>1.1599999999999999</v>
      </c>
      <c r="V606" s="7">
        <v>0.6</v>
      </c>
      <c r="W606" s="7">
        <v>0.37</v>
      </c>
      <c r="X606" s="7">
        <v>0.08</v>
      </c>
      <c r="Y606" s="7">
        <v>0.15</v>
      </c>
      <c r="Z606" s="7">
        <v>0.21</v>
      </c>
      <c r="AA606" s="7">
        <v>1.08</v>
      </c>
      <c r="AB606" s="7">
        <v>1.36</v>
      </c>
      <c r="AC606" s="7">
        <v>1.25</v>
      </c>
    </row>
    <row r="607" spans="1:29" x14ac:dyDescent="0.35">
      <c r="A607" t="s">
        <v>1249</v>
      </c>
      <c r="B607" s="7">
        <v>2.17</v>
      </c>
      <c r="C607" s="7">
        <v>1.98</v>
      </c>
      <c r="D607" s="7">
        <v>1.98</v>
      </c>
      <c r="E607" s="7">
        <v>1.99</v>
      </c>
      <c r="F607" s="7">
        <v>2.34</v>
      </c>
      <c r="G607" s="7">
        <v>2.0699999999999998</v>
      </c>
      <c r="H607" s="7">
        <v>1.99</v>
      </c>
      <c r="I607" s="7">
        <v>2.15</v>
      </c>
      <c r="J607" s="7">
        <v>2.37</v>
      </c>
      <c r="K607" s="32">
        <v>2.5499999999999998</v>
      </c>
      <c r="L607" s="32">
        <v>2.48</v>
      </c>
      <c r="M607" s="7">
        <v>2.58</v>
      </c>
      <c r="N607" s="7">
        <v>2.4700000000000002</v>
      </c>
      <c r="O607" s="7">
        <v>2.5499999999999998</v>
      </c>
      <c r="P607" s="7">
        <v>2.4700000000000002</v>
      </c>
      <c r="Q607" s="7">
        <v>2.5299999999999998</v>
      </c>
      <c r="R607" s="7">
        <v>2.56</v>
      </c>
      <c r="S607" s="7">
        <v>2.5</v>
      </c>
      <c r="T607" s="7">
        <v>2.59</v>
      </c>
      <c r="U607" s="7">
        <v>1.83</v>
      </c>
      <c r="V607" s="7">
        <v>2.37</v>
      </c>
      <c r="W607" s="7">
        <v>2.6</v>
      </c>
      <c r="X607" s="32">
        <v>2.4700000000000002</v>
      </c>
      <c r="Y607" s="32">
        <v>2.3199999999999998</v>
      </c>
      <c r="Z607" s="7">
        <v>2.56</v>
      </c>
      <c r="AA607" s="7">
        <v>1.85</v>
      </c>
      <c r="AB607" s="7">
        <v>1.6</v>
      </c>
      <c r="AC607" s="7">
        <v>1.69</v>
      </c>
    </row>
    <row r="608" spans="1:29" x14ac:dyDescent="0.35">
      <c r="A608" t="s">
        <v>1250</v>
      </c>
      <c r="B608" s="7">
        <v>2.61</v>
      </c>
      <c r="C608" s="7">
        <v>2.56</v>
      </c>
      <c r="D608" s="7">
        <v>2.5299999999999998</v>
      </c>
      <c r="E608" s="7">
        <v>2.5299999999999998</v>
      </c>
      <c r="F608" s="7">
        <v>2.66</v>
      </c>
      <c r="G608" s="7">
        <v>2.9</v>
      </c>
      <c r="H608" s="7">
        <v>2.89</v>
      </c>
      <c r="I608" s="7">
        <v>2.9</v>
      </c>
      <c r="J608" s="7">
        <v>2.94</v>
      </c>
      <c r="K608" s="7">
        <v>2.8</v>
      </c>
      <c r="L608" s="7">
        <v>2.75</v>
      </c>
      <c r="M608" s="7">
        <v>2.8</v>
      </c>
      <c r="N608" s="7">
        <v>2.88</v>
      </c>
      <c r="O608" s="7">
        <v>2.88</v>
      </c>
      <c r="P608" s="7">
        <v>2.9</v>
      </c>
      <c r="Q608" s="7">
        <v>2.96</v>
      </c>
      <c r="R608" s="7">
        <v>2.78</v>
      </c>
      <c r="S608" s="7">
        <v>2.77</v>
      </c>
      <c r="T608" s="7">
        <v>2.81</v>
      </c>
      <c r="U608" s="7">
        <v>2.99</v>
      </c>
      <c r="V608" s="7">
        <v>2.98</v>
      </c>
      <c r="W608" s="7">
        <v>2.97</v>
      </c>
      <c r="X608" s="7">
        <v>2.5499999999999998</v>
      </c>
      <c r="Y608" s="7">
        <v>2.4700000000000002</v>
      </c>
      <c r="Z608" s="7">
        <v>2.77</v>
      </c>
      <c r="AA608" s="7">
        <v>2.93</v>
      </c>
      <c r="AB608" s="7">
        <v>2.96</v>
      </c>
      <c r="AC608" s="7">
        <v>2.94</v>
      </c>
    </row>
    <row r="609" spans="1:29" x14ac:dyDescent="0.35">
      <c r="A609" t="s">
        <v>1245</v>
      </c>
      <c r="B609" s="7">
        <v>2.25</v>
      </c>
      <c r="C609" s="7">
        <v>1.99</v>
      </c>
      <c r="D609" s="7">
        <v>2</v>
      </c>
      <c r="E609" s="7">
        <v>2</v>
      </c>
      <c r="F609" s="7">
        <v>2.46</v>
      </c>
      <c r="G609" s="7">
        <v>2.85</v>
      </c>
      <c r="H609" s="7">
        <v>2.86</v>
      </c>
      <c r="I609" s="7">
        <v>2.88</v>
      </c>
      <c r="J609" s="7">
        <v>2.93</v>
      </c>
      <c r="K609" s="7">
        <v>2.59</v>
      </c>
      <c r="L609" s="7">
        <v>2.48</v>
      </c>
      <c r="M609" s="7">
        <v>2.7</v>
      </c>
      <c r="N609" s="7">
        <v>2.88</v>
      </c>
      <c r="O609" s="7">
        <v>2.87</v>
      </c>
      <c r="P609" s="7">
        <v>2.9</v>
      </c>
      <c r="Q609" s="7">
        <v>2.97</v>
      </c>
      <c r="R609" s="7">
        <v>2.59</v>
      </c>
      <c r="S609" s="7">
        <v>2.52</v>
      </c>
      <c r="T609" s="7">
        <v>2.73</v>
      </c>
      <c r="U609" s="7">
        <v>2.96</v>
      </c>
      <c r="V609" s="7">
        <v>2.96</v>
      </c>
      <c r="W609" s="7">
        <v>2.97</v>
      </c>
      <c r="X609" s="7">
        <v>2.44</v>
      </c>
      <c r="Y609" s="7">
        <v>2.29</v>
      </c>
      <c r="Z609" s="7">
        <v>2.72</v>
      </c>
      <c r="AA609" s="7">
        <v>2.86</v>
      </c>
      <c r="AB609" s="7">
        <v>2.68</v>
      </c>
      <c r="AC609" s="7">
        <v>2.73</v>
      </c>
    </row>
    <row r="610" spans="1:29" x14ac:dyDescent="0.35">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row>
    <row r="611" spans="1:29" x14ac:dyDescent="0.35">
      <c r="A611" s="49" t="s">
        <v>1254</v>
      </c>
      <c r="B611" s="5">
        <v>46026</v>
      </c>
      <c r="C611" s="5">
        <v>46033</v>
      </c>
      <c r="D611" s="5">
        <v>46040</v>
      </c>
      <c r="E611" s="5">
        <v>46047</v>
      </c>
      <c r="F611" s="103">
        <v>46054</v>
      </c>
      <c r="G611" s="103">
        <v>46061</v>
      </c>
      <c r="H611" s="5">
        <v>46068</v>
      </c>
      <c r="I611" s="5">
        <v>46075</v>
      </c>
      <c r="J611" s="5">
        <v>46082</v>
      </c>
      <c r="K611" s="5">
        <v>46089</v>
      </c>
      <c r="L611" s="5">
        <v>46096</v>
      </c>
      <c r="M611" s="5">
        <v>46103</v>
      </c>
      <c r="N611" s="5">
        <v>46110</v>
      </c>
      <c r="O611" s="103">
        <v>46117</v>
      </c>
      <c r="P611" s="103">
        <v>46124</v>
      </c>
      <c r="Q611" s="5">
        <v>46131</v>
      </c>
      <c r="R611" s="5">
        <v>46138</v>
      </c>
      <c r="S611" s="5">
        <v>46145</v>
      </c>
      <c r="T611" s="5">
        <v>46152</v>
      </c>
      <c r="U611" s="5">
        <v>46159</v>
      </c>
      <c r="V611" s="5">
        <v>46166</v>
      </c>
      <c r="W611" s="5">
        <v>46173</v>
      </c>
      <c r="X611" s="103">
        <v>46180</v>
      </c>
      <c r="Y611" s="103">
        <v>46187</v>
      </c>
      <c r="Z611" s="5">
        <v>46194</v>
      </c>
      <c r="AA611" s="5">
        <v>46201</v>
      </c>
      <c r="AB611" s="5">
        <v>46208</v>
      </c>
      <c r="AC611" s="5">
        <v>46215</v>
      </c>
    </row>
    <row r="612" spans="1:29" x14ac:dyDescent="0.35">
      <c r="A612" t="s">
        <v>1241</v>
      </c>
      <c r="B612" s="83">
        <v>514</v>
      </c>
      <c r="C612" s="83">
        <v>697</v>
      </c>
      <c r="D612" s="83">
        <v>664</v>
      </c>
      <c r="E612" s="83">
        <v>838</v>
      </c>
      <c r="F612" s="108">
        <v>1355</v>
      </c>
      <c r="G612" s="108">
        <v>1166</v>
      </c>
      <c r="H612" s="83">
        <v>891</v>
      </c>
      <c r="I612" s="83">
        <v>930</v>
      </c>
      <c r="J612" s="83">
        <v>839</v>
      </c>
      <c r="K612" s="83">
        <v>910</v>
      </c>
      <c r="L612" s="83">
        <v>824</v>
      </c>
      <c r="M612" s="83">
        <v>803</v>
      </c>
      <c r="N612" s="83">
        <v>978</v>
      </c>
      <c r="O612" s="83">
        <v>1159</v>
      </c>
      <c r="P612" s="83">
        <v>1666</v>
      </c>
      <c r="Q612" s="83">
        <v>1052</v>
      </c>
      <c r="R612" s="83">
        <v>835</v>
      </c>
      <c r="S612" s="83">
        <v>808</v>
      </c>
      <c r="T612" s="83">
        <v>856</v>
      </c>
      <c r="U612" s="83">
        <v>824</v>
      </c>
      <c r="V612" s="83">
        <v>748</v>
      </c>
      <c r="W612" s="83">
        <v>774</v>
      </c>
      <c r="X612" s="83">
        <v>1010</v>
      </c>
      <c r="Y612" s="83">
        <v>1103</v>
      </c>
      <c r="Z612" s="83">
        <v>973</v>
      </c>
      <c r="AA612" s="83">
        <v>693</v>
      </c>
      <c r="AB612" s="83">
        <v>1047</v>
      </c>
      <c r="AC612" s="83">
        <v>1223</v>
      </c>
    </row>
    <row r="613" spans="1:29" x14ac:dyDescent="0.35">
      <c r="A613" t="s">
        <v>1242</v>
      </c>
      <c r="B613" s="3">
        <v>1E-3</v>
      </c>
      <c r="C613" s="3">
        <v>0</v>
      </c>
      <c r="D613" s="3">
        <v>5.0000000000000001E-3</v>
      </c>
      <c r="E613" s="3">
        <v>5.0000000000000001E-3</v>
      </c>
      <c r="F613" s="31">
        <v>0.55300000000000005</v>
      </c>
      <c r="G613" s="31">
        <v>0.32500000000000001</v>
      </c>
      <c r="H613" s="3">
        <v>2.4E-2</v>
      </c>
      <c r="I613" s="3">
        <v>1.2E-2</v>
      </c>
      <c r="J613" s="3">
        <v>4.0000000000000001E-3</v>
      </c>
      <c r="K613" s="3">
        <v>8.0000000000000002E-3</v>
      </c>
      <c r="L613" s="3">
        <v>1.0999999999999999E-2</v>
      </c>
      <c r="M613" s="3">
        <v>8.9999999999999993E-3</v>
      </c>
      <c r="N613" s="3">
        <v>2E-3</v>
      </c>
      <c r="O613" s="31">
        <v>0.371</v>
      </c>
      <c r="P613" s="31">
        <v>0.69199999999999995</v>
      </c>
      <c r="Q613" s="3">
        <v>0.17</v>
      </c>
      <c r="R613" s="3">
        <v>8.0000000000000002E-3</v>
      </c>
      <c r="S613" s="3">
        <v>1.7999999999999999E-2</v>
      </c>
      <c r="T613" s="3">
        <v>4.7E-2</v>
      </c>
      <c r="U613" s="3">
        <v>0.03</v>
      </c>
      <c r="V613" s="3">
        <v>3.5999999999999997E-2</v>
      </c>
      <c r="W613" s="3">
        <v>3.5000000000000003E-2</v>
      </c>
      <c r="X613" s="31">
        <v>0.32400000000000001</v>
      </c>
      <c r="Y613" s="31">
        <v>0.38</v>
      </c>
      <c r="Z613" s="3">
        <v>0.13300000000000001</v>
      </c>
      <c r="AA613" s="3">
        <v>3.0000000000000001E-3</v>
      </c>
      <c r="AB613" s="3">
        <v>0.35399999999999998</v>
      </c>
      <c r="AC613" s="3">
        <v>0.48099999999999998</v>
      </c>
    </row>
    <row r="614" spans="1:29" s="20" customFormat="1" x14ac:dyDescent="0.35">
      <c r="A614" s="20" t="s">
        <v>1243</v>
      </c>
      <c r="B614" s="20">
        <v>1</v>
      </c>
      <c r="C614" s="20">
        <v>0</v>
      </c>
      <c r="D614" s="20">
        <v>3</v>
      </c>
      <c r="E614" s="20">
        <v>5</v>
      </c>
      <c r="F614" s="20">
        <v>483</v>
      </c>
      <c r="G614" s="20">
        <v>286</v>
      </c>
      <c r="H614" s="20">
        <v>21</v>
      </c>
      <c r="I614" s="20">
        <v>11</v>
      </c>
      <c r="J614" s="20">
        <v>3</v>
      </c>
      <c r="K614" s="20">
        <v>7</v>
      </c>
      <c r="L614" s="20">
        <v>9</v>
      </c>
      <c r="M614" s="20">
        <v>7</v>
      </c>
      <c r="N614" s="20">
        <v>2</v>
      </c>
      <c r="O614" s="20">
        <v>313</v>
      </c>
      <c r="P614" s="20">
        <v>681</v>
      </c>
      <c r="Q614" s="20">
        <v>153</v>
      </c>
      <c r="R614" s="20">
        <v>7</v>
      </c>
      <c r="S614" s="20">
        <v>14</v>
      </c>
      <c r="T614" s="20">
        <v>39</v>
      </c>
      <c r="U614" s="20">
        <v>24</v>
      </c>
      <c r="V614" s="20">
        <v>26</v>
      </c>
      <c r="W614" s="20">
        <v>26</v>
      </c>
      <c r="X614" s="20">
        <v>247</v>
      </c>
      <c r="Y614" s="20">
        <v>304</v>
      </c>
      <c r="Z614" s="20">
        <v>115</v>
      </c>
      <c r="AA614" s="20">
        <v>2</v>
      </c>
      <c r="AB614" s="20">
        <v>274</v>
      </c>
      <c r="AC614" s="20">
        <v>397</v>
      </c>
    </row>
    <row r="615" spans="1:29" s="20" customFormat="1" x14ac:dyDescent="0.35">
      <c r="A615" s="20" t="s">
        <v>1244</v>
      </c>
      <c r="B615" s="20">
        <v>514</v>
      </c>
      <c r="C615" s="20">
        <v>700</v>
      </c>
      <c r="D615" s="20">
        <v>660</v>
      </c>
      <c r="E615" s="20">
        <v>834</v>
      </c>
      <c r="F615" s="20">
        <v>873</v>
      </c>
      <c r="G615" s="20">
        <v>880</v>
      </c>
      <c r="H615" s="20">
        <v>870</v>
      </c>
      <c r="I615" s="20">
        <v>919</v>
      </c>
      <c r="J615" s="20">
        <v>836</v>
      </c>
      <c r="K615" s="20">
        <v>903</v>
      </c>
      <c r="L615" s="20">
        <v>815</v>
      </c>
      <c r="M615" s="20">
        <v>796</v>
      </c>
      <c r="N615" s="20">
        <v>976</v>
      </c>
      <c r="O615" s="20">
        <v>846</v>
      </c>
      <c r="P615" s="20">
        <v>985</v>
      </c>
      <c r="Q615" s="20">
        <v>899</v>
      </c>
      <c r="R615" s="20">
        <v>828</v>
      </c>
      <c r="S615" s="20">
        <v>794</v>
      </c>
      <c r="T615" s="20">
        <v>817</v>
      </c>
      <c r="U615" s="20">
        <v>800</v>
      </c>
      <c r="V615" s="20">
        <v>722</v>
      </c>
      <c r="W615" s="20">
        <v>748</v>
      </c>
      <c r="X615" s="20">
        <v>763</v>
      </c>
      <c r="Y615" s="20">
        <v>799</v>
      </c>
      <c r="Z615" s="20">
        <v>858</v>
      </c>
      <c r="AA615" s="20">
        <v>691</v>
      </c>
      <c r="AB615" s="20">
        <v>773</v>
      </c>
      <c r="AC615" s="20">
        <v>825</v>
      </c>
    </row>
    <row r="616" spans="1:29" x14ac:dyDescent="0.35">
      <c r="A616" t="s">
        <v>1245</v>
      </c>
      <c r="B616" s="7">
        <v>10.79</v>
      </c>
      <c r="C616" s="7">
        <v>10.77</v>
      </c>
      <c r="D616" s="7">
        <v>10.64</v>
      </c>
      <c r="E616" s="7">
        <v>10.73</v>
      </c>
      <c r="F616" s="7">
        <v>9.26</v>
      </c>
      <c r="G616" s="7">
        <v>9.83</v>
      </c>
      <c r="H616" s="7">
        <v>10.33</v>
      </c>
      <c r="I616" s="7">
        <v>10.39</v>
      </c>
      <c r="J616" s="7">
        <v>10.67</v>
      </c>
      <c r="K616" s="7">
        <v>10.76</v>
      </c>
      <c r="L616" s="7">
        <v>10.77</v>
      </c>
      <c r="M616" s="7">
        <v>10.71</v>
      </c>
      <c r="N616" s="7">
        <v>10.78</v>
      </c>
      <c r="O616" s="7">
        <v>9.3699999999999992</v>
      </c>
      <c r="P616" s="7">
        <v>9</v>
      </c>
      <c r="Q616" s="7">
        <v>10.039999999999999</v>
      </c>
      <c r="R616" s="7">
        <v>10.74</v>
      </c>
      <c r="S616" s="7">
        <v>10.68</v>
      </c>
      <c r="T616" s="7">
        <v>10.48</v>
      </c>
      <c r="U616" s="7">
        <v>10.58</v>
      </c>
      <c r="V616" s="7">
        <v>10.53</v>
      </c>
      <c r="W616" s="7">
        <v>10.58</v>
      </c>
      <c r="X616" s="7">
        <v>9.51</v>
      </c>
      <c r="Y616" s="7">
        <v>9.1</v>
      </c>
      <c r="Z616" s="7">
        <v>10.01</v>
      </c>
      <c r="AA616" s="7">
        <v>10.76</v>
      </c>
      <c r="AB616" s="7">
        <v>9.35</v>
      </c>
      <c r="AC616" s="7">
        <v>8.99</v>
      </c>
    </row>
    <row r="617" spans="1:29" x14ac:dyDescent="0.35">
      <c r="F617" s="63">
        <f>SUM(F615:G615)</f>
        <v>1753</v>
      </c>
      <c r="G617" s="63">
        <f>SUM(F614:G614)</f>
        <v>769</v>
      </c>
      <c r="X617" s="63">
        <f>SUM(X615:Y615)</f>
        <v>1562</v>
      </c>
      <c r="Y617" s="63">
        <f>SUM(X614:Y614)</f>
        <v>551</v>
      </c>
    </row>
    <row r="619" spans="1:29" x14ac:dyDescent="0.35">
      <c r="A619" s="49" t="s">
        <v>1254</v>
      </c>
      <c r="B619" s="5">
        <v>46026</v>
      </c>
      <c r="C619" s="5">
        <v>46033</v>
      </c>
      <c r="D619" s="5">
        <v>46040</v>
      </c>
      <c r="E619" s="5">
        <v>46047</v>
      </c>
      <c r="F619" s="103">
        <v>46054</v>
      </c>
      <c r="G619" s="103">
        <v>46061</v>
      </c>
      <c r="H619" s="5">
        <v>46068</v>
      </c>
      <c r="I619" s="5">
        <v>46075</v>
      </c>
      <c r="J619" s="5">
        <v>46082</v>
      </c>
      <c r="K619" s="5">
        <v>46089</v>
      </c>
      <c r="L619" s="5">
        <v>46096</v>
      </c>
      <c r="M619" s="5">
        <v>46103</v>
      </c>
      <c r="N619" s="5">
        <v>46110</v>
      </c>
      <c r="O619" s="103">
        <v>46117</v>
      </c>
      <c r="P619" s="103">
        <v>46124</v>
      </c>
      <c r="Q619" s="5">
        <v>46131</v>
      </c>
      <c r="R619" s="5">
        <v>46138</v>
      </c>
      <c r="S619" s="5">
        <v>46145</v>
      </c>
      <c r="T619" s="5">
        <v>46152</v>
      </c>
      <c r="U619" s="5">
        <v>46159</v>
      </c>
      <c r="V619" s="5">
        <v>46166</v>
      </c>
      <c r="W619" s="5">
        <v>46173</v>
      </c>
      <c r="X619" s="103">
        <v>46180</v>
      </c>
      <c r="Y619" s="103">
        <v>46187</v>
      </c>
      <c r="Z619" s="5">
        <v>46194</v>
      </c>
      <c r="AA619" s="5">
        <v>46201</v>
      </c>
      <c r="AB619" s="5">
        <v>46208</v>
      </c>
      <c r="AC619" s="5">
        <v>46215</v>
      </c>
    </row>
    <row r="620" spans="1:29" x14ac:dyDescent="0.35">
      <c r="A620" t="s">
        <v>1242</v>
      </c>
      <c r="B620" s="3">
        <v>1E-3</v>
      </c>
      <c r="C620" s="3">
        <v>0</v>
      </c>
      <c r="D620" s="3">
        <v>5.0000000000000001E-3</v>
      </c>
      <c r="E620" s="3">
        <v>5.0000000000000001E-3</v>
      </c>
      <c r="F620" s="31">
        <v>0.55300000000000005</v>
      </c>
      <c r="G620" s="31">
        <v>0.32500000000000001</v>
      </c>
      <c r="H620" s="3">
        <v>2.4E-2</v>
      </c>
      <c r="I620" s="3">
        <v>1.2E-2</v>
      </c>
      <c r="J620" s="3">
        <v>4.0000000000000001E-3</v>
      </c>
      <c r="K620" s="3">
        <v>8.0000000000000002E-3</v>
      </c>
      <c r="L620" s="3">
        <v>1.0999999999999999E-2</v>
      </c>
      <c r="M620" s="3">
        <v>8.9999999999999993E-3</v>
      </c>
      <c r="N620" s="3">
        <v>2E-3</v>
      </c>
      <c r="O620" s="31">
        <v>0.371</v>
      </c>
      <c r="P620" s="31">
        <v>0.69199999999999995</v>
      </c>
      <c r="Q620" s="3">
        <v>0.17</v>
      </c>
      <c r="R620" s="3">
        <v>8.0000000000000002E-3</v>
      </c>
      <c r="S620" s="3">
        <v>1.7999999999999999E-2</v>
      </c>
      <c r="T620" s="3">
        <v>4.7E-2</v>
      </c>
      <c r="U620" s="3">
        <v>0.03</v>
      </c>
      <c r="V620" s="3">
        <v>3.5999999999999997E-2</v>
      </c>
      <c r="W620" s="3">
        <v>3.5000000000000003E-2</v>
      </c>
      <c r="X620" s="3">
        <v>0.32400000000000001</v>
      </c>
      <c r="Y620" s="3">
        <v>0.38</v>
      </c>
      <c r="Z620" s="3">
        <v>0.13300000000000001</v>
      </c>
      <c r="AA620" s="3">
        <v>3.0000000000000001E-3</v>
      </c>
      <c r="AB620" s="3">
        <v>0.35399999999999998</v>
      </c>
      <c r="AC620" s="3">
        <v>0.48099999999999998</v>
      </c>
    </row>
    <row r="621" spans="1:29" x14ac:dyDescent="0.35">
      <c r="A621" t="s">
        <v>1247</v>
      </c>
      <c r="B621" s="3">
        <v>0.15</v>
      </c>
      <c r="C621" s="3">
        <v>0.158</v>
      </c>
      <c r="D621" s="3">
        <v>0.33100000000000002</v>
      </c>
      <c r="E621" s="3">
        <v>0.254</v>
      </c>
      <c r="F621" s="31">
        <v>9.7000000000000003E-2</v>
      </c>
      <c r="G621" s="31">
        <v>7.5999999999999998E-2</v>
      </c>
      <c r="H621" s="3">
        <v>0.159</v>
      </c>
      <c r="I621" s="3">
        <v>0.16</v>
      </c>
      <c r="J621" s="3">
        <v>0.22800000000000001</v>
      </c>
      <c r="K621" s="3">
        <v>0.17499999999999999</v>
      </c>
      <c r="L621" s="3">
        <v>0.10299999999999999</v>
      </c>
      <c r="M621" s="3">
        <v>0.23400000000000001</v>
      </c>
      <c r="N621" s="3">
        <v>0.13100000000000001</v>
      </c>
      <c r="O621" s="3">
        <v>0.09</v>
      </c>
      <c r="P621" s="3">
        <v>0.121</v>
      </c>
      <c r="Q621" s="3">
        <v>8.8999999999999996E-2</v>
      </c>
      <c r="R621" s="3">
        <v>0.193</v>
      </c>
      <c r="S621" s="3">
        <v>0.29699999999999999</v>
      </c>
      <c r="T621" s="3">
        <v>0.37</v>
      </c>
      <c r="U621" s="3">
        <v>0.378</v>
      </c>
      <c r="V621" s="3">
        <v>0.29799999999999999</v>
      </c>
      <c r="W621" s="3">
        <v>0.34300000000000003</v>
      </c>
      <c r="X621" s="3">
        <v>8.6999999999999994E-2</v>
      </c>
      <c r="Y621" s="3">
        <v>8.7999999999999995E-2</v>
      </c>
      <c r="Z621" s="3">
        <v>7.4999999999999997E-2</v>
      </c>
      <c r="AA621" s="3">
        <v>8.5000000000000006E-2</v>
      </c>
      <c r="AB621" s="3">
        <v>9.2999999999999999E-2</v>
      </c>
      <c r="AC621" s="3">
        <v>0.108</v>
      </c>
    </row>
    <row r="622" spans="1:29" x14ac:dyDescent="0.35">
      <c r="A622" t="s">
        <v>1248</v>
      </c>
      <c r="B622" s="7">
        <v>1.62</v>
      </c>
      <c r="C622" s="7">
        <v>1.71</v>
      </c>
      <c r="D622" s="7">
        <v>3.54</v>
      </c>
      <c r="E622" s="7">
        <v>2.74</v>
      </c>
      <c r="F622" s="7">
        <v>0.99</v>
      </c>
      <c r="G622" s="7">
        <v>0.79</v>
      </c>
      <c r="H622" s="7">
        <v>1.66</v>
      </c>
      <c r="I622" s="7">
        <v>1.67</v>
      </c>
      <c r="J622" s="7">
        <v>2.44</v>
      </c>
      <c r="K622" s="7">
        <v>1.89</v>
      </c>
      <c r="L622" s="7">
        <v>1.1100000000000001</v>
      </c>
      <c r="M622" s="7">
        <v>2.52</v>
      </c>
      <c r="N622" s="7">
        <v>1.42</v>
      </c>
      <c r="O622" s="7">
        <v>0.92</v>
      </c>
      <c r="P622" s="7">
        <v>1.24</v>
      </c>
      <c r="Q622" s="7">
        <v>0.93</v>
      </c>
      <c r="R622" s="7">
        <v>2.08</v>
      </c>
      <c r="S622" s="7">
        <v>3.2</v>
      </c>
      <c r="T622" s="7">
        <v>3.99</v>
      </c>
      <c r="U622" s="7">
        <v>4.07</v>
      </c>
      <c r="V622" s="7">
        <v>3.21</v>
      </c>
      <c r="W622" s="7">
        <v>3.7</v>
      </c>
      <c r="X622" s="7">
        <v>0.89</v>
      </c>
      <c r="Y622" s="7">
        <v>0.88</v>
      </c>
      <c r="Z622" s="7">
        <v>0.77</v>
      </c>
      <c r="AA622" s="7">
        <v>0.92</v>
      </c>
      <c r="AB622" s="7">
        <v>0.94</v>
      </c>
      <c r="AC622" s="7">
        <v>1.08</v>
      </c>
    </row>
    <row r="623" spans="1:29" x14ac:dyDescent="0.35">
      <c r="A623" t="s">
        <v>1249</v>
      </c>
      <c r="B623" s="7">
        <v>9.17</v>
      </c>
      <c r="C623" s="7">
        <v>9.06</v>
      </c>
      <c r="D623" s="7">
        <v>7.16</v>
      </c>
      <c r="E623" s="7">
        <v>8.0500000000000007</v>
      </c>
      <c r="F623" s="7">
        <v>9.2100000000000009</v>
      </c>
      <c r="G623" s="7">
        <v>9.5399999999999991</v>
      </c>
      <c r="H623" s="7">
        <v>8.75</v>
      </c>
      <c r="I623" s="7">
        <v>8.76</v>
      </c>
      <c r="J623" s="7">
        <v>8.25</v>
      </c>
      <c r="K623" s="7">
        <v>8.9</v>
      </c>
      <c r="L623" s="7">
        <v>9.68</v>
      </c>
      <c r="M623" s="7">
        <v>8.23</v>
      </c>
      <c r="N623" s="7">
        <v>9.3800000000000008</v>
      </c>
      <c r="O623" s="32">
        <v>9.24</v>
      </c>
      <c r="P623" s="32">
        <v>8.99</v>
      </c>
      <c r="Q623" s="7">
        <v>9.4700000000000006</v>
      </c>
      <c r="R623" s="7">
        <v>8.6999999999999993</v>
      </c>
      <c r="S623" s="7">
        <v>7.59</v>
      </c>
      <c r="T623" s="7">
        <v>6.78</v>
      </c>
      <c r="U623" s="7">
        <v>6.71</v>
      </c>
      <c r="V623" s="7">
        <v>7.55</v>
      </c>
      <c r="W623" s="7">
        <v>7.09</v>
      </c>
      <c r="X623" s="32">
        <v>9.31</v>
      </c>
      <c r="Y623" s="32">
        <v>9.08</v>
      </c>
      <c r="Z623" s="7">
        <v>9.5299999999999994</v>
      </c>
      <c r="AA623" s="7">
        <v>9.85</v>
      </c>
      <c r="AB623" s="7">
        <v>9.18</v>
      </c>
      <c r="AC623" s="7">
        <v>8.9499999999999993</v>
      </c>
    </row>
    <row r="624" spans="1:29" x14ac:dyDescent="0.35">
      <c r="A624" t="s">
        <v>1250</v>
      </c>
      <c r="B624" s="7">
        <v>10.79</v>
      </c>
      <c r="C624" s="7">
        <v>10.77</v>
      </c>
      <c r="D624" s="7">
        <v>10.7</v>
      </c>
      <c r="E624" s="7">
        <v>10.79</v>
      </c>
      <c r="F624" s="7">
        <v>10.199999999999999</v>
      </c>
      <c r="G624" s="7">
        <v>10.33</v>
      </c>
      <c r="H624" s="7">
        <v>10.41</v>
      </c>
      <c r="I624" s="7">
        <v>10.43</v>
      </c>
      <c r="J624" s="7">
        <v>10.69</v>
      </c>
      <c r="K624" s="7">
        <v>10.79</v>
      </c>
      <c r="L624" s="7">
        <v>10.79</v>
      </c>
      <c r="M624" s="7">
        <v>10.76</v>
      </c>
      <c r="N624" s="7">
        <v>10.8</v>
      </c>
      <c r="O624" s="7">
        <v>10.16</v>
      </c>
      <c r="P624" s="7">
        <v>10.23</v>
      </c>
      <c r="Q624" s="7">
        <v>10.4</v>
      </c>
      <c r="R624" s="7">
        <v>10.78</v>
      </c>
      <c r="S624" s="7">
        <v>10.8</v>
      </c>
      <c r="T624" s="7">
        <v>10.77</v>
      </c>
      <c r="U624" s="7">
        <v>10.78</v>
      </c>
      <c r="V624" s="7">
        <v>10.75</v>
      </c>
      <c r="W624" s="7">
        <v>10.79</v>
      </c>
      <c r="X624" s="7">
        <v>10.19</v>
      </c>
      <c r="Y624" s="7">
        <v>9.9600000000000009</v>
      </c>
      <c r="Z624" s="7">
        <v>10.3</v>
      </c>
      <c r="AA624" s="7">
        <v>10.77</v>
      </c>
      <c r="AB624" s="7">
        <v>10.119999999999999</v>
      </c>
      <c r="AC624" s="7">
        <v>10.039999999999999</v>
      </c>
    </row>
    <row r="625" spans="1:29" x14ac:dyDescent="0.35">
      <c r="A625" t="s">
        <v>1245</v>
      </c>
      <c r="B625" s="7">
        <v>10.79</v>
      </c>
      <c r="C625" s="7">
        <v>10.77</v>
      </c>
      <c r="D625" s="7">
        <v>10.64</v>
      </c>
      <c r="E625" s="7">
        <v>10.73</v>
      </c>
      <c r="F625" s="7">
        <v>9.26</v>
      </c>
      <c r="G625" s="7">
        <v>9.83</v>
      </c>
      <c r="H625" s="7">
        <v>10.33</v>
      </c>
      <c r="I625" s="7">
        <v>10.39</v>
      </c>
      <c r="J625" s="7">
        <v>10.67</v>
      </c>
      <c r="K625" s="7">
        <v>10.76</v>
      </c>
      <c r="L625" s="7">
        <v>10.77</v>
      </c>
      <c r="M625" s="7">
        <v>10.71</v>
      </c>
      <c r="N625" s="7">
        <v>10.78</v>
      </c>
      <c r="O625" s="7">
        <v>9.3699999999999992</v>
      </c>
      <c r="P625" s="7">
        <v>9</v>
      </c>
      <c r="Q625" s="7">
        <v>10.039999999999999</v>
      </c>
      <c r="R625" s="7">
        <v>10.74</v>
      </c>
      <c r="S625" s="7">
        <v>10.68</v>
      </c>
      <c r="T625" s="7">
        <v>10.48</v>
      </c>
      <c r="U625" s="7">
        <v>10.58</v>
      </c>
      <c r="V625" s="7">
        <v>10.53</v>
      </c>
      <c r="W625" s="7">
        <v>10.58</v>
      </c>
      <c r="X625" s="7">
        <v>9.51</v>
      </c>
      <c r="Y625" s="7">
        <v>9.1</v>
      </c>
      <c r="Z625" s="7">
        <v>10.01</v>
      </c>
      <c r="AA625" s="7">
        <v>10.76</v>
      </c>
      <c r="AB625" s="7">
        <v>9.35</v>
      </c>
      <c r="AC625" s="7">
        <v>8.99</v>
      </c>
    </row>
    <row r="627" spans="1:29" s="66" customFormat="1" x14ac:dyDescent="0.35"/>
    <row r="629" spans="1:29" x14ac:dyDescent="0.35">
      <c r="A629" s="4" t="s">
        <v>1373</v>
      </c>
    </row>
    <row r="631" spans="1:29" x14ac:dyDescent="0.35">
      <c r="A631" t="s">
        <v>1374</v>
      </c>
      <c r="B631" s="109">
        <v>46026</v>
      </c>
      <c r="C631" s="109">
        <v>46033</v>
      </c>
      <c r="D631" s="109">
        <v>46040</v>
      </c>
      <c r="E631" s="109">
        <v>46047</v>
      </c>
      <c r="F631" s="109">
        <v>46054</v>
      </c>
      <c r="G631" s="5">
        <v>46061</v>
      </c>
      <c r="H631" s="5">
        <v>46068</v>
      </c>
      <c r="I631" s="5">
        <v>46075</v>
      </c>
      <c r="J631" s="5">
        <v>46082</v>
      </c>
      <c r="K631" s="5">
        <v>46089</v>
      </c>
      <c r="L631" s="5">
        <v>46096</v>
      </c>
      <c r="M631" s="5">
        <v>46103</v>
      </c>
      <c r="N631" s="5">
        <v>46110</v>
      </c>
      <c r="O631" s="5">
        <v>46117</v>
      </c>
      <c r="P631" s="5">
        <v>46124</v>
      </c>
      <c r="Q631" s="5">
        <v>46131</v>
      </c>
      <c r="R631" s="5">
        <v>46138</v>
      </c>
      <c r="S631" s="5">
        <v>46145</v>
      </c>
      <c r="T631" s="5">
        <v>46152</v>
      </c>
      <c r="U631" s="5">
        <v>46159</v>
      </c>
      <c r="V631" s="5">
        <v>46166</v>
      </c>
      <c r="W631" s="5">
        <v>46173</v>
      </c>
      <c r="X631" s="5">
        <v>46180</v>
      </c>
      <c r="Y631" s="5">
        <v>46187</v>
      </c>
      <c r="Z631" s="5">
        <v>46194</v>
      </c>
      <c r="AA631" s="5">
        <v>46201</v>
      </c>
      <c r="AB631" s="5">
        <v>46208</v>
      </c>
      <c r="AC631" s="5">
        <v>46215</v>
      </c>
    </row>
    <row r="632" spans="1:29" x14ac:dyDescent="0.35">
      <c r="A632" t="s">
        <v>1241</v>
      </c>
      <c r="B632" s="6">
        <v>104195</v>
      </c>
      <c r="C632" s="6">
        <v>226631</v>
      </c>
      <c r="D632" s="6">
        <v>200028</v>
      </c>
      <c r="E632" s="6">
        <v>191430</v>
      </c>
      <c r="F632" s="6">
        <v>79408</v>
      </c>
      <c r="G632" s="6">
        <v>80472</v>
      </c>
      <c r="H632" s="6">
        <v>76229</v>
      </c>
      <c r="I632" s="6">
        <v>71583</v>
      </c>
      <c r="J632" s="6">
        <v>77413</v>
      </c>
      <c r="K632" s="6">
        <v>78806</v>
      </c>
      <c r="L632" s="6">
        <v>73159</v>
      </c>
      <c r="M632" s="6">
        <v>68006</v>
      </c>
      <c r="N632" s="6">
        <v>74537</v>
      </c>
      <c r="O632" s="6">
        <v>80078</v>
      </c>
      <c r="P632" s="6">
        <v>62113</v>
      </c>
      <c r="Q632" s="6">
        <v>73355</v>
      </c>
      <c r="R632" s="6">
        <v>70130</v>
      </c>
      <c r="S632" s="6">
        <v>67933</v>
      </c>
      <c r="T632" s="6">
        <v>65570</v>
      </c>
      <c r="U632" s="6">
        <v>60368</v>
      </c>
      <c r="V632" s="6">
        <v>65833</v>
      </c>
      <c r="W632" s="6">
        <v>65511</v>
      </c>
      <c r="X632" s="6">
        <v>69063</v>
      </c>
      <c r="Y632" s="6">
        <v>68592</v>
      </c>
      <c r="Z632" s="6">
        <v>70817</v>
      </c>
      <c r="AA632" s="6">
        <v>68250</v>
      </c>
      <c r="AB632" s="6">
        <v>75355</v>
      </c>
      <c r="AC632" s="6">
        <v>62742</v>
      </c>
    </row>
    <row r="633" spans="1:29" x14ac:dyDescent="0.35">
      <c r="A633" t="s">
        <v>1242</v>
      </c>
      <c r="B633" s="3">
        <v>0.45200000000000001</v>
      </c>
      <c r="C633" s="3">
        <v>1.266</v>
      </c>
      <c r="D633" s="3">
        <v>0.93600000000000005</v>
      </c>
      <c r="E633" s="3">
        <v>0.9</v>
      </c>
      <c r="F633" s="3">
        <v>0.183</v>
      </c>
      <c r="G633" s="3">
        <v>0.02</v>
      </c>
      <c r="H633" s="3">
        <v>1.7000000000000001E-2</v>
      </c>
      <c r="I633" s="3">
        <v>1.6E-2</v>
      </c>
      <c r="J633" s="3">
        <v>0.192</v>
      </c>
      <c r="K633" s="3">
        <v>0.191</v>
      </c>
      <c r="L633" s="3">
        <v>0.248</v>
      </c>
      <c r="M633" s="3">
        <v>0.20399999999999999</v>
      </c>
      <c r="N633" s="3">
        <v>0.19400000000000001</v>
      </c>
      <c r="O633" s="3">
        <v>0.222</v>
      </c>
      <c r="P633" s="3">
        <v>0.13100000000000001</v>
      </c>
      <c r="Q633" s="3">
        <v>0.17899999999999999</v>
      </c>
      <c r="R633" s="3">
        <v>0.105</v>
      </c>
      <c r="S633" s="3">
        <v>9.2999999999999999E-2</v>
      </c>
      <c r="T633" s="3">
        <v>9.0999999999999998E-2</v>
      </c>
      <c r="U633" s="3">
        <v>3.2000000000000001E-2</v>
      </c>
      <c r="V633" s="3">
        <v>2.4E-2</v>
      </c>
      <c r="W633" s="3">
        <v>4.8000000000000001E-2</v>
      </c>
      <c r="X633" s="3">
        <v>4.8000000000000001E-2</v>
      </c>
      <c r="Y633" s="3">
        <v>0.05</v>
      </c>
      <c r="Z633" s="3">
        <v>8.8999999999999996E-2</v>
      </c>
      <c r="AA633" s="3">
        <v>0.161</v>
      </c>
      <c r="AB633" s="3">
        <v>0.16</v>
      </c>
      <c r="AC633" s="3">
        <v>9.1999999999999998E-2</v>
      </c>
    </row>
    <row r="634" spans="1:29" x14ac:dyDescent="0.35">
      <c r="A634" t="s">
        <v>1243</v>
      </c>
      <c r="B634" s="6">
        <v>32431</v>
      </c>
      <c r="C634" s="6">
        <v>126632</v>
      </c>
      <c r="D634" s="6">
        <v>96684</v>
      </c>
      <c r="E634" s="6">
        <v>90661</v>
      </c>
      <c r="F634" s="6">
        <v>12290</v>
      </c>
      <c r="G634" s="6">
        <v>1584</v>
      </c>
      <c r="H634" s="6">
        <v>1267</v>
      </c>
      <c r="I634" s="6">
        <v>1108</v>
      </c>
      <c r="J634" s="6">
        <v>12495</v>
      </c>
      <c r="K634" s="6">
        <v>12615</v>
      </c>
      <c r="L634" s="6">
        <v>14557</v>
      </c>
      <c r="M634" s="6">
        <v>11529</v>
      </c>
      <c r="N634" s="6">
        <v>12096</v>
      </c>
      <c r="O634" s="6">
        <v>14522</v>
      </c>
      <c r="P634" s="6">
        <v>7198</v>
      </c>
      <c r="Q634" s="6">
        <v>11158</v>
      </c>
      <c r="R634" s="6">
        <v>6664</v>
      </c>
      <c r="S634" s="6">
        <v>5799</v>
      </c>
      <c r="T634" s="6">
        <v>5463</v>
      </c>
      <c r="U634" s="6">
        <v>1863</v>
      </c>
      <c r="V634" s="6">
        <v>1553</v>
      </c>
      <c r="W634" s="6">
        <v>2983</v>
      </c>
      <c r="X634" s="6">
        <v>3177</v>
      </c>
      <c r="Y634" s="6">
        <v>3243</v>
      </c>
      <c r="Z634" s="6">
        <v>5808</v>
      </c>
      <c r="AA634" s="6">
        <v>9466</v>
      </c>
      <c r="AB634" s="6">
        <v>10384</v>
      </c>
      <c r="AC634" s="6">
        <v>5300</v>
      </c>
    </row>
    <row r="635" spans="1:29" x14ac:dyDescent="0.35">
      <c r="A635" t="s">
        <v>1244</v>
      </c>
      <c r="B635" s="6">
        <v>71764</v>
      </c>
      <c r="C635" s="6">
        <v>99999</v>
      </c>
      <c r="D635" s="6">
        <v>103344</v>
      </c>
      <c r="E635" s="6">
        <v>100769</v>
      </c>
      <c r="F635" s="6">
        <v>67118</v>
      </c>
      <c r="G635" s="6">
        <v>78888</v>
      </c>
      <c r="H635" s="6">
        <v>74962</v>
      </c>
      <c r="I635" s="6">
        <v>70475</v>
      </c>
      <c r="J635" s="6">
        <v>64918</v>
      </c>
      <c r="K635" s="6">
        <v>66191</v>
      </c>
      <c r="L635" s="6">
        <v>58602</v>
      </c>
      <c r="M635" s="6">
        <v>56477</v>
      </c>
      <c r="N635" s="6">
        <v>62441</v>
      </c>
      <c r="O635" s="6">
        <v>65556</v>
      </c>
      <c r="P635" s="6">
        <v>54915</v>
      </c>
      <c r="Q635" s="6">
        <v>62197</v>
      </c>
      <c r="R635" s="6">
        <v>63466</v>
      </c>
      <c r="S635" s="6">
        <v>62134</v>
      </c>
      <c r="T635" s="6">
        <v>60107</v>
      </c>
      <c r="U635" s="6">
        <v>58505</v>
      </c>
      <c r="V635" s="6">
        <v>64280</v>
      </c>
      <c r="W635" s="6">
        <v>62528</v>
      </c>
      <c r="X635" s="6">
        <v>65886</v>
      </c>
      <c r="Y635" s="6">
        <v>65349</v>
      </c>
      <c r="Z635" s="6">
        <v>65009</v>
      </c>
      <c r="AA635" s="6">
        <v>58784</v>
      </c>
      <c r="AB635" s="6">
        <v>64971</v>
      </c>
      <c r="AC635" s="6">
        <v>57442</v>
      </c>
    </row>
    <row r="636" spans="1:29" x14ac:dyDescent="0.35">
      <c r="A636" t="s">
        <v>1245</v>
      </c>
      <c r="B636" s="7">
        <v>18.53</v>
      </c>
      <c r="C636" s="7">
        <v>16.59</v>
      </c>
      <c r="D636" s="7">
        <v>16.59</v>
      </c>
      <c r="E636" s="7">
        <v>16.7</v>
      </c>
      <c r="F636" s="7">
        <v>18.41</v>
      </c>
      <c r="G636" s="7">
        <v>19.95</v>
      </c>
      <c r="H636" s="7">
        <v>19.95</v>
      </c>
      <c r="I636" s="7">
        <v>19.95</v>
      </c>
      <c r="J636" s="7">
        <v>19.95</v>
      </c>
      <c r="K636" s="7">
        <v>19.84</v>
      </c>
      <c r="L636" s="7">
        <v>19.72</v>
      </c>
      <c r="M636" s="7">
        <v>19.600000000000001</v>
      </c>
      <c r="N636" s="7">
        <v>19.52</v>
      </c>
      <c r="O636" s="7">
        <v>19.600000000000001</v>
      </c>
      <c r="P636" s="7">
        <v>19.7</v>
      </c>
      <c r="Q636" s="7">
        <v>19.79</v>
      </c>
      <c r="R636" s="7">
        <v>19.850000000000001</v>
      </c>
      <c r="S636" s="7">
        <v>19.91</v>
      </c>
      <c r="T636" s="7">
        <v>19.920000000000002</v>
      </c>
      <c r="U636" s="7">
        <v>19.920000000000002</v>
      </c>
      <c r="V636" s="7">
        <v>19.93</v>
      </c>
      <c r="W636" s="7">
        <v>19.77</v>
      </c>
      <c r="X636" s="7">
        <v>19.940000000000001</v>
      </c>
      <c r="Y636" s="7">
        <v>19.95</v>
      </c>
      <c r="Z636" s="7">
        <v>19.600000000000001</v>
      </c>
      <c r="AA636" s="7">
        <v>18.72</v>
      </c>
      <c r="AB636" s="7">
        <v>18.850000000000001</v>
      </c>
      <c r="AC636" s="7">
        <v>18.989999999999998</v>
      </c>
    </row>
    <row r="637" spans="1:29" x14ac:dyDescent="0.35">
      <c r="C637" s="6">
        <f>SUM(B635:F635)</f>
        <v>442994</v>
      </c>
      <c r="D637" s="6">
        <f>SUM(B634:F634)</f>
        <v>358698</v>
      </c>
    </row>
    <row r="638" spans="1:29" x14ac:dyDescent="0.35">
      <c r="A638" t="s">
        <v>1374</v>
      </c>
      <c r="B638" s="5">
        <v>46026</v>
      </c>
      <c r="C638" s="5">
        <v>46033</v>
      </c>
      <c r="D638" s="5">
        <v>46040</v>
      </c>
      <c r="E638" s="5">
        <v>46047</v>
      </c>
      <c r="F638" s="5">
        <v>46054</v>
      </c>
      <c r="G638" s="5">
        <v>46061</v>
      </c>
      <c r="H638" s="5">
        <v>46068</v>
      </c>
      <c r="I638" s="5">
        <v>46075</v>
      </c>
      <c r="J638" s="5">
        <v>46082</v>
      </c>
      <c r="K638" s="5">
        <v>46089</v>
      </c>
      <c r="L638" s="5">
        <v>46096</v>
      </c>
      <c r="M638" s="5">
        <v>46103</v>
      </c>
      <c r="N638" s="5">
        <v>46110</v>
      </c>
      <c r="O638" s="5">
        <v>46117</v>
      </c>
      <c r="P638" s="5">
        <v>46124</v>
      </c>
      <c r="Q638" s="5">
        <v>46131</v>
      </c>
      <c r="R638" s="5">
        <v>46138</v>
      </c>
      <c r="S638" s="5">
        <v>46145</v>
      </c>
      <c r="T638" s="5">
        <v>46152</v>
      </c>
      <c r="U638" s="5">
        <v>46159</v>
      </c>
      <c r="V638" s="5">
        <v>46166</v>
      </c>
      <c r="W638" s="5">
        <v>46173</v>
      </c>
      <c r="X638" s="5">
        <v>46180</v>
      </c>
      <c r="Y638" s="5">
        <v>46187</v>
      </c>
      <c r="Z638" s="5">
        <v>46194</v>
      </c>
      <c r="AA638" s="5">
        <v>46201</v>
      </c>
      <c r="AB638" s="5">
        <v>46208</v>
      </c>
      <c r="AC638" s="5">
        <v>46215</v>
      </c>
    </row>
    <row r="639" spans="1:29" x14ac:dyDescent="0.35">
      <c r="A639" t="s">
        <v>1242</v>
      </c>
      <c r="B639" s="3">
        <v>0.45200000000000001</v>
      </c>
      <c r="C639" s="3">
        <v>1.266</v>
      </c>
      <c r="D639" s="3">
        <v>0.93600000000000005</v>
      </c>
      <c r="E639" s="3">
        <v>0.9</v>
      </c>
      <c r="F639" s="3">
        <v>0.183</v>
      </c>
      <c r="G639" s="3">
        <v>0.02</v>
      </c>
      <c r="H639" s="3">
        <v>1.7000000000000001E-2</v>
      </c>
      <c r="I639" s="3">
        <v>1.6E-2</v>
      </c>
      <c r="J639" s="3">
        <v>0.192</v>
      </c>
      <c r="K639" s="3">
        <v>0.191</v>
      </c>
      <c r="L639" s="3">
        <v>0.248</v>
      </c>
      <c r="M639" s="3">
        <v>0.20399999999999999</v>
      </c>
      <c r="N639" s="3">
        <v>0.19400000000000001</v>
      </c>
      <c r="O639" s="3">
        <v>0.222</v>
      </c>
      <c r="P639" s="3">
        <v>0.13100000000000001</v>
      </c>
      <c r="Q639" s="3">
        <v>0.17899999999999999</v>
      </c>
      <c r="R639" s="3">
        <v>0.105</v>
      </c>
      <c r="S639" s="3">
        <v>9.2999999999999999E-2</v>
      </c>
      <c r="T639" s="3">
        <v>9.0999999999999998E-2</v>
      </c>
      <c r="U639" s="3">
        <v>3.2000000000000001E-2</v>
      </c>
      <c r="V639" s="3">
        <v>2.4E-2</v>
      </c>
      <c r="W639" s="3">
        <v>4.8000000000000001E-2</v>
      </c>
      <c r="X639" s="3">
        <v>4.8000000000000001E-2</v>
      </c>
      <c r="Y639" s="3">
        <v>0.05</v>
      </c>
      <c r="Z639" s="3">
        <v>8.8999999999999996E-2</v>
      </c>
      <c r="AA639" s="3">
        <v>0.161</v>
      </c>
      <c r="AB639" s="3">
        <v>0.16</v>
      </c>
      <c r="AC639" s="3">
        <v>9.1999999999999998E-2</v>
      </c>
    </row>
    <row r="640" spans="1:29" x14ac:dyDescent="0.35">
      <c r="A640" t="s">
        <v>1247</v>
      </c>
      <c r="B640" s="3">
        <v>5.7000000000000002E-2</v>
      </c>
      <c r="C640" s="3">
        <v>0.13700000000000001</v>
      </c>
      <c r="D640" s="3">
        <v>0.13200000000000001</v>
      </c>
      <c r="E640" s="3">
        <v>0.11799999999999999</v>
      </c>
      <c r="F640" s="3">
        <v>4.8000000000000001E-2</v>
      </c>
      <c r="G640" s="3">
        <v>1E-3</v>
      </c>
      <c r="H640" s="3">
        <v>1E-3</v>
      </c>
      <c r="I640" s="3">
        <v>1E-3</v>
      </c>
      <c r="J640" s="3">
        <v>1.7999999999999999E-2</v>
      </c>
      <c r="K640" s="3">
        <v>1.2E-2</v>
      </c>
      <c r="L640" s="3">
        <v>2.1000000000000001E-2</v>
      </c>
      <c r="M640" s="3">
        <v>1.7999999999999999E-2</v>
      </c>
      <c r="N640" s="3">
        <v>2.7E-2</v>
      </c>
      <c r="O640" s="3">
        <v>0.02</v>
      </c>
      <c r="P640" s="3">
        <v>1.7999999999999999E-2</v>
      </c>
      <c r="Q640" s="3">
        <v>1E-3</v>
      </c>
      <c r="R640" s="3">
        <v>0</v>
      </c>
      <c r="S640" s="3">
        <v>-1E-3</v>
      </c>
      <c r="T640" s="3">
        <v>3.0000000000000001E-3</v>
      </c>
      <c r="U640" s="3">
        <v>4.0000000000000001E-3</v>
      </c>
      <c r="V640" s="3">
        <v>3.0000000000000001E-3</v>
      </c>
      <c r="W640" s="3">
        <v>2.5999999999999999E-2</v>
      </c>
      <c r="X640" s="3">
        <v>3.0000000000000001E-3</v>
      </c>
      <c r="Y640" s="3">
        <v>1E-3</v>
      </c>
      <c r="Z640" s="3">
        <v>2.7E-2</v>
      </c>
      <c r="AA640" s="3">
        <v>8.1000000000000003E-2</v>
      </c>
      <c r="AB640" s="3">
        <v>0.09</v>
      </c>
      <c r="AC640" s="3">
        <v>7.2999999999999995E-2</v>
      </c>
    </row>
    <row r="641" spans="1:29" x14ac:dyDescent="0.35">
      <c r="A641" t="s">
        <v>1248</v>
      </c>
      <c r="B641" s="7">
        <v>1.1200000000000001</v>
      </c>
      <c r="C641" s="7">
        <v>2.64</v>
      </c>
      <c r="D641" s="7">
        <v>2.5099999999999998</v>
      </c>
      <c r="E641" s="7">
        <v>2.2400000000000002</v>
      </c>
      <c r="F641" s="7">
        <v>0.91</v>
      </c>
      <c r="G641" s="7">
        <v>0.01</v>
      </c>
      <c r="H641" s="7">
        <v>0.02</v>
      </c>
      <c r="I641" s="7">
        <v>0.01</v>
      </c>
      <c r="J641" s="7">
        <v>0.36</v>
      </c>
      <c r="K641" s="7">
        <v>0.24</v>
      </c>
      <c r="L641" s="7">
        <v>0.42</v>
      </c>
      <c r="M641" s="7">
        <v>0.36</v>
      </c>
      <c r="N641" s="7">
        <v>0.53</v>
      </c>
      <c r="O641" s="7">
        <v>0.39</v>
      </c>
      <c r="P641" s="7">
        <v>0.35</v>
      </c>
      <c r="Q641" s="7">
        <v>0.03</v>
      </c>
      <c r="R641" s="7">
        <v>0</v>
      </c>
      <c r="S641" s="7">
        <v>-0.01</v>
      </c>
      <c r="T641" s="7">
        <v>0.06</v>
      </c>
      <c r="U641" s="7">
        <v>0.08</v>
      </c>
      <c r="V641" s="7">
        <v>0.06</v>
      </c>
      <c r="W641" s="7">
        <v>0.52</v>
      </c>
      <c r="X641" s="7">
        <v>0.06</v>
      </c>
      <c r="Y641" s="7">
        <v>0.02</v>
      </c>
      <c r="Z641" s="7">
        <v>0.54</v>
      </c>
      <c r="AA641" s="7">
        <v>1.6</v>
      </c>
      <c r="AB641" s="7">
        <v>1.79</v>
      </c>
      <c r="AC641" s="7">
        <v>1.44</v>
      </c>
    </row>
    <row r="642" spans="1:29" x14ac:dyDescent="0.35">
      <c r="A642" t="s">
        <v>1249</v>
      </c>
      <c r="B642" s="53">
        <v>18.52</v>
      </c>
      <c r="C642" s="53">
        <v>16.59</v>
      </c>
      <c r="D642" s="53">
        <v>16.59</v>
      </c>
      <c r="E642" s="53">
        <v>16.7</v>
      </c>
      <c r="F642" s="53">
        <v>18.239999999999998</v>
      </c>
      <c r="G642" s="7">
        <v>19.940000000000001</v>
      </c>
      <c r="H642" s="7">
        <v>19.93</v>
      </c>
      <c r="I642" s="7">
        <v>19.940000000000001</v>
      </c>
      <c r="J642" s="7">
        <v>19.940000000000001</v>
      </c>
      <c r="K642" s="7">
        <v>19.68</v>
      </c>
      <c r="L642" s="7">
        <v>19.489999999999998</v>
      </c>
      <c r="M642" s="7">
        <v>19.440000000000001</v>
      </c>
      <c r="N642" s="7">
        <v>19.260000000000002</v>
      </c>
      <c r="O642" s="7">
        <v>19.399999999999999</v>
      </c>
      <c r="P642" s="7">
        <v>19.399999999999999</v>
      </c>
      <c r="Q642" s="7">
        <v>19.77</v>
      </c>
      <c r="R642" s="7">
        <v>19.87</v>
      </c>
      <c r="S642" s="7">
        <v>19.93</v>
      </c>
      <c r="T642" s="7">
        <v>19.88</v>
      </c>
      <c r="U642" s="7">
        <v>19.86</v>
      </c>
      <c r="V642" s="7">
        <v>19.89</v>
      </c>
      <c r="W642" s="7">
        <v>19.440000000000001</v>
      </c>
      <c r="X642" s="7">
        <v>19.899999999999999</v>
      </c>
      <c r="Y642" s="7">
        <v>19.940000000000001</v>
      </c>
      <c r="Z642" s="7">
        <v>19.34</v>
      </c>
      <c r="AA642" s="7">
        <v>18.239999999999998</v>
      </c>
      <c r="AB642" s="7">
        <v>18.07</v>
      </c>
      <c r="AC642" s="7">
        <v>18.309999999999999</v>
      </c>
    </row>
    <row r="643" spans="1:29" x14ac:dyDescent="0.35">
      <c r="A643" t="s">
        <v>1250</v>
      </c>
      <c r="B643" s="7">
        <v>19.64</v>
      </c>
      <c r="C643" s="7">
        <v>19.239999999999998</v>
      </c>
      <c r="D643" s="7">
        <v>19.11</v>
      </c>
      <c r="E643" s="7">
        <v>18.940000000000001</v>
      </c>
      <c r="F643" s="7">
        <v>19.149999999999999</v>
      </c>
      <c r="G643" s="7">
        <v>19.95</v>
      </c>
      <c r="H643" s="7">
        <v>19.95</v>
      </c>
      <c r="I643" s="7">
        <v>19.95</v>
      </c>
      <c r="J643" s="7">
        <v>20.29</v>
      </c>
      <c r="K643" s="7">
        <v>19.920000000000002</v>
      </c>
      <c r="L643" s="7">
        <v>19.91</v>
      </c>
      <c r="M643" s="7">
        <v>19.8</v>
      </c>
      <c r="N643" s="7">
        <v>19.79</v>
      </c>
      <c r="O643" s="7">
        <v>19.79</v>
      </c>
      <c r="P643" s="7">
        <v>19.75</v>
      </c>
      <c r="Q643" s="7">
        <v>19.79</v>
      </c>
      <c r="R643" s="7">
        <v>19.87</v>
      </c>
      <c r="S643" s="7">
        <v>19.91</v>
      </c>
      <c r="T643" s="7">
        <v>19.940000000000001</v>
      </c>
      <c r="U643" s="7">
        <v>19.95</v>
      </c>
      <c r="V643" s="7">
        <v>19.95</v>
      </c>
      <c r="W643" s="7">
        <v>19.96</v>
      </c>
      <c r="X643" s="7">
        <v>19.97</v>
      </c>
      <c r="Y643" s="7">
        <v>19.96</v>
      </c>
      <c r="Z643" s="7">
        <v>19.88</v>
      </c>
      <c r="AA643" s="7">
        <v>19.84</v>
      </c>
      <c r="AB643" s="7">
        <v>19.87</v>
      </c>
      <c r="AC643" s="7">
        <v>19.760000000000002</v>
      </c>
    </row>
    <row r="644" spans="1:29" x14ac:dyDescent="0.35">
      <c r="A644" t="s">
        <v>1245</v>
      </c>
      <c r="B644" s="7">
        <v>18.53</v>
      </c>
      <c r="C644" s="7">
        <v>16.59</v>
      </c>
      <c r="D644" s="7">
        <v>16.59</v>
      </c>
      <c r="E644" s="7">
        <v>16.7</v>
      </c>
      <c r="F644" s="7">
        <v>18.41</v>
      </c>
      <c r="G644" s="7">
        <v>19.95</v>
      </c>
      <c r="H644" s="7">
        <v>19.95</v>
      </c>
      <c r="I644" s="7">
        <v>19.95</v>
      </c>
      <c r="J644" s="7">
        <v>19.95</v>
      </c>
      <c r="K644" s="7">
        <v>19.84</v>
      </c>
      <c r="L644" s="7">
        <v>19.72</v>
      </c>
      <c r="M644" s="7">
        <v>19.600000000000001</v>
      </c>
      <c r="N644" s="7">
        <v>19.52</v>
      </c>
      <c r="O644" s="7">
        <v>19.600000000000001</v>
      </c>
      <c r="P644" s="7">
        <v>19.7</v>
      </c>
      <c r="Q644" s="7">
        <v>19.79</v>
      </c>
      <c r="R644" s="7">
        <v>19.850000000000001</v>
      </c>
      <c r="S644" s="7">
        <v>19.91</v>
      </c>
      <c r="T644" s="7">
        <v>19.920000000000002</v>
      </c>
      <c r="U644" s="7">
        <v>19.920000000000002</v>
      </c>
      <c r="V644" s="7">
        <v>19.93</v>
      </c>
      <c r="W644" s="7">
        <v>19.77</v>
      </c>
      <c r="X644" s="7">
        <v>19.940000000000001</v>
      </c>
      <c r="Y644" s="7">
        <v>19.95</v>
      </c>
      <c r="Z644" s="7">
        <v>19.600000000000001</v>
      </c>
      <c r="AA644" s="7">
        <v>18.72</v>
      </c>
      <c r="AB644" s="7">
        <v>18.850000000000001</v>
      </c>
      <c r="AC644" s="7">
        <v>18.989999999999998</v>
      </c>
    </row>
    <row r="647" spans="1:29" s="79" customFormat="1" x14ac:dyDescent="0.35">
      <c r="A647" s="110" t="s">
        <v>1376</v>
      </c>
    </row>
    <row r="649" spans="1:29" x14ac:dyDescent="0.35">
      <c r="A649" t="s">
        <v>1240</v>
      </c>
      <c r="B649" s="5">
        <v>46026</v>
      </c>
      <c r="C649" s="5">
        <v>46033</v>
      </c>
      <c r="D649" s="5">
        <v>46040</v>
      </c>
      <c r="E649" s="5">
        <v>46047</v>
      </c>
      <c r="F649" s="84">
        <v>46054</v>
      </c>
      <c r="G649" s="84">
        <v>46061</v>
      </c>
      <c r="H649" s="84">
        <v>46068</v>
      </c>
      <c r="I649" s="84">
        <v>46075</v>
      </c>
      <c r="J649" s="5">
        <v>46082</v>
      </c>
      <c r="K649" s="5">
        <v>46089</v>
      </c>
      <c r="L649" s="5">
        <v>46096</v>
      </c>
      <c r="M649" s="5">
        <v>46103</v>
      </c>
      <c r="N649" s="5">
        <v>46110</v>
      </c>
      <c r="O649" s="5">
        <v>46117</v>
      </c>
      <c r="P649" s="5">
        <v>46124</v>
      </c>
      <c r="Q649" s="5">
        <v>46131</v>
      </c>
      <c r="R649" s="5">
        <v>46138</v>
      </c>
      <c r="S649" s="84">
        <v>46145</v>
      </c>
      <c r="T649" s="84">
        <v>46152</v>
      </c>
      <c r="U649" s="84">
        <v>46159</v>
      </c>
      <c r="V649" s="84">
        <v>46166</v>
      </c>
      <c r="W649" s="5">
        <v>46173</v>
      </c>
      <c r="X649" s="5">
        <v>46180</v>
      </c>
      <c r="Y649" s="5">
        <v>46187</v>
      </c>
      <c r="Z649" s="5">
        <v>46194</v>
      </c>
      <c r="AA649" s="5">
        <v>46201</v>
      </c>
      <c r="AB649" s="5">
        <v>46208</v>
      </c>
      <c r="AC649" s="5">
        <v>46215</v>
      </c>
    </row>
    <row r="650" spans="1:29" x14ac:dyDescent="0.35">
      <c r="A650" t="s">
        <v>1241</v>
      </c>
      <c r="B650" s="6">
        <v>6747</v>
      </c>
      <c r="C650" s="6">
        <v>7580</v>
      </c>
      <c r="D650" s="6">
        <v>8359</v>
      </c>
      <c r="E650" s="6">
        <v>12116</v>
      </c>
      <c r="F650" s="6">
        <v>17051</v>
      </c>
      <c r="G650" s="6">
        <v>17711</v>
      </c>
      <c r="H650" s="6">
        <v>21761</v>
      </c>
      <c r="I650" s="6">
        <v>20495</v>
      </c>
      <c r="J650" s="6">
        <v>15665</v>
      </c>
      <c r="K650" s="6">
        <v>14612</v>
      </c>
      <c r="L650" s="6">
        <v>19448</v>
      </c>
      <c r="M650" s="6">
        <v>20006</v>
      </c>
      <c r="N650" s="6">
        <v>15359</v>
      </c>
      <c r="O650" s="6">
        <v>12477</v>
      </c>
      <c r="P650" s="6">
        <v>13733</v>
      </c>
      <c r="Q650" s="6">
        <v>12994</v>
      </c>
      <c r="R650" s="6">
        <v>13113</v>
      </c>
      <c r="S650" s="6">
        <v>15152</v>
      </c>
      <c r="T650" s="6">
        <v>14949</v>
      </c>
      <c r="U650" s="6">
        <v>15331</v>
      </c>
      <c r="V650" s="6">
        <v>13564</v>
      </c>
      <c r="W650" s="6">
        <v>12267</v>
      </c>
      <c r="X650" s="6">
        <v>10721</v>
      </c>
      <c r="Y650" s="6">
        <v>10170</v>
      </c>
      <c r="Z650" s="6">
        <v>9608</v>
      </c>
      <c r="AA650" s="6">
        <v>9969</v>
      </c>
      <c r="AB650" s="6">
        <v>8772</v>
      </c>
      <c r="AC650" s="6">
        <v>9769</v>
      </c>
    </row>
    <row r="651" spans="1:29" x14ac:dyDescent="0.35">
      <c r="A651" t="s">
        <v>1242</v>
      </c>
      <c r="B651" s="3">
        <v>8.0000000000000002E-3</v>
      </c>
      <c r="C651" s="3">
        <v>1.2E-2</v>
      </c>
      <c r="D651" s="3">
        <v>5.0000000000000001E-3</v>
      </c>
      <c r="E651" s="3">
        <v>2E-3</v>
      </c>
      <c r="F651" s="85">
        <v>0.376</v>
      </c>
      <c r="G651" s="85">
        <v>0.47299999999999998</v>
      </c>
      <c r="H651" s="85">
        <v>0.73399999999999999</v>
      </c>
      <c r="I651" s="85">
        <v>0.64300000000000002</v>
      </c>
      <c r="J651" s="3">
        <v>0.182</v>
      </c>
      <c r="K651" s="3">
        <v>0.01</v>
      </c>
      <c r="L651" s="3">
        <v>0.49399999999999999</v>
      </c>
      <c r="M651" s="3">
        <v>0.53600000000000003</v>
      </c>
      <c r="N651" s="3">
        <v>0.224</v>
      </c>
      <c r="O651" s="3">
        <v>1.0999999999999999E-2</v>
      </c>
      <c r="P651" s="3">
        <v>0.03</v>
      </c>
      <c r="Q651" s="3">
        <v>2.1999999999999999E-2</v>
      </c>
      <c r="R651" s="3">
        <v>4.0000000000000001E-3</v>
      </c>
      <c r="S651" s="3">
        <v>0.33300000000000002</v>
      </c>
      <c r="T651" s="3">
        <v>0.35199999999999998</v>
      </c>
      <c r="U651" s="3">
        <v>0.33700000000000002</v>
      </c>
      <c r="V651" s="3">
        <v>0.26200000000000001</v>
      </c>
      <c r="W651" s="3">
        <v>0.128</v>
      </c>
      <c r="X651" s="3">
        <v>0.04</v>
      </c>
      <c r="Y651" s="3">
        <v>3.3000000000000002E-2</v>
      </c>
      <c r="Z651" s="3">
        <v>2.8000000000000001E-2</v>
      </c>
      <c r="AA651" s="3">
        <v>4.1000000000000002E-2</v>
      </c>
      <c r="AB651" s="3">
        <v>1.4E-2</v>
      </c>
      <c r="AC651" s="3">
        <v>2.8000000000000001E-2</v>
      </c>
    </row>
    <row r="652" spans="1:29" x14ac:dyDescent="0.35">
      <c r="A652" t="s">
        <v>1243</v>
      </c>
      <c r="B652">
        <v>55</v>
      </c>
      <c r="C652">
        <v>87</v>
      </c>
      <c r="D652">
        <v>44</v>
      </c>
      <c r="E652">
        <v>27</v>
      </c>
      <c r="F652" s="6">
        <v>4662</v>
      </c>
      <c r="G652" s="6">
        <v>5684</v>
      </c>
      <c r="H652" s="6">
        <v>9213</v>
      </c>
      <c r="I652" s="6">
        <v>8020</v>
      </c>
      <c r="J652" s="6">
        <v>2416</v>
      </c>
      <c r="K652">
        <v>149</v>
      </c>
      <c r="L652" s="6">
        <v>6427</v>
      </c>
      <c r="M652" s="6">
        <v>6981</v>
      </c>
      <c r="N652" s="6">
        <v>2809</v>
      </c>
      <c r="O652">
        <v>135</v>
      </c>
      <c r="P652">
        <v>399</v>
      </c>
      <c r="Q652">
        <v>282</v>
      </c>
      <c r="R652">
        <v>46</v>
      </c>
      <c r="S652" s="6">
        <v>3782</v>
      </c>
      <c r="T652" s="6">
        <v>3890</v>
      </c>
      <c r="U652" s="6">
        <v>3862</v>
      </c>
      <c r="V652" s="6">
        <v>2814</v>
      </c>
      <c r="W652" s="6">
        <v>1396</v>
      </c>
      <c r="X652">
        <v>413</v>
      </c>
      <c r="Y652">
        <v>329</v>
      </c>
      <c r="Z652">
        <v>266</v>
      </c>
      <c r="AA652">
        <v>391</v>
      </c>
      <c r="AB652">
        <v>121</v>
      </c>
      <c r="AC652">
        <v>268</v>
      </c>
    </row>
    <row r="653" spans="1:29" x14ac:dyDescent="0.35">
      <c r="A653" t="s">
        <v>1244</v>
      </c>
      <c r="B653" s="6">
        <v>6692</v>
      </c>
      <c r="C653" s="6">
        <v>7492</v>
      </c>
      <c r="D653" s="6">
        <v>8315</v>
      </c>
      <c r="E653" s="6">
        <v>12089</v>
      </c>
      <c r="F653" s="6">
        <v>12389</v>
      </c>
      <c r="G653" s="6">
        <v>12027</v>
      </c>
      <c r="H653" s="6">
        <v>12548</v>
      </c>
      <c r="I653" s="6">
        <v>12476</v>
      </c>
      <c r="J653" s="6">
        <v>13249</v>
      </c>
      <c r="K653" s="6">
        <v>14463</v>
      </c>
      <c r="L653" s="6">
        <v>13021</v>
      </c>
      <c r="M653" s="6">
        <v>13025</v>
      </c>
      <c r="N653" s="6">
        <v>12550</v>
      </c>
      <c r="O653" s="6">
        <v>12342</v>
      </c>
      <c r="P653" s="6">
        <v>13334</v>
      </c>
      <c r="Q653" s="6">
        <v>12713</v>
      </c>
      <c r="R653" s="6">
        <v>13067</v>
      </c>
      <c r="S653" s="6">
        <v>11369</v>
      </c>
      <c r="T653" s="6">
        <v>11059</v>
      </c>
      <c r="U653" s="6">
        <v>11470</v>
      </c>
      <c r="V653" s="6">
        <v>10750</v>
      </c>
      <c r="W653" s="6">
        <v>10871</v>
      </c>
      <c r="X653" s="6">
        <v>10308</v>
      </c>
      <c r="Y653" s="6">
        <v>9841</v>
      </c>
      <c r="Z653" s="6">
        <v>9342</v>
      </c>
      <c r="AA653" s="6">
        <v>9578</v>
      </c>
      <c r="AB653" s="6">
        <v>8651</v>
      </c>
      <c r="AC653" s="6">
        <v>9502</v>
      </c>
    </row>
    <row r="654" spans="1:29" x14ac:dyDescent="0.35">
      <c r="A654" t="s">
        <v>1245</v>
      </c>
      <c r="B654" s="7">
        <v>2.97</v>
      </c>
      <c r="C654" s="7">
        <v>2.97</v>
      </c>
      <c r="D654" s="7">
        <v>2.96</v>
      </c>
      <c r="E654" s="7">
        <v>2.98</v>
      </c>
      <c r="F654" s="7">
        <v>2.6</v>
      </c>
      <c r="G654" s="7">
        <v>2.4900000000000002</v>
      </c>
      <c r="H654" s="7">
        <v>2.12</v>
      </c>
      <c r="I654" s="7">
        <v>2.33</v>
      </c>
      <c r="J654" s="7">
        <v>2.82</v>
      </c>
      <c r="K654" s="7">
        <v>2.96</v>
      </c>
      <c r="L654" s="7">
        <v>2.41</v>
      </c>
      <c r="M654" s="7">
        <v>2.29</v>
      </c>
      <c r="N654" s="7">
        <v>2.73</v>
      </c>
      <c r="O654" s="7">
        <v>2.96</v>
      </c>
      <c r="P654" s="7">
        <v>2.92</v>
      </c>
      <c r="Q654" s="7">
        <v>2.92</v>
      </c>
      <c r="R654" s="7">
        <v>2.99</v>
      </c>
      <c r="S654" s="7">
        <v>2.63</v>
      </c>
      <c r="T654" s="7">
        <v>2.5</v>
      </c>
      <c r="U654" s="7">
        <v>2.5</v>
      </c>
      <c r="V654" s="7">
        <v>2.5</v>
      </c>
      <c r="W654" s="7">
        <v>2.79</v>
      </c>
      <c r="X654" s="7">
        <v>2.92</v>
      </c>
      <c r="Y654" s="7">
        <v>2.93</v>
      </c>
      <c r="Z654" s="7">
        <v>2.93</v>
      </c>
      <c r="AA654" s="7">
        <v>2.91</v>
      </c>
      <c r="AB654" s="7">
        <v>2.97</v>
      </c>
      <c r="AC654" s="7">
        <v>2.93</v>
      </c>
    </row>
    <row r="655" spans="1:29" x14ac:dyDescent="0.35">
      <c r="F655" s="6">
        <f>SUM(F653:I653)</f>
        <v>49440</v>
      </c>
      <c r="G655" s="6">
        <f>SUM(F652:I652)</f>
        <v>27579</v>
      </c>
      <c r="S655" s="6">
        <f>SUM(S653:V653)</f>
        <v>44648</v>
      </c>
      <c r="T655" s="6">
        <f>SUM(S652:V652)</f>
        <v>14348</v>
      </c>
    </row>
    <row r="657" spans="1:29" x14ac:dyDescent="0.35">
      <c r="A657" t="s">
        <v>1240</v>
      </c>
      <c r="B657" s="5">
        <v>46026</v>
      </c>
      <c r="C657" s="5">
        <v>46033</v>
      </c>
      <c r="D657" s="5">
        <v>46040</v>
      </c>
      <c r="E657" s="5">
        <v>46047</v>
      </c>
      <c r="F657" s="5">
        <v>46054</v>
      </c>
      <c r="G657" s="5">
        <v>46061</v>
      </c>
      <c r="H657" s="5">
        <v>46068</v>
      </c>
      <c r="I657" s="5">
        <v>46075</v>
      </c>
      <c r="J657" s="5">
        <v>46082</v>
      </c>
      <c r="K657" s="5">
        <v>46089</v>
      </c>
      <c r="L657" s="5">
        <v>46096</v>
      </c>
      <c r="M657" s="5">
        <v>46103</v>
      </c>
      <c r="N657" s="5">
        <v>46110</v>
      </c>
      <c r="O657" s="5">
        <v>46117</v>
      </c>
      <c r="P657" s="5">
        <v>46124</v>
      </c>
      <c r="Q657" s="5">
        <v>46131</v>
      </c>
      <c r="R657" s="5">
        <v>46138</v>
      </c>
      <c r="S657" s="5">
        <v>46145</v>
      </c>
      <c r="T657" s="5">
        <v>46152</v>
      </c>
      <c r="U657" s="5">
        <v>46159</v>
      </c>
      <c r="V657" s="5">
        <v>46166</v>
      </c>
      <c r="W657" s="5">
        <v>46173</v>
      </c>
      <c r="X657" s="5">
        <v>46180</v>
      </c>
      <c r="Y657" s="5">
        <v>46187</v>
      </c>
      <c r="Z657" s="5">
        <v>46194</v>
      </c>
      <c r="AA657" s="5">
        <v>46201</v>
      </c>
      <c r="AB657" s="5">
        <v>46208</v>
      </c>
      <c r="AC657" s="5">
        <v>46215</v>
      </c>
    </row>
    <row r="658" spans="1:29" x14ac:dyDescent="0.35">
      <c r="A658" t="s">
        <v>1242</v>
      </c>
      <c r="B658" s="3">
        <v>8.0000000000000002E-3</v>
      </c>
      <c r="C658" s="3">
        <v>1.2E-2</v>
      </c>
      <c r="D658" s="3">
        <v>5.0000000000000001E-3</v>
      </c>
      <c r="E658" s="3">
        <v>2E-3</v>
      </c>
      <c r="F658" s="3">
        <v>0.376</v>
      </c>
      <c r="G658" s="3">
        <v>0.47299999999999998</v>
      </c>
      <c r="H658" s="3">
        <v>0.73399999999999999</v>
      </c>
      <c r="I658" s="3">
        <v>0.64300000000000002</v>
      </c>
      <c r="J658" s="3">
        <v>0.182</v>
      </c>
      <c r="K658" s="3">
        <v>0.01</v>
      </c>
      <c r="L658" s="3">
        <v>0.49399999999999999</v>
      </c>
      <c r="M658" s="3">
        <v>0.53600000000000003</v>
      </c>
      <c r="N658" s="3">
        <v>0.224</v>
      </c>
      <c r="O658" s="3">
        <v>1.0999999999999999E-2</v>
      </c>
      <c r="P658" s="3">
        <v>0.03</v>
      </c>
      <c r="Q658" s="3">
        <v>2.1999999999999999E-2</v>
      </c>
      <c r="R658" s="3">
        <v>4.0000000000000001E-3</v>
      </c>
      <c r="S658" s="85">
        <v>0.33300000000000002</v>
      </c>
      <c r="T658" s="85">
        <v>0.35199999999999998</v>
      </c>
      <c r="U658" s="85">
        <v>0.33700000000000002</v>
      </c>
      <c r="V658" s="85">
        <v>0.26200000000000001</v>
      </c>
      <c r="W658" s="3">
        <v>0.128</v>
      </c>
      <c r="X658" s="3">
        <v>0.04</v>
      </c>
      <c r="Y658" s="3">
        <v>3.3000000000000002E-2</v>
      </c>
      <c r="Z658" s="3">
        <v>2.8000000000000001E-2</v>
      </c>
      <c r="AA658" s="3">
        <v>4.1000000000000002E-2</v>
      </c>
      <c r="AB658" s="3">
        <v>1.4E-2</v>
      </c>
      <c r="AC658" s="3">
        <v>2.8000000000000001E-2</v>
      </c>
    </row>
    <row r="659" spans="1:29" x14ac:dyDescent="0.35">
      <c r="A659" t="s">
        <v>1247</v>
      </c>
      <c r="B659" s="3">
        <v>0.60599999999999998</v>
      </c>
      <c r="C659" s="3">
        <v>0.66900000000000004</v>
      </c>
      <c r="D659" s="3">
        <v>0.58099999999999996</v>
      </c>
      <c r="E659" s="3">
        <v>0.307</v>
      </c>
      <c r="F659" s="3">
        <v>9.2999999999999999E-2</v>
      </c>
      <c r="G659" s="3">
        <v>0.109</v>
      </c>
      <c r="H659" s="3">
        <v>0.22600000000000001</v>
      </c>
      <c r="I659" s="3">
        <v>0.16</v>
      </c>
      <c r="J659" s="3">
        <v>6.2E-2</v>
      </c>
      <c r="K659" s="3">
        <v>0.38100000000000001</v>
      </c>
      <c r="L659" s="3">
        <v>0.15</v>
      </c>
      <c r="M659" s="3">
        <v>0.17899999999999999</v>
      </c>
      <c r="N659" s="3">
        <v>9.0999999999999998E-2</v>
      </c>
      <c r="O659" s="3">
        <v>0.47299999999999998</v>
      </c>
      <c r="P659" s="3">
        <v>0.55600000000000005</v>
      </c>
      <c r="Q659" s="3">
        <v>0.59799999999999998</v>
      </c>
      <c r="R659" s="3">
        <v>0.254</v>
      </c>
      <c r="S659" s="85">
        <v>8.1000000000000003E-2</v>
      </c>
      <c r="T659" s="85">
        <v>0.105</v>
      </c>
      <c r="U659" s="85">
        <v>0.106</v>
      </c>
      <c r="V659" s="85">
        <v>9.0999999999999998E-2</v>
      </c>
      <c r="W659" s="3">
        <v>6.7000000000000004E-2</v>
      </c>
      <c r="X659" s="3">
        <v>0.497</v>
      </c>
      <c r="Y659" s="3">
        <v>0.47599999999999998</v>
      </c>
      <c r="Z659" s="3">
        <v>0.50700000000000001</v>
      </c>
      <c r="AA659" s="3">
        <v>0.54200000000000004</v>
      </c>
      <c r="AB659" s="3">
        <v>0.38</v>
      </c>
      <c r="AC659" s="3">
        <v>0.45700000000000002</v>
      </c>
    </row>
    <row r="660" spans="1:29" x14ac:dyDescent="0.35">
      <c r="A660" t="s">
        <v>1248</v>
      </c>
      <c r="B660" s="7">
        <v>1.81</v>
      </c>
      <c r="C660" s="7">
        <v>2</v>
      </c>
      <c r="D660" s="7">
        <v>1.73</v>
      </c>
      <c r="E660" s="7">
        <v>0.92</v>
      </c>
      <c r="F660" s="7">
        <v>0.26</v>
      </c>
      <c r="G660" s="7">
        <v>0.31</v>
      </c>
      <c r="H660" s="7">
        <v>0.62</v>
      </c>
      <c r="I660" s="7">
        <v>0.45</v>
      </c>
      <c r="J660" s="7">
        <v>0.18</v>
      </c>
      <c r="K660" s="7">
        <v>1.1399999999999999</v>
      </c>
      <c r="L660" s="7">
        <v>0.42</v>
      </c>
      <c r="M660" s="7">
        <v>0.49</v>
      </c>
      <c r="N660" s="7">
        <v>0.26</v>
      </c>
      <c r="O660" s="7">
        <v>1.41</v>
      </c>
      <c r="P660" s="7">
        <v>1.66</v>
      </c>
      <c r="Q660" s="7">
        <v>1.78</v>
      </c>
      <c r="R660" s="7">
        <v>0.76</v>
      </c>
      <c r="S660" s="7">
        <v>0.23</v>
      </c>
      <c r="T660" s="7">
        <v>0.28999999999999998</v>
      </c>
      <c r="U660" s="7">
        <v>0.3</v>
      </c>
      <c r="V660" s="7">
        <v>0.25</v>
      </c>
      <c r="W660" s="7">
        <v>0.19</v>
      </c>
      <c r="X660" s="7">
        <v>1.48</v>
      </c>
      <c r="Y660" s="7">
        <v>1.42</v>
      </c>
      <c r="Z660" s="7">
        <v>1.51</v>
      </c>
      <c r="AA660" s="7">
        <v>1.62</v>
      </c>
      <c r="AB660" s="7">
        <v>1.1399999999999999</v>
      </c>
      <c r="AC660" s="7">
        <v>1.36</v>
      </c>
    </row>
    <row r="661" spans="1:29" x14ac:dyDescent="0.35">
      <c r="A661" t="s">
        <v>1249</v>
      </c>
      <c r="B661" s="7">
        <v>1.18</v>
      </c>
      <c r="C661" s="7">
        <v>0.99</v>
      </c>
      <c r="D661" s="7">
        <v>1.24</v>
      </c>
      <c r="E661" s="7">
        <v>2.0699999999999998</v>
      </c>
      <c r="F661" s="87">
        <v>2.59</v>
      </c>
      <c r="G661" s="87">
        <v>2.5</v>
      </c>
      <c r="H661" s="87">
        <v>2.12</v>
      </c>
      <c r="I661" s="87">
        <v>2.33</v>
      </c>
      <c r="J661" s="7">
        <v>2.72</v>
      </c>
      <c r="K661" s="7">
        <v>1.84</v>
      </c>
      <c r="L661" s="7">
        <v>2.38</v>
      </c>
      <c r="M661" s="7">
        <v>2.27</v>
      </c>
      <c r="N661" s="7">
        <v>2.62</v>
      </c>
      <c r="O661" s="7">
        <v>1.57</v>
      </c>
      <c r="P661" s="7">
        <v>1.32</v>
      </c>
      <c r="Q661" s="7">
        <v>1.2</v>
      </c>
      <c r="R661" s="7">
        <v>2.23</v>
      </c>
      <c r="S661" s="87">
        <v>2.61</v>
      </c>
      <c r="T661" s="87">
        <v>2.5</v>
      </c>
      <c r="U661" s="87">
        <v>2.5</v>
      </c>
      <c r="V661" s="87">
        <v>2.5</v>
      </c>
      <c r="W661" s="7">
        <v>2.69</v>
      </c>
      <c r="X661" s="7">
        <v>1.5</v>
      </c>
      <c r="Y661" s="7">
        <v>1.57</v>
      </c>
      <c r="Z661" s="7">
        <v>1.48</v>
      </c>
      <c r="AA661" s="7">
        <v>1.37</v>
      </c>
      <c r="AB661" s="7">
        <v>1.85</v>
      </c>
      <c r="AC661" s="7">
        <v>1.62</v>
      </c>
    </row>
    <row r="662" spans="1:29" x14ac:dyDescent="0.35">
      <c r="A662" t="s">
        <v>1250</v>
      </c>
      <c r="B662" s="7">
        <v>2.99</v>
      </c>
      <c r="C662" s="7">
        <v>2.99</v>
      </c>
      <c r="D662" s="7">
        <v>2.97</v>
      </c>
      <c r="E662" s="7">
        <v>2.99</v>
      </c>
      <c r="F662" s="7">
        <v>2.86</v>
      </c>
      <c r="G662" s="7">
        <v>2.8</v>
      </c>
      <c r="H662" s="7">
        <v>2.74</v>
      </c>
      <c r="I662" s="7">
        <v>2.78</v>
      </c>
      <c r="J662" s="7">
        <v>2.9</v>
      </c>
      <c r="K662" s="7">
        <v>2.98</v>
      </c>
      <c r="L662" s="7">
        <v>2.8</v>
      </c>
      <c r="M662" s="7">
        <v>2.76</v>
      </c>
      <c r="N662" s="7">
        <v>2.88</v>
      </c>
      <c r="O662" s="7">
        <v>2.99</v>
      </c>
      <c r="P662" s="7">
        <v>2.98</v>
      </c>
      <c r="Q662" s="7">
        <v>2.97</v>
      </c>
      <c r="R662" s="7">
        <v>2.99</v>
      </c>
      <c r="S662" s="7">
        <v>2.84</v>
      </c>
      <c r="T662" s="7">
        <v>2.79</v>
      </c>
      <c r="U662" s="7">
        <v>2.79</v>
      </c>
      <c r="V662" s="7">
        <v>2.75</v>
      </c>
      <c r="W662" s="7">
        <v>2.88</v>
      </c>
      <c r="X662" s="7">
        <v>2.99</v>
      </c>
      <c r="Y662" s="7">
        <v>2.99</v>
      </c>
      <c r="Z662" s="7">
        <v>2.99</v>
      </c>
      <c r="AA662" s="7">
        <v>2.99</v>
      </c>
      <c r="AB662" s="7">
        <v>2.99</v>
      </c>
      <c r="AC662" s="7">
        <v>2.98</v>
      </c>
    </row>
    <row r="663" spans="1:29" x14ac:dyDescent="0.35">
      <c r="A663" t="s">
        <v>1245</v>
      </c>
      <c r="B663" s="7">
        <v>2.97</v>
      </c>
      <c r="C663" s="7">
        <v>2.97</v>
      </c>
      <c r="D663" s="7">
        <v>2.96</v>
      </c>
      <c r="E663" s="7">
        <v>2.98</v>
      </c>
      <c r="F663" s="7">
        <v>2.6</v>
      </c>
      <c r="G663" s="7">
        <v>2.4900000000000002</v>
      </c>
      <c r="H663" s="7">
        <v>2.12</v>
      </c>
      <c r="I663" s="7">
        <v>2.33</v>
      </c>
      <c r="J663" s="7">
        <v>2.82</v>
      </c>
      <c r="K663" s="7">
        <v>2.96</v>
      </c>
      <c r="L663" s="7">
        <v>2.41</v>
      </c>
      <c r="M663" s="7">
        <v>2.29</v>
      </c>
      <c r="N663" s="7">
        <v>2.73</v>
      </c>
      <c r="O663" s="7">
        <v>2.96</v>
      </c>
      <c r="P663" s="7">
        <v>2.92</v>
      </c>
      <c r="Q663" s="7">
        <v>2.92</v>
      </c>
      <c r="R663" s="7">
        <v>2.99</v>
      </c>
      <c r="S663" s="7">
        <v>2.63</v>
      </c>
      <c r="T663" s="7">
        <v>2.5</v>
      </c>
      <c r="U663" s="7">
        <v>2.5</v>
      </c>
      <c r="V663" s="7">
        <v>2.5</v>
      </c>
      <c r="W663" s="7">
        <v>2.79</v>
      </c>
      <c r="X663" s="7">
        <v>2.92</v>
      </c>
      <c r="Y663" s="7">
        <v>2.93</v>
      </c>
      <c r="Z663" s="7">
        <v>2.93</v>
      </c>
      <c r="AA663" s="7">
        <v>2.91</v>
      </c>
      <c r="AB663" s="7">
        <v>2.97</v>
      </c>
      <c r="AC663" s="7">
        <v>2.93</v>
      </c>
    </row>
    <row r="665" spans="1:29" s="66" customFormat="1" x14ac:dyDescent="0.35"/>
    <row r="666" spans="1:29" x14ac:dyDescent="0.35">
      <c r="A666" s="4" t="s">
        <v>1379</v>
      </c>
    </row>
    <row r="668" spans="1:29" x14ac:dyDescent="0.35">
      <c r="A668" t="s">
        <v>1240</v>
      </c>
      <c r="B668" s="5">
        <v>46026</v>
      </c>
      <c r="C668" s="5">
        <v>46033</v>
      </c>
      <c r="D668" s="5">
        <v>46040</v>
      </c>
      <c r="E668" s="5">
        <v>46047</v>
      </c>
      <c r="F668" s="5">
        <v>46054</v>
      </c>
      <c r="G668" s="5">
        <v>46061</v>
      </c>
      <c r="H668" s="5">
        <v>46068</v>
      </c>
      <c r="I668" s="5">
        <v>46075</v>
      </c>
      <c r="J668" s="5">
        <v>46082</v>
      </c>
      <c r="K668" s="5">
        <v>46089</v>
      </c>
      <c r="L668" s="5">
        <v>46096</v>
      </c>
      <c r="M668" s="5">
        <v>46103</v>
      </c>
      <c r="N668" s="5">
        <v>46110</v>
      </c>
      <c r="O668" s="5">
        <v>46117</v>
      </c>
      <c r="P668" s="5">
        <v>46124</v>
      </c>
      <c r="Q668" s="5">
        <v>46131</v>
      </c>
      <c r="R668" s="5">
        <v>46138</v>
      </c>
      <c r="S668" s="5">
        <v>46145</v>
      </c>
      <c r="T668" s="5">
        <v>46152</v>
      </c>
      <c r="U668" s="5">
        <v>46159</v>
      </c>
      <c r="V668" s="5">
        <v>46166</v>
      </c>
      <c r="W668" s="5">
        <v>46173</v>
      </c>
      <c r="X668" s="5">
        <v>46180</v>
      </c>
      <c r="Y668" s="5">
        <v>46187</v>
      </c>
      <c r="Z668" s="5">
        <v>46194</v>
      </c>
      <c r="AA668" s="5">
        <v>46201</v>
      </c>
      <c r="AB668" s="5">
        <v>46208</v>
      </c>
      <c r="AC668" s="5">
        <v>46215</v>
      </c>
    </row>
    <row r="669" spans="1:29" x14ac:dyDescent="0.35">
      <c r="A669" t="s">
        <v>1241</v>
      </c>
      <c r="B669" s="6">
        <v>3310</v>
      </c>
      <c r="C669" s="6">
        <v>4612</v>
      </c>
      <c r="D669" s="6">
        <v>5043</v>
      </c>
      <c r="E669" s="6">
        <v>5345</v>
      </c>
      <c r="F669" s="6">
        <v>4873</v>
      </c>
      <c r="G669" s="6">
        <v>4408</v>
      </c>
      <c r="H669" s="6">
        <v>4363</v>
      </c>
      <c r="I669" s="6">
        <v>3990</v>
      </c>
      <c r="J669" s="6">
        <v>4620</v>
      </c>
      <c r="K669" s="6">
        <v>4656</v>
      </c>
      <c r="L669" s="6">
        <v>4493</v>
      </c>
      <c r="M669" s="6">
        <v>5474</v>
      </c>
      <c r="N669" s="6">
        <v>6199</v>
      </c>
      <c r="O669" s="6">
        <v>5817</v>
      </c>
      <c r="P669" s="6">
        <v>5011</v>
      </c>
      <c r="Q669" s="6">
        <v>7089</v>
      </c>
      <c r="R669" s="6">
        <v>7010</v>
      </c>
      <c r="S669" s="6">
        <v>7807</v>
      </c>
      <c r="T669" s="6">
        <v>8470</v>
      </c>
      <c r="U669" s="6">
        <v>5868</v>
      </c>
      <c r="V669" s="6">
        <v>5437</v>
      </c>
      <c r="W669" s="6">
        <v>5160</v>
      </c>
      <c r="X669" s="6">
        <v>5548</v>
      </c>
      <c r="Y669" s="6">
        <v>6012</v>
      </c>
      <c r="Z669" s="6">
        <v>5585</v>
      </c>
      <c r="AA669" s="6">
        <v>5519</v>
      </c>
      <c r="AB669" s="6">
        <v>5288</v>
      </c>
      <c r="AC669" s="6">
        <v>4912</v>
      </c>
    </row>
    <row r="670" spans="1:29" x14ac:dyDescent="0.35">
      <c r="A670" t="s">
        <v>1242</v>
      </c>
      <c r="B670" s="3">
        <v>3.0000000000000001E-3</v>
      </c>
      <c r="C670" s="60">
        <v>0.30599999999999999</v>
      </c>
      <c r="D670" s="60">
        <v>0.313</v>
      </c>
      <c r="E670" s="60">
        <v>0.28999999999999998</v>
      </c>
      <c r="F670" s="60">
        <v>0.24299999999999999</v>
      </c>
      <c r="G670" s="3">
        <v>0</v>
      </c>
      <c r="H670" s="3">
        <v>0</v>
      </c>
      <c r="I670" s="3">
        <v>0</v>
      </c>
      <c r="J670" s="3">
        <v>0</v>
      </c>
      <c r="K670" s="3">
        <v>0</v>
      </c>
      <c r="L670" s="3">
        <v>1E-3</v>
      </c>
      <c r="M670" s="3">
        <v>7.0000000000000001E-3</v>
      </c>
      <c r="N670" s="3">
        <v>0.01</v>
      </c>
      <c r="O670" s="3">
        <v>2E-3</v>
      </c>
      <c r="P670" s="3">
        <v>6.0000000000000001E-3</v>
      </c>
      <c r="Q670" s="31">
        <v>0.47399999999999998</v>
      </c>
      <c r="R670" s="31">
        <v>0.45600000000000002</v>
      </c>
      <c r="S670" s="31">
        <v>0.51800000000000002</v>
      </c>
      <c r="T670" s="31">
        <v>0.61699999999999999</v>
      </c>
      <c r="U670" s="3">
        <v>5.0000000000000001E-3</v>
      </c>
      <c r="V670" s="3">
        <v>0</v>
      </c>
      <c r="W670" s="3">
        <v>0</v>
      </c>
      <c r="X670" s="3">
        <v>0</v>
      </c>
      <c r="Y670" s="3">
        <v>0</v>
      </c>
      <c r="Z670" s="3">
        <v>0</v>
      </c>
      <c r="AA670" s="3">
        <v>0</v>
      </c>
      <c r="AB670" s="3">
        <v>0</v>
      </c>
      <c r="AC670" s="3">
        <v>0</v>
      </c>
    </row>
    <row r="671" spans="1:29" x14ac:dyDescent="0.35">
      <c r="A671" t="s">
        <v>1243</v>
      </c>
      <c r="B671">
        <v>9</v>
      </c>
      <c r="C671" s="6">
        <v>1079</v>
      </c>
      <c r="D671" s="6">
        <v>1202</v>
      </c>
      <c r="E671" s="6">
        <v>1200</v>
      </c>
      <c r="F671">
        <v>954</v>
      </c>
      <c r="G671">
        <v>1</v>
      </c>
      <c r="H671">
        <v>0</v>
      </c>
      <c r="I671">
        <v>0</v>
      </c>
      <c r="J671">
        <v>0</v>
      </c>
      <c r="K671">
        <v>2</v>
      </c>
      <c r="L671">
        <v>3</v>
      </c>
      <c r="M671">
        <v>39</v>
      </c>
      <c r="N671">
        <v>59</v>
      </c>
      <c r="O671">
        <v>13</v>
      </c>
      <c r="P671">
        <v>31</v>
      </c>
      <c r="Q671" s="6">
        <v>2279</v>
      </c>
      <c r="R671" s="6">
        <v>2195</v>
      </c>
      <c r="S671" s="6">
        <v>2665</v>
      </c>
      <c r="T671" s="6">
        <v>3233</v>
      </c>
      <c r="U671">
        <v>28</v>
      </c>
      <c r="V671">
        <v>0</v>
      </c>
      <c r="W671">
        <v>2</v>
      </c>
      <c r="X671">
        <v>2</v>
      </c>
      <c r="Y671">
        <v>0</v>
      </c>
      <c r="Z671">
        <v>1</v>
      </c>
      <c r="AA671">
        <v>1</v>
      </c>
      <c r="AB671">
        <v>1</v>
      </c>
      <c r="AC671">
        <v>0</v>
      </c>
    </row>
    <row r="672" spans="1:29" x14ac:dyDescent="0.35">
      <c r="A672" t="s">
        <v>1244</v>
      </c>
      <c r="B672" s="6">
        <v>3302</v>
      </c>
      <c r="C672" s="6">
        <v>3533</v>
      </c>
      <c r="D672" s="6">
        <v>3841</v>
      </c>
      <c r="E672" s="6">
        <v>4145</v>
      </c>
      <c r="F672" s="6">
        <v>3919</v>
      </c>
      <c r="G672" s="6">
        <v>4407</v>
      </c>
      <c r="H672" s="6">
        <v>4363</v>
      </c>
      <c r="I672" s="6">
        <v>3990</v>
      </c>
      <c r="J672" s="6">
        <v>4620</v>
      </c>
      <c r="K672" s="6">
        <v>4654</v>
      </c>
      <c r="L672" s="6">
        <v>4490</v>
      </c>
      <c r="M672" s="6">
        <v>5436</v>
      </c>
      <c r="N672" s="6">
        <v>6140</v>
      </c>
      <c r="O672" s="6">
        <v>5804</v>
      </c>
      <c r="P672" s="6">
        <v>4980</v>
      </c>
      <c r="Q672" s="6">
        <v>4810</v>
      </c>
      <c r="R672" s="6">
        <v>4815</v>
      </c>
      <c r="S672" s="6">
        <v>5143</v>
      </c>
      <c r="T672" s="6">
        <v>5237</v>
      </c>
      <c r="U672" s="6">
        <v>5840</v>
      </c>
      <c r="V672" s="6">
        <v>5437</v>
      </c>
      <c r="W672" s="6">
        <v>5159</v>
      </c>
      <c r="X672" s="6">
        <v>5546</v>
      </c>
      <c r="Y672" s="6">
        <v>6012</v>
      </c>
      <c r="Z672" s="6">
        <v>5585</v>
      </c>
      <c r="AA672" s="6">
        <v>5518</v>
      </c>
      <c r="AB672" s="6">
        <v>5287</v>
      </c>
      <c r="AC672" s="6">
        <v>4912</v>
      </c>
    </row>
    <row r="673" spans="1:29" x14ac:dyDescent="0.35">
      <c r="A673" t="s">
        <v>1245</v>
      </c>
      <c r="B673" s="7">
        <v>2.98</v>
      </c>
      <c r="C673" s="7">
        <v>2.63</v>
      </c>
      <c r="D673" s="7">
        <v>2.63</v>
      </c>
      <c r="E673" s="7">
        <v>2.63</v>
      </c>
      <c r="F673" s="7">
        <v>2.63</v>
      </c>
      <c r="G673" s="7">
        <v>3</v>
      </c>
      <c r="H673" s="7">
        <v>3</v>
      </c>
      <c r="I673" s="7">
        <v>2.99</v>
      </c>
      <c r="J673" s="7">
        <v>2.99</v>
      </c>
      <c r="K673" s="7">
        <v>2.99</v>
      </c>
      <c r="L673" s="7">
        <v>2.99</v>
      </c>
      <c r="M673" s="7">
        <v>2.99</v>
      </c>
      <c r="N673" s="7">
        <v>2.99</v>
      </c>
      <c r="O673" s="7">
        <v>2.99</v>
      </c>
      <c r="P673" s="7">
        <v>2.98</v>
      </c>
      <c r="Q673" s="7">
        <v>2.4500000000000002</v>
      </c>
      <c r="R673" s="7">
        <v>2.46</v>
      </c>
      <c r="S673" s="7">
        <v>2.46</v>
      </c>
      <c r="T673" s="7">
        <v>2.4500000000000002</v>
      </c>
      <c r="U673" s="7">
        <v>2.99</v>
      </c>
      <c r="V673" s="7">
        <v>2.99</v>
      </c>
      <c r="W673" s="7">
        <v>2.99</v>
      </c>
      <c r="X673" s="7">
        <v>2.99</v>
      </c>
      <c r="Y673" s="7">
        <v>2.99</v>
      </c>
      <c r="Z673" s="7">
        <v>2.99</v>
      </c>
      <c r="AA673" s="7">
        <v>2.99</v>
      </c>
      <c r="AB673" s="7">
        <v>2.99</v>
      </c>
      <c r="AC673" s="7">
        <v>2.99</v>
      </c>
    </row>
    <row r="674" spans="1:29" x14ac:dyDescent="0.35">
      <c r="C674" s="6">
        <f>SUM(C672:F672)</f>
        <v>15438</v>
      </c>
      <c r="D674" s="6">
        <f>SUM(C671:F671)</f>
        <v>4435</v>
      </c>
      <c r="Q674" s="6">
        <f>SUM(Q672:T672)</f>
        <v>20005</v>
      </c>
      <c r="R674" s="6">
        <f>SUM(Q671:T671)</f>
        <v>10372</v>
      </c>
    </row>
    <row r="675" spans="1:29" x14ac:dyDescent="0.35">
      <c r="A675" t="s">
        <v>1240</v>
      </c>
      <c r="B675" s="5">
        <v>46026</v>
      </c>
      <c r="C675" s="72">
        <v>46033</v>
      </c>
      <c r="D675" s="72">
        <v>46040</v>
      </c>
      <c r="E675" s="72">
        <v>46047</v>
      </c>
      <c r="F675" s="72">
        <v>46054</v>
      </c>
      <c r="G675" s="5">
        <v>46061</v>
      </c>
      <c r="H675" s="5">
        <v>46068</v>
      </c>
      <c r="I675" s="5">
        <v>46075</v>
      </c>
      <c r="J675" s="5">
        <v>46082</v>
      </c>
      <c r="K675" s="5">
        <v>46089</v>
      </c>
      <c r="L675" s="5">
        <v>46096</v>
      </c>
      <c r="M675" s="5">
        <v>46103</v>
      </c>
      <c r="N675" s="5">
        <v>46110</v>
      </c>
      <c r="O675" s="5">
        <v>46117</v>
      </c>
      <c r="P675" s="5">
        <v>46124</v>
      </c>
      <c r="Q675" s="5">
        <v>46131</v>
      </c>
      <c r="R675" s="5">
        <v>46138</v>
      </c>
      <c r="S675" s="5">
        <v>46145</v>
      </c>
      <c r="T675" s="5">
        <v>46152</v>
      </c>
      <c r="U675" s="5">
        <v>46159</v>
      </c>
      <c r="V675" s="5">
        <v>46166</v>
      </c>
      <c r="W675" s="5">
        <v>46173</v>
      </c>
      <c r="X675" s="5">
        <v>46180</v>
      </c>
      <c r="Y675" s="5">
        <v>46187</v>
      </c>
      <c r="Z675" s="5">
        <v>46194</v>
      </c>
      <c r="AA675" s="5">
        <v>46201</v>
      </c>
      <c r="AB675" s="5">
        <v>46208</v>
      </c>
      <c r="AC675" s="5">
        <v>46215</v>
      </c>
    </row>
    <row r="676" spans="1:29" x14ac:dyDescent="0.35">
      <c r="A676" t="s">
        <v>1242</v>
      </c>
      <c r="B676" s="3">
        <v>3.0000000000000001E-3</v>
      </c>
      <c r="C676" s="60">
        <v>0.30599999999999999</v>
      </c>
      <c r="D676" s="60">
        <v>0.313</v>
      </c>
      <c r="E676" s="60">
        <v>0.28999999999999998</v>
      </c>
      <c r="F676" s="60">
        <v>0.24299999999999999</v>
      </c>
      <c r="G676" s="3">
        <v>0</v>
      </c>
      <c r="H676" s="3">
        <v>0</v>
      </c>
      <c r="I676" s="3">
        <v>0</v>
      </c>
      <c r="J676" s="3">
        <v>0</v>
      </c>
      <c r="K676" s="3">
        <v>0</v>
      </c>
      <c r="L676" s="3">
        <v>1E-3</v>
      </c>
      <c r="M676" s="3">
        <v>7.0000000000000001E-3</v>
      </c>
      <c r="N676" s="3">
        <v>0.01</v>
      </c>
      <c r="O676" s="3">
        <v>2E-3</v>
      </c>
      <c r="P676" s="3">
        <v>6.0000000000000001E-3</v>
      </c>
      <c r="Q676" s="3">
        <v>0.47399999999999998</v>
      </c>
      <c r="R676" s="3">
        <v>0.45600000000000002</v>
      </c>
      <c r="S676" s="3">
        <v>0.51800000000000002</v>
      </c>
      <c r="T676" s="3">
        <v>0.61699999999999999</v>
      </c>
      <c r="U676" s="3">
        <v>5.0000000000000001E-3</v>
      </c>
      <c r="V676" s="3">
        <v>0</v>
      </c>
      <c r="W676" s="3">
        <v>0</v>
      </c>
      <c r="X676" s="3">
        <v>0</v>
      </c>
      <c r="Y676" s="3">
        <v>0</v>
      </c>
      <c r="Z676" s="3">
        <v>0</v>
      </c>
      <c r="AA676" s="3">
        <v>0</v>
      </c>
      <c r="AB676" s="3">
        <v>0</v>
      </c>
      <c r="AC676" s="3">
        <v>0</v>
      </c>
    </row>
    <row r="677" spans="1:29" x14ac:dyDescent="0.35">
      <c r="A677" t="s">
        <v>1247</v>
      </c>
      <c r="B677" s="3">
        <v>0.30099999999999999</v>
      </c>
      <c r="C677" s="60">
        <v>6.6000000000000003E-2</v>
      </c>
      <c r="D677" s="60">
        <v>6.7000000000000004E-2</v>
      </c>
      <c r="E677" s="60">
        <v>6.2E-2</v>
      </c>
      <c r="F677" s="60">
        <v>5.3999999999999999E-2</v>
      </c>
      <c r="G677" s="3">
        <v>0.11</v>
      </c>
      <c r="H677" s="3">
        <v>0.252</v>
      </c>
      <c r="I677" t="s">
        <v>1272</v>
      </c>
      <c r="J677" t="s">
        <v>1272</v>
      </c>
      <c r="K677" s="3">
        <v>8.5000000000000006E-2</v>
      </c>
      <c r="L677" s="3">
        <v>-2.1999999999999999E-2</v>
      </c>
      <c r="M677" s="3">
        <v>1E-3</v>
      </c>
      <c r="N677" s="3">
        <v>2.1000000000000001E-2</v>
      </c>
      <c r="O677" s="3">
        <v>0</v>
      </c>
      <c r="P677" s="3">
        <v>7.4999999999999997E-2</v>
      </c>
      <c r="Q677" s="3">
        <v>0.123</v>
      </c>
      <c r="R677" s="3">
        <v>0.12</v>
      </c>
      <c r="S677" s="3">
        <v>0.11700000000000001</v>
      </c>
      <c r="T677" s="3">
        <v>0.11799999999999999</v>
      </c>
      <c r="U677" s="3">
        <v>1.2E-2</v>
      </c>
      <c r="V677" s="3">
        <v>0</v>
      </c>
      <c r="W677" s="3">
        <v>0</v>
      </c>
      <c r="X677" s="3">
        <v>0</v>
      </c>
      <c r="Y677" s="3">
        <v>0</v>
      </c>
      <c r="Z677" s="3">
        <v>0</v>
      </c>
      <c r="AA677" s="3">
        <v>0</v>
      </c>
      <c r="AB677" s="3">
        <v>0</v>
      </c>
      <c r="AC677" s="3">
        <v>0</v>
      </c>
    </row>
    <row r="678" spans="1:29" x14ac:dyDescent="0.35">
      <c r="A678" t="s">
        <v>1248</v>
      </c>
      <c r="B678" s="7">
        <v>0.9</v>
      </c>
      <c r="C678" s="7">
        <v>0.19</v>
      </c>
      <c r="D678" s="7">
        <v>0.19</v>
      </c>
      <c r="E678" s="7">
        <v>0.17</v>
      </c>
      <c r="F678" s="7">
        <v>0.15</v>
      </c>
      <c r="G678" s="7">
        <v>0.33</v>
      </c>
      <c r="H678" s="7">
        <v>0.76</v>
      </c>
      <c r="I678" t="s">
        <v>1272</v>
      </c>
      <c r="J678" t="s">
        <v>1272</v>
      </c>
      <c r="K678" s="7">
        <v>0.25</v>
      </c>
      <c r="L678" s="7">
        <v>-7.0000000000000007E-2</v>
      </c>
      <c r="M678" s="7">
        <v>0</v>
      </c>
      <c r="N678" s="7">
        <v>0.06</v>
      </c>
      <c r="O678" s="7">
        <v>0</v>
      </c>
      <c r="P678" s="7">
        <v>0.22</v>
      </c>
      <c r="Q678" s="7">
        <v>0.34</v>
      </c>
      <c r="R678" s="7">
        <v>0.33</v>
      </c>
      <c r="S678" s="7">
        <v>0.32</v>
      </c>
      <c r="T678" s="7">
        <v>0.33</v>
      </c>
      <c r="U678" s="7">
        <v>0.04</v>
      </c>
      <c r="V678" s="7">
        <v>0</v>
      </c>
      <c r="W678" s="7">
        <v>0</v>
      </c>
      <c r="X678" s="7">
        <v>0</v>
      </c>
      <c r="Y678" s="7">
        <v>0</v>
      </c>
      <c r="Z678" s="7">
        <v>0</v>
      </c>
      <c r="AA678" s="7">
        <v>0</v>
      </c>
      <c r="AB678" s="7">
        <v>0</v>
      </c>
      <c r="AC678" s="7">
        <v>0</v>
      </c>
    </row>
    <row r="679" spans="1:29" x14ac:dyDescent="0.35">
      <c r="A679" t="s">
        <v>1249</v>
      </c>
      <c r="B679" s="7">
        <v>2.09</v>
      </c>
      <c r="C679" s="7">
        <v>2.62</v>
      </c>
      <c r="D679" s="7">
        <v>2.62</v>
      </c>
      <c r="E679" s="7">
        <v>2.62</v>
      </c>
      <c r="F679" s="7">
        <v>2.62</v>
      </c>
      <c r="G679" s="7">
        <v>2.67</v>
      </c>
      <c r="H679" s="7">
        <v>2.2400000000000002</v>
      </c>
      <c r="I679" t="s">
        <v>1272</v>
      </c>
      <c r="J679" t="s">
        <v>1272</v>
      </c>
      <c r="K679" s="7">
        <v>2.74</v>
      </c>
      <c r="L679" s="7">
        <v>3.06</v>
      </c>
      <c r="M679" s="7">
        <v>2.99</v>
      </c>
      <c r="N679" s="7">
        <v>2.93</v>
      </c>
      <c r="O679" s="7">
        <v>2.99</v>
      </c>
      <c r="P679" s="7">
        <v>2.76</v>
      </c>
      <c r="Q679" s="7">
        <v>2.44</v>
      </c>
      <c r="R679" s="7">
        <v>2.44</v>
      </c>
      <c r="S679" s="7">
        <v>2.4500000000000002</v>
      </c>
      <c r="T679" s="7">
        <v>2.44</v>
      </c>
      <c r="U679" s="7">
        <v>2.95</v>
      </c>
      <c r="V679" s="7">
        <v>2.99</v>
      </c>
      <c r="W679" s="7">
        <v>2.99</v>
      </c>
      <c r="X679" s="7">
        <v>2.99</v>
      </c>
      <c r="Y679" s="7">
        <v>2.99</v>
      </c>
      <c r="Z679" s="7">
        <v>2.99</v>
      </c>
      <c r="AA679" s="7">
        <v>2.99</v>
      </c>
      <c r="AB679" s="7">
        <v>2.99</v>
      </c>
      <c r="AC679" s="7">
        <v>2.99</v>
      </c>
    </row>
    <row r="680" spans="1:29" x14ac:dyDescent="0.35">
      <c r="A680" t="s">
        <v>1250</v>
      </c>
      <c r="B680" s="7">
        <v>2.99</v>
      </c>
      <c r="C680" s="7">
        <v>2.81</v>
      </c>
      <c r="D680" s="7">
        <v>2.81</v>
      </c>
      <c r="E680" s="7">
        <v>2.8</v>
      </c>
      <c r="F680" s="7">
        <v>2.77</v>
      </c>
      <c r="G680" s="7">
        <v>3</v>
      </c>
      <c r="H680" s="7">
        <v>3</v>
      </c>
      <c r="I680" s="7">
        <v>2.99</v>
      </c>
      <c r="J680" s="7">
        <v>2.99</v>
      </c>
      <c r="K680" s="7">
        <v>2.99</v>
      </c>
      <c r="L680" s="7">
        <v>2.99</v>
      </c>
      <c r="M680" s="7">
        <v>2.99</v>
      </c>
      <c r="N680" s="7">
        <v>2.99</v>
      </c>
      <c r="O680" s="7">
        <v>2.99</v>
      </c>
      <c r="P680" s="7">
        <v>2.98</v>
      </c>
      <c r="Q680" s="7">
        <v>2.79</v>
      </c>
      <c r="R680" s="7">
        <v>2.78</v>
      </c>
      <c r="S680" s="7">
        <v>2.78</v>
      </c>
      <c r="T680" s="7">
        <v>2.77</v>
      </c>
      <c r="U680" s="7">
        <v>2.99</v>
      </c>
      <c r="V680" s="7">
        <v>2.99</v>
      </c>
      <c r="W680" s="7">
        <v>2.99</v>
      </c>
      <c r="X680" s="7">
        <v>2.99</v>
      </c>
      <c r="Y680" s="7">
        <v>2.99</v>
      </c>
      <c r="Z680" s="7">
        <v>2.99</v>
      </c>
      <c r="AA680" s="7">
        <v>2.99</v>
      </c>
      <c r="AB680" s="7">
        <v>2.99</v>
      </c>
      <c r="AC680" s="7">
        <v>2.99</v>
      </c>
    </row>
    <row r="681" spans="1:29" x14ac:dyDescent="0.35">
      <c r="A681" t="s">
        <v>1245</v>
      </c>
      <c r="B681" s="7">
        <v>2.98</v>
      </c>
      <c r="C681" s="7">
        <v>2.63</v>
      </c>
      <c r="D681" s="7">
        <v>2.63</v>
      </c>
      <c r="E681" s="7">
        <v>2.63</v>
      </c>
      <c r="F681" s="7">
        <v>2.63</v>
      </c>
      <c r="G681" s="7">
        <v>3</v>
      </c>
      <c r="H681" s="7">
        <v>3</v>
      </c>
      <c r="I681" s="7">
        <v>2.99</v>
      </c>
      <c r="J681" s="7">
        <v>2.99</v>
      </c>
      <c r="K681" s="7">
        <v>2.99</v>
      </c>
      <c r="L681" s="7">
        <v>2.99</v>
      </c>
      <c r="M681" s="7">
        <v>2.99</v>
      </c>
      <c r="N681" s="7">
        <v>2.99</v>
      </c>
      <c r="O681" s="7">
        <v>2.99</v>
      </c>
      <c r="P681" s="7">
        <v>2.98</v>
      </c>
      <c r="Q681" s="7">
        <v>2.4500000000000002</v>
      </c>
      <c r="R681" s="7">
        <v>2.46</v>
      </c>
      <c r="S681" s="7">
        <v>2.46</v>
      </c>
      <c r="T681" s="7">
        <v>2.4500000000000002</v>
      </c>
      <c r="U681" s="7">
        <v>2.99</v>
      </c>
      <c r="V681" s="7">
        <v>2.99</v>
      </c>
      <c r="W681" s="7">
        <v>2.99</v>
      </c>
      <c r="X681" s="7">
        <v>2.99</v>
      </c>
      <c r="Y681" s="7">
        <v>2.99</v>
      </c>
      <c r="Z681" s="7">
        <v>2.99</v>
      </c>
      <c r="AA681" s="7">
        <v>2.99</v>
      </c>
      <c r="AB681" s="7">
        <v>2.99</v>
      </c>
      <c r="AC681" s="7">
        <v>2.99</v>
      </c>
    </row>
    <row r="683" spans="1:29" x14ac:dyDescent="0.35">
      <c r="A683" s="4" t="s">
        <v>1380</v>
      </c>
    </row>
    <row r="685" spans="1:29" x14ac:dyDescent="0.35">
      <c r="A685" t="s">
        <v>1254</v>
      </c>
      <c r="B685" s="5">
        <v>46026</v>
      </c>
      <c r="C685" s="5">
        <v>46033</v>
      </c>
      <c r="D685" s="5">
        <v>46040</v>
      </c>
      <c r="E685" s="5">
        <v>46047</v>
      </c>
      <c r="F685" s="5">
        <v>46054</v>
      </c>
      <c r="G685" s="5">
        <v>46061</v>
      </c>
      <c r="H685" s="5">
        <v>46068</v>
      </c>
      <c r="I685" s="5">
        <v>46075</v>
      </c>
      <c r="J685" s="5">
        <v>46082</v>
      </c>
      <c r="K685" s="5">
        <v>46089</v>
      </c>
      <c r="L685" s="5">
        <v>46096</v>
      </c>
      <c r="M685" s="5">
        <v>46103</v>
      </c>
      <c r="N685" s="5">
        <v>46110</v>
      </c>
      <c r="O685" s="5">
        <v>46117</v>
      </c>
      <c r="P685" s="5">
        <v>46124</v>
      </c>
      <c r="Q685" s="5">
        <v>46131</v>
      </c>
      <c r="R685" s="5">
        <v>46138</v>
      </c>
      <c r="S685" s="5">
        <v>46145</v>
      </c>
      <c r="T685" s="5">
        <v>46152</v>
      </c>
      <c r="U685" s="5">
        <v>46159</v>
      </c>
      <c r="V685" s="5">
        <v>46166</v>
      </c>
      <c r="W685" s="5">
        <v>46173</v>
      </c>
      <c r="X685" s="5">
        <v>46180</v>
      </c>
      <c r="Y685" s="5">
        <v>46187</v>
      </c>
      <c r="Z685" s="5">
        <v>46194</v>
      </c>
      <c r="AA685" s="5">
        <v>46201</v>
      </c>
      <c r="AB685" s="5">
        <v>46208</v>
      </c>
      <c r="AC685" s="5">
        <v>46215</v>
      </c>
    </row>
    <row r="686" spans="1:29" x14ac:dyDescent="0.35">
      <c r="A686" t="s">
        <v>1241</v>
      </c>
      <c r="B686">
        <v>700</v>
      </c>
      <c r="C686" s="6">
        <v>1171</v>
      </c>
      <c r="D686" s="6">
        <v>1341</v>
      </c>
      <c r="E686" s="6">
        <v>1492</v>
      </c>
      <c r="F686" s="6">
        <v>1350</v>
      </c>
      <c r="G686" s="6">
        <v>2007</v>
      </c>
      <c r="H686" s="6">
        <v>2043</v>
      </c>
      <c r="I686" s="6">
        <v>1800</v>
      </c>
      <c r="J686" s="6">
        <v>2100</v>
      </c>
      <c r="K686" s="6">
        <v>1779</v>
      </c>
      <c r="L686" s="6">
        <v>1641</v>
      </c>
      <c r="M686" s="6">
        <v>1525</v>
      </c>
      <c r="N686" s="6">
        <v>1530</v>
      </c>
      <c r="O686" s="6">
        <v>1746</v>
      </c>
      <c r="P686" s="6">
        <v>1590</v>
      </c>
      <c r="Q686" s="6">
        <v>1618</v>
      </c>
      <c r="R686" s="6">
        <v>1400</v>
      </c>
      <c r="S686" s="6">
        <v>2205</v>
      </c>
      <c r="T686" s="6">
        <v>2321</v>
      </c>
      <c r="U686" s="6">
        <v>2143</v>
      </c>
      <c r="V686" s="6">
        <v>2154</v>
      </c>
      <c r="W686" s="6">
        <v>1647</v>
      </c>
      <c r="X686" s="6">
        <v>1698</v>
      </c>
      <c r="Y686" s="6">
        <v>1743</v>
      </c>
      <c r="Z686" s="6">
        <v>1580</v>
      </c>
      <c r="AA686" s="6">
        <v>1537</v>
      </c>
      <c r="AB686" s="6">
        <v>1523</v>
      </c>
      <c r="AC686" s="6">
        <v>1413</v>
      </c>
    </row>
    <row r="687" spans="1:29" x14ac:dyDescent="0.35">
      <c r="A687" t="s">
        <v>1242</v>
      </c>
      <c r="B687" s="3">
        <v>0</v>
      </c>
      <c r="C687" s="3">
        <v>0</v>
      </c>
      <c r="D687" s="3">
        <v>0</v>
      </c>
      <c r="E687" s="3">
        <v>0</v>
      </c>
      <c r="F687" s="3">
        <v>0</v>
      </c>
      <c r="G687" s="60">
        <v>0.34799999999999998</v>
      </c>
      <c r="H687" s="60">
        <v>0.38200000000000001</v>
      </c>
      <c r="I687" s="60">
        <v>0.34</v>
      </c>
      <c r="J687" s="60">
        <v>0.40799999999999997</v>
      </c>
      <c r="K687" s="3">
        <v>0</v>
      </c>
      <c r="L687" s="3">
        <v>0</v>
      </c>
      <c r="M687" s="3">
        <v>0</v>
      </c>
      <c r="N687" s="3">
        <v>0</v>
      </c>
      <c r="O687" s="3">
        <v>0</v>
      </c>
      <c r="P687" s="3">
        <v>0</v>
      </c>
      <c r="Q687" s="3">
        <v>0</v>
      </c>
      <c r="R687" s="3">
        <v>0</v>
      </c>
      <c r="S687" s="60">
        <v>0.42299999999999999</v>
      </c>
      <c r="T687" s="60">
        <v>0.39900000000000002</v>
      </c>
      <c r="U687" s="60">
        <v>0.36</v>
      </c>
      <c r="V687" s="60">
        <v>0.36599999999999999</v>
      </c>
      <c r="W687" s="3">
        <v>0</v>
      </c>
      <c r="X687" s="3">
        <v>0</v>
      </c>
      <c r="Y687" s="3">
        <v>0</v>
      </c>
      <c r="Z687" s="3">
        <v>0</v>
      </c>
      <c r="AA687" s="3">
        <v>0</v>
      </c>
      <c r="AB687" s="3">
        <v>0</v>
      </c>
      <c r="AC687" s="3">
        <v>0</v>
      </c>
    </row>
    <row r="688" spans="1:29" x14ac:dyDescent="0.35">
      <c r="A688" t="s">
        <v>1243</v>
      </c>
      <c r="B688">
        <v>0</v>
      </c>
      <c r="C688">
        <v>0</v>
      </c>
      <c r="D688">
        <v>0</v>
      </c>
      <c r="E688">
        <v>0</v>
      </c>
      <c r="F688">
        <v>0</v>
      </c>
      <c r="G688">
        <v>518</v>
      </c>
      <c r="H688">
        <v>564</v>
      </c>
      <c r="I688">
        <v>457</v>
      </c>
      <c r="J688">
        <v>609</v>
      </c>
      <c r="K688">
        <v>0</v>
      </c>
      <c r="L688">
        <v>0</v>
      </c>
      <c r="M688">
        <v>0</v>
      </c>
      <c r="N688">
        <v>0</v>
      </c>
      <c r="O688">
        <v>0</v>
      </c>
      <c r="P688">
        <v>0</v>
      </c>
      <c r="Q688">
        <v>0</v>
      </c>
      <c r="R688">
        <v>0</v>
      </c>
      <c r="S688">
        <v>656</v>
      </c>
      <c r="T688">
        <v>662</v>
      </c>
      <c r="U688">
        <v>568</v>
      </c>
      <c r="V688">
        <v>578</v>
      </c>
      <c r="W688">
        <v>0</v>
      </c>
      <c r="X688">
        <v>0</v>
      </c>
      <c r="Y688">
        <v>0</v>
      </c>
      <c r="Z688">
        <v>0</v>
      </c>
      <c r="AA688">
        <v>0</v>
      </c>
      <c r="AB688">
        <v>0</v>
      </c>
      <c r="AC688">
        <v>0</v>
      </c>
    </row>
    <row r="689" spans="1:29" x14ac:dyDescent="0.35">
      <c r="A689" t="s">
        <v>1244</v>
      </c>
      <c r="B689">
        <v>700</v>
      </c>
      <c r="C689" s="6">
        <v>1171</v>
      </c>
      <c r="D689" s="6">
        <v>1341</v>
      </c>
      <c r="E689" s="6">
        <v>1492</v>
      </c>
      <c r="F689" s="6">
        <v>1350</v>
      </c>
      <c r="G689" s="6">
        <v>1489</v>
      </c>
      <c r="H689" s="6">
        <v>1479</v>
      </c>
      <c r="I689" s="6">
        <v>1343</v>
      </c>
      <c r="J689" s="6">
        <v>1491</v>
      </c>
      <c r="K689" s="6">
        <v>1779</v>
      </c>
      <c r="L689" s="6">
        <v>1641</v>
      </c>
      <c r="M689" s="6">
        <v>1525</v>
      </c>
      <c r="N689" s="6">
        <v>1530</v>
      </c>
      <c r="O689" s="6">
        <v>1746</v>
      </c>
      <c r="P689" s="6">
        <v>1590</v>
      </c>
      <c r="Q689" s="6">
        <v>1618</v>
      </c>
      <c r="R689" s="6">
        <v>1400</v>
      </c>
      <c r="S689" s="6">
        <v>1549</v>
      </c>
      <c r="T689" s="6">
        <v>1659</v>
      </c>
      <c r="U689" s="6">
        <v>1575</v>
      </c>
      <c r="V689" s="6">
        <v>1576</v>
      </c>
      <c r="W689" s="6">
        <v>1647</v>
      </c>
      <c r="X689" s="6">
        <v>1698</v>
      </c>
      <c r="Y689" s="6">
        <v>1743</v>
      </c>
      <c r="Z689" s="6">
        <v>1580</v>
      </c>
      <c r="AA689" s="6">
        <v>1537</v>
      </c>
      <c r="AB689" s="6">
        <v>1523</v>
      </c>
      <c r="AC689" s="6">
        <v>1413</v>
      </c>
    </row>
    <row r="690" spans="1:29" x14ac:dyDescent="0.35">
      <c r="A690" t="s">
        <v>1245</v>
      </c>
      <c r="B690" s="7">
        <v>11</v>
      </c>
      <c r="C690" s="7">
        <v>11</v>
      </c>
      <c r="D690" s="7">
        <v>11</v>
      </c>
      <c r="E690" s="7">
        <v>11</v>
      </c>
      <c r="F690" s="7">
        <v>10.99</v>
      </c>
      <c r="G690" s="7">
        <v>10.1</v>
      </c>
      <c r="H690" s="7">
        <v>10.11</v>
      </c>
      <c r="I690" s="7">
        <v>10.119999999999999</v>
      </c>
      <c r="J690" s="7">
        <v>10.1</v>
      </c>
      <c r="K690" s="7">
        <v>10.99</v>
      </c>
      <c r="L690" s="7">
        <v>11</v>
      </c>
      <c r="M690" s="7">
        <v>11</v>
      </c>
      <c r="N690" s="7">
        <v>11</v>
      </c>
      <c r="O690" s="7">
        <v>11</v>
      </c>
      <c r="P690" s="7">
        <v>11</v>
      </c>
      <c r="Q690" s="7">
        <v>11</v>
      </c>
      <c r="R690" s="7">
        <v>10.98</v>
      </c>
      <c r="S690" s="7">
        <v>10.11</v>
      </c>
      <c r="T690" s="7">
        <v>10.11</v>
      </c>
      <c r="U690" s="7">
        <v>10.119999999999999</v>
      </c>
      <c r="V690" s="7">
        <v>10.1</v>
      </c>
      <c r="W690" s="7">
        <v>10.99</v>
      </c>
      <c r="X690" s="7">
        <v>11</v>
      </c>
      <c r="Y690" s="7">
        <v>11</v>
      </c>
      <c r="Z690" s="7">
        <v>11.01</v>
      </c>
      <c r="AA690" s="7">
        <v>11.01</v>
      </c>
      <c r="AB690" s="7">
        <v>11.01</v>
      </c>
      <c r="AC690" s="7">
        <v>11.01</v>
      </c>
    </row>
    <row r="691" spans="1:29" x14ac:dyDescent="0.35">
      <c r="G691" s="6">
        <f>SUM(G689:J689)</f>
        <v>5802</v>
      </c>
      <c r="H691">
        <f>SUM(G688:J688)</f>
        <v>2148</v>
      </c>
      <c r="S691" s="6">
        <f>SUM(S689:V689)</f>
        <v>6359</v>
      </c>
      <c r="T691" s="20">
        <f>SUM(S688:V688)</f>
        <v>2464</v>
      </c>
    </row>
    <row r="692" spans="1:29" x14ac:dyDescent="0.35">
      <c r="A692" t="s">
        <v>1254</v>
      </c>
      <c r="B692" s="5">
        <v>46026</v>
      </c>
      <c r="C692" s="5">
        <v>46033</v>
      </c>
      <c r="D692" s="5">
        <v>46040</v>
      </c>
      <c r="E692" s="5">
        <v>46047</v>
      </c>
      <c r="F692" s="5">
        <v>46054</v>
      </c>
      <c r="G692" s="5">
        <v>46061</v>
      </c>
      <c r="H692" s="5">
        <v>46068</v>
      </c>
      <c r="I692" s="5">
        <v>46075</v>
      </c>
      <c r="J692" s="5">
        <v>46082</v>
      </c>
      <c r="K692" s="5">
        <v>46089</v>
      </c>
      <c r="L692" s="5">
        <v>46096</v>
      </c>
      <c r="M692" s="5">
        <v>46103</v>
      </c>
      <c r="N692" s="5">
        <v>46110</v>
      </c>
      <c r="O692" s="5">
        <v>46117</v>
      </c>
      <c r="P692" s="5">
        <v>46124</v>
      </c>
      <c r="Q692" s="5">
        <v>46131</v>
      </c>
      <c r="R692" s="5">
        <v>46138</v>
      </c>
      <c r="S692" s="5">
        <v>46145</v>
      </c>
      <c r="T692" s="5">
        <v>46152</v>
      </c>
      <c r="U692" s="5">
        <v>46159</v>
      </c>
      <c r="V692" s="5">
        <v>46166</v>
      </c>
      <c r="W692" s="5">
        <v>46173</v>
      </c>
      <c r="X692" s="5">
        <v>46180</v>
      </c>
      <c r="Y692" s="5">
        <v>46187</v>
      </c>
      <c r="Z692" s="5">
        <v>46194</v>
      </c>
      <c r="AA692" s="5">
        <v>46201</v>
      </c>
      <c r="AB692" s="5">
        <v>46208</v>
      </c>
      <c r="AC692" s="5">
        <v>46215</v>
      </c>
    </row>
    <row r="693" spans="1:29" x14ac:dyDescent="0.35">
      <c r="A693" t="s">
        <v>1242</v>
      </c>
      <c r="B693" s="3">
        <v>0</v>
      </c>
      <c r="C693" s="3">
        <v>0</v>
      </c>
      <c r="D693" s="3">
        <v>0</v>
      </c>
      <c r="E693" s="3">
        <v>0</v>
      </c>
      <c r="F693" s="3">
        <v>0</v>
      </c>
      <c r="G693" s="3">
        <v>0.34799999999999998</v>
      </c>
      <c r="H693" s="3">
        <v>0.38200000000000001</v>
      </c>
      <c r="I693" s="3">
        <v>0.34</v>
      </c>
      <c r="J693" s="3">
        <v>0.40799999999999997</v>
      </c>
      <c r="K693" s="3">
        <v>0</v>
      </c>
      <c r="L693" s="3">
        <v>0</v>
      </c>
      <c r="M693" s="3">
        <v>0</v>
      </c>
      <c r="N693" s="3">
        <v>0</v>
      </c>
      <c r="O693" s="3">
        <v>0</v>
      </c>
      <c r="P693" s="3">
        <v>0</v>
      </c>
      <c r="Q693" s="3">
        <v>0</v>
      </c>
      <c r="R693" s="3">
        <v>0</v>
      </c>
      <c r="S693" s="3">
        <v>0.42299999999999999</v>
      </c>
      <c r="T693" s="3">
        <v>0.39900000000000002</v>
      </c>
      <c r="U693" s="3">
        <v>0.36</v>
      </c>
      <c r="V693" s="3">
        <v>0.36599999999999999</v>
      </c>
      <c r="W693" s="3">
        <v>0</v>
      </c>
      <c r="X693" s="3">
        <v>0</v>
      </c>
      <c r="Y693" s="3">
        <v>0</v>
      </c>
      <c r="Z693" s="3">
        <v>0</v>
      </c>
      <c r="AA693" s="3">
        <v>0</v>
      </c>
      <c r="AB693" s="3">
        <v>0</v>
      </c>
      <c r="AC693" s="3">
        <v>0</v>
      </c>
    </row>
    <row r="694" spans="1:29" x14ac:dyDescent="0.35">
      <c r="A694" t="s">
        <v>1247</v>
      </c>
      <c r="B694" t="s">
        <v>1272</v>
      </c>
      <c r="C694" t="s">
        <v>1272</v>
      </c>
      <c r="D694" t="s">
        <v>1272</v>
      </c>
      <c r="E694" t="s">
        <v>1272</v>
      </c>
      <c r="F694" s="3">
        <v>9.0999999999999998E-2</v>
      </c>
      <c r="G694" s="3">
        <v>5.0999999999999997E-2</v>
      </c>
      <c r="H694" s="3">
        <v>4.9000000000000002E-2</v>
      </c>
      <c r="I694" s="3">
        <v>4.4999999999999998E-2</v>
      </c>
      <c r="J694" s="3">
        <v>4.9000000000000002E-2</v>
      </c>
      <c r="K694" s="3">
        <v>9.0999999999999998E-2</v>
      </c>
      <c r="L694" t="s">
        <v>1272</v>
      </c>
      <c r="M694" t="s">
        <v>1272</v>
      </c>
      <c r="N694" t="s">
        <v>1272</v>
      </c>
      <c r="O694" t="s">
        <v>1272</v>
      </c>
      <c r="P694" t="s">
        <v>1272</v>
      </c>
      <c r="Q694" t="s">
        <v>1272</v>
      </c>
      <c r="R694" s="3">
        <v>0.09</v>
      </c>
      <c r="S694" s="3">
        <v>5.1999999999999998E-2</v>
      </c>
      <c r="T694" s="3">
        <v>0.05</v>
      </c>
      <c r="U694" s="3">
        <v>4.8000000000000001E-2</v>
      </c>
      <c r="V694" s="3">
        <v>4.9000000000000002E-2</v>
      </c>
      <c r="W694" s="3">
        <v>9.0999999999999998E-2</v>
      </c>
      <c r="X694" t="s">
        <v>1272</v>
      </c>
      <c r="Y694" t="s">
        <v>1272</v>
      </c>
      <c r="Z694" t="s">
        <v>1272</v>
      </c>
      <c r="AA694" t="s">
        <v>1272</v>
      </c>
      <c r="AB694" t="s">
        <v>1272</v>
      </c>
      <c r="AC694" t="s">
        <v>1272</v>
      </c>
    </row>
    <row r="695" spans="1:29" x14ac:dyDescent="0.35">
      <c r="A695" t="s">
        <v>1248</v>
      </c>
      <c r="B695" t="s">
        <v>1272</v>
      </c>
      <c r="C695" t="s">
        <v>1272</v>
      </c>
      <c r="D695" t="s">
        <v>1272</v>
      </c>
      <c r="E695" t="s">
        <v>1272</v>
      </c>
      <c r="F695" s="7">
        <v>1</v>
      </c>
      <c r="G695" s="7">
        <v>0.54</v>
      </c>
      <c r="H695" s="7">
        <v>0.52</v>
      </c>
      <c r="I695" s="7">
        <v>0.47</v>
      </c>
      <c r="J695" s="7">
        <v>0.52</v>
      </c>
      <c r="K695" s="7">
        <v>1</v>
      </c>
      <c r="L695" t="s">
        <v>1272</v>
      </c>
      <c r="M695" t="s">
        <v>1272</v>
      </c>
      <c r="N695" t="s">
        <v>1272</v>
      </c>
      <c r="O695" t="s">
        <v>1272</v>
      </c>
      <c r="P695" t="s">
        <v>1272</v>
      </c>
      <c r="Q695" t="s">
        <v>1272</v>
      </c>
      <c r="R695" s="7">
        <v>0.99</v>
      </c>
      <c r="S695" s="7">
        <v>0.55000000000000004</v>
      </c>
      <c r="T695" s="7">
        <v>0.53</v>
      </c>
      <c r="U695" s="7">
        <v>0.51</v>
      </c>
      <c r="V695" s="7">
        <v>0.52</v>
      </c>
      <c r="W695" s="7">
        <v>1.01</v>
      </c>
      <c r="X695" t="s">
        <v>1272</v>
      </c>
      <c r="Y695" t="s">
        <v>1272</v>
      </c>
      <c r="Z695" t="s">
        <v>1272</v>
      </c>
      <c r="AA695" t="s">
        <v>1272</v>
      </c>
      <c r="AB695" t="s">
        <v>1272</v>
      </c>
      <c r="AC695" t="s">
        <v>1272</v>
      </c>
    </row>
    <row r="696" spans="1:29" x14ac:dyDescent="0.35">
      <c r="A696" t="s">
        <v>1249</v>
      </c>
      <c r="B696" t="s">
        <v>1272</v>
      </c>
      <c r="C696" t="s">
        <v>1272</v>
      </c>
      <c r="D696" t="s">
        <v>1272</v>
      </c>
      <c r="E696" t="s">
        <v>1272</v>
      </c>
      <c r="F696" s="7">
        <v>9.99</v>
      </c>
      <c r="G696" s="7">
        <v>10.039999999999999</v>
      </c>
      <c r="H696" s="7">
        <v>10.029999999999999</v>
      </c>
      <c r="I696" s="7">
        <v>10.039999999999999</v>
      </c>
      <c r="J696" s="7">
        <v>10.029999999999999</v>
      </c>
      <c r="K696" s="7">
        <v>9.99</v>
      </c>
      <c r="L696" t="s">
        <v>1272</v>
      </c>
      <c r="M696" t="s">
        <v>1272</v>
      </c>
      <c r="N696" t="s">
        <v>1272</v>
      </c>
      <c r="O696" t="s">
        <v>1272</v>
      </c>
      <c r="P696" t="s">
        <v>1272</v>
      </c>
      <c r="Q696" t="s">
        <v>1272</v>
      </c>
      <c r="R696" s="7">
        <v>9.99</v>
      </c>
      <c r="S696" s="7">
        <v>10.039999999999999</v>
      </c>
      <c r="T696" s="7">
        <v>10.039999999999999</v>
      </c>
      <c r="U696" s="7">
        <v>10.039999999999999</v>
      </c>
      <c r="V696" s="7">
        <v>10.039999999999999</v>
      </c>
      <c r="W696" s="7">
        <v>9.99</v>
      </c>
      <c r="X696" t="s">
        <v>1272</v>
      </c>
      <c r="Y696" t="s">
        <v>1272</v>
      </c>
      <c r="Z696" t="s">
        <v>1272</v>
      </c>
      <c r="AA696" t="s">
        <v>1272</v>
      </c>
      <c r="AB696" t="s">
        <v>1272</v>
      </c>
      <c r="AC696" t="s">
        <v>1272</v>
      </c>
    </row>
    <row r="697" spans="1:29" x14ac:dyDescent="0.35">
      <c r="A697" t="s">
        <v>1250</v>
      </c>
      <c r="B697" s="7">
        <v>11</v>
      </c>
      <c r="C697" s="7">
        <v>11</v>
      </c>
      <c r="D697" s="7">
        <v>11</v>
      </c>
      <c r="E697" s="7">
        <v>11</v>
      </c>
      <c r="F697" s="7">
        <v>10.99</v>
      </c>
      <c r="G697" s="7">
        <v>10.58</v>
      </c>
      <c r="H697" s="7">
        <v>10.55</v>
      </c>
      <c r="I697" s="7">
        <v>10.51</v>
      </c>
      <c r="J697" s="7">
        <v>10.55</v>
      </c>
      <c r="K697" s="7">
        <v>10.99</v>
      </c>
      <c r="L697" s="7">
        <v>11</v>
      </c>
      <c r="M697" s="7">
        <v>11</v>
      </c>
      <c r="N697" s="7">
        <v>11</v>
      </c>
      <c r="O697" s="7">
        <v>11</v>
      </c>
      <c r="P697" s="7">
        <v>11</v>
      </c>
      <c r="Q697" s="7">
        <v>11</v>
      </c>
      <c r="R697" s="7">
        <v>10.98</v>
      </c>
      <c r="S697" s="7">
        <v>10.59</v>
      </c>
      <c r="T697" s="7">
        <v>10.57</v>
      </c>
      <c r="U697" s="7">
        <v>10.55</v>
      </c>
      <c r="V697" s="7">
        <v>10.55</v>
      </c>
      <c r="W697" s="7">
        <v>11</v>
      </c>
      <c r="X697" s="7">
        <v>11</v>
      </c>
      <c r="Y697" s="7">
        <v>11</v>
      </c>
      <c r="Z697" s="7">
        <v>11.01</v>
      </c>
      <c r="AA697" s="7">
        <v>11.01</v>
      </c>
      <c r="AB697" s="7">
        <v>11.01</v>
      </c>
      <c r="AC697" s="7">
        <v>11.01</v>
      </c>
    </row>
    <row r="698" spans="1:29" x14ac:dyDescent="0.35">
      <c r="A698" t="s">
        <v>1245</v>
      </c>
      <c r="B698" s="7">
        <v>11</v>
      </c>
      <c r="C698" s="7">
        <v>11</v>
      </c>
      <c r="D698" s="7">
        <v>11</v>
      </c>
      <c r="E698" s="7">
        <v>11</v>
      </c>
      <c r="F698" s="7">
        <v>10.99</v>
      </c>
      <c r="G698" s="7">
        <v>10.1</v>
      </c>
      <c r="H698" s="7">
        <v>10.11</v>
      </c>
      <c r="I698" s="7">
        <v>10.119999999999999</v>
      </c>
      <c r="J698" s="7">
        <v>10.1</v>
      </c>
      <c r="K698" s="7">
        <v>10.99</v>
      </c>
      <c r="L698" s="7">
        <v>11</v>
      </c>
      <c r="M698" s="7">
        <v>11</v>
      </c>
      <c r="N698" s="7">
        <v>11</v>
      </c>
      <c r="O698" s="7">
        <v>11</v>
      </c>
      <c r="P698" s="7">
        <v>11</v>
      </c>
      <c r="Q698" s="7">
        <v>11</v>
      </c>
      <c r="R698" s="7">
        <v>10.98</v>
      </c>
      <c r="S698" s="7">
        <v>10.11</v>
      </c>
      <c r="T698" s="7">
        <v>10.11</v>
      </c>
      <c r="U698" s="7">
        <v>10.119999999999999</v>
      </c>
      <c r="V698" s="7">
        <v>10.1</v>
      </c>
      <c r="W698" s="7">
        <v>10.99</v>
      </c>
      <c r="X698" s="7">
        <v>11</v>
      </c>
      <c r="Y698" s="7">
        <v>11</v>
      </c>
      <c r="Z698" s="7">
        <v>11.01</v>
      </c>
      <c r="AA698" s="7">
        <v>11.01</v>
      </c>
      <c r="AB698" s="7">
        <v>11.01</v>
      </c>
      <c r="AC698" s="7">
        <v>11.01</v>
      </c>
    </row>
    <row r="700" spans="1:29" s="112" customFormat="1" x14ac:dyDescent="0.35"/>
    <row r="702" spans="1:29" x14ac:dyDescent="0.35">
      <c r="A702" s="4" t="s">
        <v>1381</v>
      </c>
    </row>
    <row r="704" spans="1:29" x14ac:dyDescent="0.35">
      <c r="A704" t="s">
        <v>1240</v>
      </c>
      <c r="B704" s="5">
        <v>46026</v>
      </c>
      <c r="C704" s="5">
        <v>46033</v>
      </c>
      <c r="D704" s="5">
        <v>46040</v>
      </c>
      <c r="E704" s="5">
        <v>46047</v>
      </c>
      <c r="F704" s="5">
        <v>46054</v>
      </c>
      <c r="G704" s="5">
        <v>46061</v>
      </c>
      <c r="H704" s="5">
        <v>46068</v>
      </c>
      <c r="I704" s="5">
        <v>46075</v>
      </c>
      <c r="J704" s="5">
        <v>46082</v>
      </c>
      <c r="K704" s="72">
        <v>46089</v>
      </c>
      <c r="L704" s="72">
        <v>46096</v>
      </c>
      <c r="M704" s="5">
        <v>46103</v>
      </c>
      <c r="N704" s="5">
        <v>46110</v>
      </c>
      <c r="O704" s="5">
        <v>46117</v>
      </c>
      <c r="P704" s="5">
        <v>46124</v>
      </c>
      <c r="Q704" s="5">
        <v>46131</v>
      </c>
      <c r="R704" s="5">
        <v>46138</v>
      </c>
      <c r="S704" s="5">
        <v>46145</v>
      </c>
      <c r="T704" s="5">
        <v>46152</v>
      </c>
      <c r="U704" s="5">
        <v>46159</v>
      </c>
      <c r="V704" s="5">
        <v>46166</v>
      </c>
      <c r="W704" s="84">
        <v>46173</v>
      </c>
      <c r="X704" s="84">
        <v>46180</v>
      </c>
      <c r="Y704" s="84">
        <v>46187</v>
      </c>
      <c r="Z704" s="84">
        <v>46194</v>
      </c>
      <c r="AA704" s="5">
        <v>46201</v>
      </c>
      <c r="AB704" s="5">
        <v>46208</v>
      </c>
      <c r="AC704" s="5">
        <v>46215</v>
      </c>
    </row>
    <row r="705" spans="1:29" x14ac:dyDescent="0.35">
      <c r="A705" t="s">
        <v>1241</v>
      </c>
      <c r="B705" s="83">
        <v>1373</v>
      </c>
      <c r="C705" s="83">
        <v>1683</v>
      </c>
      <c r="D705" s="83">
        <v>1569</v>
      </c>
      <c r="E705" s="83">
        <v>1720</v>
      </c>
      <c r="F705" s="83">
        <v>1781</v>
      </c>
      <c r="G705" s="83">
        <v>1795</v>
      </c>
      <c r="H705" s="83">
        <v>1753</v>
      </c>
      <c r="I705" s="83">
        <v>1652</v>
      </c>
      <c r="J705" s="83">
        <v>1741</v>
      </c>
      <c r="K705" s="83">
        <v>1835</v>
      </c>
      <c r="L705" s="83">
        <v>1824</v>
      </c>
      <c r="M705" s="83">
        <v>1592</v>
      </c>
      <c r="N705" s="83">
        <v>1767</v>
      </c>
      <c r="O705" s="83">
        <v>1671</v>
      </c>
      <c r="P705" s="83">
        <v>1798</v>
      </c>
      <c r="Q705" s="83">
        <v>2056</v>
      </c>
      <c r="R705" s="83">
        <v>2097</v>
      </c>
      <c r="S705" s="83">
        <v>1554</v>
      </c>
      <c r="T705" s="83">
        <v>1395</v>
      </c>
      <c r="U705" s="83">
        <v>1495</v>
      </c>
      <c r="V705" s="83">
        <v>1449</v>
      </c>
      <c r="W705" s="83">
        <v>1463</v>
      </c>
      <c r="X705" s="83">
        <v>1805</v>
      </c>
      <c r="Y705" s="83">
        <v>1774</v>
      </c>
      <c r="Z705" s="83">
        <v>1760</v>
      </c>
      <c r="AA705" s="83">
        <v>1510</v>
      </c>
      <c r="AB705" s="83">
        <v>1382</v>
      </c>
      <c r="AC705" s="83">
        <v>1294</v>
      </c>
    </row>
    <row r="706" spans="1:29" x14ac:dyDescent="0.35">
      <c r="A706" t="s">
        <v>1242</v>
      </c>
      <c r="B706" s="3">
        <v>7.0000000000000001E-3</v>
      </c>
      <c r="C706" s="3">
        <v>2.5999999999999999E-2</v>
      </c>
      <c r="D706" s="3">
        <v>1.0999999999999999E-2</v>
      </c>
      <c r="E706" s="3">
        <v>8.9999999999999993E-3</v>
      </c>
      <c r="F706" s="3">
        <v>5.2999999999999999E-2</v>
      </c>
      <c r="G706" s="3">
        <v>3.7999999999999999E-2</v>
      </c>
      <c r="H706" s="3">
        <v>3.4000000000000002E-2</v>
      </c>
      <c r="I706" s="3">
        <v>5.0999999999999997E-2</v>
      </c>
      <c r="J706" s="3">
        <v>6.8000000000000005E-2</v>
      </c>
      <c r="K706" s="60">
        <v>9.9000000000000005E-2</v>
      </c>
      <c r="L706" s="60">
        <v>7.3999999999999996E-2</v>
      </c>
      <c r="M706" s="3">
        <v>4.2999999999999997E-2</v>
      </c>
      <c r="N706" s="3">
        <v>3.3000000000000002E-2</v>
      </c>
      <c r="O706" s="60">
        <v>0.19600000000000001</v>
      </c>
      <c r="P706" s="60">
        <v>0.31900000000000001</v>
      </c>
      <c r="Q706" s="60">
        <v>0.28100000000000003</v>
      </c>
      <c r="R706" s="60">
        <v>0.30599999999999999</v>
      </c>
      <c r="S706" s="3">
        <v>0.03</v>
      </c>
      <c r="T706" s="3">
        <v>1.7999999999999999E-2</v>
      </c>
      <c r="U706" s="3">
        <v>0.05</v>
      </c>
      <c r="V706" s="3">
        <v>3.4000000000000002E-2</v>
      </c>
      <c r="W706" s="3">
        <v>0.247</v>
      </c>
      <c r="X706" s="3">
        <v>0.36499999999999999</v>
      </c>
      <c r="Y706" s="3">
        <v>0.28199999999999997</v>
      </c>
      <c r="Z706" s="3">
        <v>0.34100000000000003</v>
      </c>
      <c r="AA706" s="3">
        <v>7.1999999999999995E-2</v>
      </c>
      <c r="AB706" s="3">
        <v>0.111</v>
      </c>
      <c r="AC706" s="3">
        <v>0.08</v>
      </c>
    </row>
    <row r="707" spans="1:29" s="20" customFormat="1" x14ac:dyDescent="0.35">
      <c r="A707" s="20" t="s">
        <v>1243</v>
      </c>
      <c r="B707" s="20">
        <v>10</v>
      </c>
      <c r="C707" s="20">
        <v>43</v>
      </c>
      <c r="D707" s="20">
        <v>17</v>
      </c>
      <c r="E707" s="20">
        <v>15</v>
      </c>
      <c r="F707" s="20">
        <v>90</v>
      </c>
      <c r="G707" s="20">
        <v>66</v>
      </c>
      <c r="H707" s="20">
        <v>58</v>
      </c>
      <c r="I707" s="20">
        <v>81</v>
      </c>
      <c r="J707" s="20">
        <v>112</v>
      </c>
      <c r="K707" s="20">
        <v>165</v>
      </c>
      <c r="L707" s="20">
        <v>125</v>
      </c>
      <c r="M707" s="20">
        <v>65</v>
      </c>
      <c r="N707" s="20">
        <v>57</v>
      </c>
      <c r="O707" s="20">
        <v>274</v>
      </c>
      <c r="P707" s="20">
        <v>435</v>
      </c>
      <c r="Q707" s="20">
        <v>450</v>
      </c>
      <c r="R707" s="20">
        <v>492</v>
      </c>
      <c r="S707" s="20">
        <v>46</v>
      </c>
      <c r="T707" s="20">
        <v>24</v>
      </c>
      <c r="U707" s="20">
        <v>71</v>
      </c>
      <c r="V707" s="20">
        <v>48</v>
      </c>
      <c r="W707" s="20">
        <v>290</v>
      </c>
      <c r="X707" s="20">
        <v>482</v>
      </c>
      <c r="Y707" s="20">
        <v>390</v>
      </c>
      <c r="Z707" s="20">
        <v>447</v>
      </c>
      <c r="AA707" s="20">
        <v>101</v>
      </c>
      <c r="AB707" s="20">
        <v>139</v>
      </c>
      <c r="AC707" s="20">
        <v>96</v>
      </c>
    </row>
    <row r="708" spans="1:29" s="20" customFormat="1" x14ac:dyDescent="0.35">
      <c r="A708" s="20" t="s">
        <v>1244</v>
      </c>
      <c r="B708" s="20">
        <v>1363</v>
      </c>
      <c r="C708" s="20">
        <v>1640</v>
      </c>
      <c r="D708" s="20">
        <v>1552</v>
      </c>
      <c r="E708" s="20">
        <v>1705</v>
      </c>
      <c r="F708" s="20">
        <v>1691</v>
      </c>
      <c r="G708" s="20">
        <v>1729</v>
      </c>
      <c r="H708" s="20">
        <v>1696</v>
      </c>
      <c r="I708" s="20">
        <v>1571</v>
      </c>
      <c r="J708" s="20">
        <v>1630</v>
      </c>
      <c r="K708" s="20">
        <v>1671</v>
      </c>
      <c r="L708" s="20">
        <v>1698</v>
      </c>
      <c r="M708" s="20">
        <v>1527</v>
      </c>
      <c r="N708" s="20">
        <v>1710</v>
      </c>
      <c r="O708" s="20">
        <v>1397</v>
      </c>
      <c r="P708" s="20">
        <v>1364</v>
      </c>
      <c r="Q708" s="20">
        <v>1606</v>
      </c>
      <c r="R708" s="20">
        <v>1606</v>
      </c>
      <c r="S708" s="20">
        <v>1509</v>
      </c>
      <c r="T708" s="20">
        <v>1371</v>
      </c>
      <c r="U708" s="20">
        <v>1424</v>
      </c>
      <c r="V708" s="20">
        <v>1401</v>
      </c>
      <c r="W708" s="20">
        <v>1173</v>
      </c>
      <c r="X708" s="20">
        <v>1322</v>
      </c>
      <c r="Y708" s="20">
        <v>1384</v>
      </c>
      <c r="Z708" s="20">
        <v>1313</v>
      </c>
      <c r="AA708" s="20">
        <v>1409</v>
      </c>
      <c r="AB708" s="20">
        <v>1243</v>
      </c>
      <c r="AC708" s="20">
        <v>1198</v>
      </c>
    </row>
    <row r="709" spans="1:29" x14ac:dyDescent="0.35">
      <c r="A709" t="s">
        <v>1245</v>
      </c>
      <c r="B709" s="7">
        <v>2.54</v>
      </c>
      <c r="C709" s="7">
        <v>2.52</v>
      </c>
      <c r="D709" s="7">
        <v>2.52</v>
      </c>
      <c r="E709" s="7">
        <v>2.5499999999999998</v>
      </c>
      <c r="F709" s="7">
        <v>2.5299999999999998</v>
      </c>
      <c r="G709" s="7">
        <v>2.52</v>
      </c>
      <c r="H709" s="7">
        <v>2.5099999999999998</v>
      </c>
      <c r="I709" s="7">
        <v>2.52</v>
      </c>
      <c r="J709" s="7">
        <v>2.5499999999999998</v>
      </c>
      <c r="K709" s="7">
        <v>2.5</v>
      </c>
      <c r="L709" s="7">
        <v>2.48</v>
      </c>
      <c r="M709" s="7">
        <v>2.5299999999999998</v>
      </c>
      <c r="N709" s="7">
        <v>2.5</v>
      </c>
      <c r="O709" s="7">
        <v>2.4</v>
      </c>
      <c r="P709" s="7">
        <v>2.37</v>
      </c>
      <c r="Q709" s="7">
        <v>2.37</v>
      </c>
      <c r="R709" s="7">
        <v>2.37</v>
      </c>
      <c r="S709" s="7">
        <v>2.4900000000000002</v>
      </c>
      <c r="T709" s="7">
        <v>2.52</v>
      </c>
      <c r="U709" s="7">
        <v>2.5099999999999998</v>
      </c>
      <c r="V709" s="7">
        <v>2.52</v>
      </c>
      <c r="W709" s="7">
        <v>2.4</v>
      </c>
      <c r="X709" s="7">
        <v>2.35</v>
      </c>
      <c r="Y709" s="7">
        <v>2.36</v>
      </c>
      <c r="Z709" s="7">
        <v>2.34</v>
      </c>
      <c r="AA709" s="7">
        <v>2.4700000000000002</v>
      </c>
      <c r="AB709" s="7">
        <v>2.4900000000000002</v>
      </c>
      <c r="AC709" s="7">
        <v>2.5</v>
      </c>
    </row>
    <row r="710" spans="1:29" x14ac:dyDescent="0.35">
      <c r="K710" s="63">
        <f>SUM(K708:L708)</f>
        <v>3369</v>
      </c>
      <c r="L710" s="63">
        <f>SUM(K707:L707)</f>
        <v>290</v>
      </c>
      <c r="O710" s="63">
        <f>SUM(O708:R708)</f>
        <v>5973</v>
      </c>
      <c r="P710" s="63">
        <f>SUM(O707:R707)</f>
        <v>1651</v>
      </c>
      <c r="W710" s="63">
        <f>SUM(W708:Z708)</f>
        <v>5192</v>
      </c>
      <c r="X710" s="63">
        <f>SUM(W707:Z707)</f>
        <v>1609</v>
      </c>
    </row>
    <row r="711" spans="1:29" x14ac:dyDescent="0.35">
      <c r="A711" t="s">
        <v>1240</v>
      </c>
      <c r="B711" s="5">
        <v>46026</v>
      </c>
      <c r="C711" s="5">
        <v>46033</v>
      </c>
      <c r="D711" s="5">
        <v>46040</v>
      </c>
      <c r="E711" s="5">
        <v>46047</v>
      </c>
      <c r="F711" s="5">
        <v>46054</v>
      </c>
      <c r="G711" s="5">
        <v>46061</v>
      </c>
      <c r="H711" s="5">
        <v>46068</v>
      </c>
      <c r="I711" s="5">
        <v>46075</v>
      </c>
      <c r="J711" s="5">
        <v>46082</v>
      </c>
      <c r="K711" s="5">
        <v>46089</v>
      </c>
      <c r="L711" s="5">
        <v>46096</v>
      </c>
      <c r="M711" s="5">
        <v>46103</v>
      </c>
      <c r="N711" s="5">
        <v>46110</v>
      </c>
      <c r="O711" s="72">
        <v>46117</v>
      </c>
      <c r="P711" s="72">
        <v>46124</v>
      </c>
      <c r="Q711" s="72">
        <v>46131</v>
      </c>
      <c r="R711" s="72">
        <v>46138</v>
      </c>
      <c r="S711" s="5">
        <v>46145</v>
      </c>
      <c r="T711" s="5">
        <v>46152</v>
      </c>
      <c r="U711" s="5">
        <v>46159</v>
      </c>
      <c r="V711" s="5">
        <v>46166</v>
      </c>
      <c r="W711" s="5">
        <v>46173</v>
      </c>
      <c r="X711" s="5">
        <v>46180</v>
      </c>
      <c r="Y711" s="5">
        <v>46187</v>
      </c>
      <c r="Z711" s="5">
        <v>46194</v>
      </c>
      <c r="AA711" s="5">
        <v>46201</v>
      </c>
      <c r="AB711" s="5">
        <v>46208</v>
      </c>
      <c r="AC711" s="5">
        <v>46215</v>
      </c>
    </row>
    <row r="712" spans="1:29" x14ac:dyDescent="0.35">
      <c r="A712" t="s">
        <v>1242</v>
      </c>
      <c r="B712" s="3">
        <v>7.0000000000000001E-3</v>
      </c>
      <c r="C712" s="3">
        <v>2.5999999999999999E-2</v>
      </c>
      <c r="D712" s="3">
        <v>1.0999999999999999E-2</v>
      </c>
      <c r="E712" s="3">
        <v>8.9999999999999993E-3</v>
      </c>
      <c r="F712" s="3">
        <v>5.2999999999999999E-2</v>
      </c>
      <c r="G712" s="3">
        <v>3.7999999999999999E-2</v>
      </c>
      <c r="H712" s="3">
        <v>3.4000000000000002E-2</v>
      </c>
      <c r="I712" s="3">
        <v>5.0999999999999997E-2</v>
      </c>
      <c r="J712" s="3">
        <v>6.8000000000000005E-2</v>
      </c>
      <c r="K712" s="3">
        <v>9.9000000000000005E-2</v>
      </c>
      <c r="L712" s="3">
        <v>7.3999999999999996E-2</v>
      </c>
      <c r="M712" s="3">
        <v>4.2999999999999997E-2</v>
      </c>
      <c r="N712" s="3">
        <v>3.3000000000000002E-2</v>
      </c>
      <c r="O712" s="60">
        <v>0.19600000000000001</v>
      </c>
      <c r="P712" s="60">
        <v>0.31900000000000001</v>
      </c>
      <c r="Q712" s="60">
        <v>0.28100000000000003</v>
      </c>
      <c r="R712" s="60">
        <v>0.30599999999999999</v>
      </c>
      <c r="S712" s="3">
        <v>0.03</v>
      </c>
      <c r="T712" s="3">
        <v>1.7999999999999999E-2</v>
      </c>
      <c r="U712" s="3">
        <v>0.05</v>
      </c>
      <c r="V712" s="3">
        <v>3.4000000000000002E-2</v>
      </c>
      <c r="W712" s="85">
        <v>0.247</v>
      </c>
      <c r="X712" s="85">
        <v>0.36499999999999999</v>
      </c>
      <c r="Y712" s="85">
        <v>0.28199999999999997</v>
      </c>
      <c r="Z712" s="85">
        <v>0.34100000000000003</v>
      </c>
      <c r="AA712" s="3">
        <v>7.1999999999999995E-2</v>
      </c>
      <c r="AB712" s="3">
        <v>0.111</v>
      </c>
      <c r="AC712" s="3">
        <v>0.08</v>
      </c>
    </row>
    <row r="713" spans="1:29" x14ac:dyDescent="0.35">
      <c r="A713" t="s">
        <v>1247</v>
      </c>
      <c r="B713" s="3">
        <v>5.8000000000000003E-2</v>
      </c>
      <c r="C713" s="3">
        <v>3.5000000000000003E-2</v>
      </c>
      <c r="D713" s="3">
        <v>4.4999999999999998E-2</v>
      </c>
      <c r="E713" s="3">
        <v>3.7999999999999999E-2</v>
      </c>
      <c r="F713" s="3">
        <v>1.7000000000000001E-2</v>
      </c>
      <c r="G713" s="3">
        <v>-4.0000000000000001E-3</v>
      </c>
      <c r="H713" s="3">
        <v>7.0000000000000001E-3</v>
      </c>
      <c r="I713" s="3">
        <v>1.7999999999999999E-2</v>
      </c>
      <c r="J713" s="3">
        <v>0.04</v>
      </c>
      <c r="K713" s="3">
        <v>0.13700000000000001</v>
      </c>
      <c r="L713" s="3">
        <v>0.182</v>
      </c>
      <c r="M713" s="3">
        <v>7.0000000000000001E-3</v>
      </c>
      <c r="N713" s="3">
        <v>0.255</v>
      </c>
      <c r="O713" s="60">
        <v>0.05</v>
      </c>
      <c r="P713" s="60">
        <v>5.3999999999999999E-2</v>
      </c>
      <c r="Q713" s="60">
        <v>4.8000000000000001E-2</v>
      </c>
      <c r="R713" s="60">
        <v>4.3999999999999997E-2</v>
      </c>
      <c r="S713" s="3">
        <v>4.2999999999999997E-2</v>
      </c>
      <c r="T713" s="3">
        <v>8.3000000000000004E-2</v>
      </c>
      <c r="U713" s="3">
        <v>6.7000000000000004E-2</v>
      </c>
      <c r="V713" s="3">
        <v>4.2000000000000003E-2</v>
      </c>
      <c r="W713" s="85">
        <v>5.1999999999999998E-2</v>
      </c>
      <c r="X713" s="85">
        <v>5.3999999999999999E-2</v>
      </c>
      <c r="Y713" s="85">
        <v>5.1999999999999998E-2</v>
      </c>
      <c r="Z713" s="85">
        <v>6.4000000000000001E-2</v>
      </c>
      <c r="AA713" s="3">
        <v>8.7999999999999995E-2</v>
      </c>
      <c r="AB713" s="3">
        <v>0.108</v>
      </c>
      <c r="AC713" s="3">
        <v>1.9E-2</v>
      </c>
    </row>
    <row r="714" spans="1:29" x14ac:dyDescent="0.35">
      <c r="A714" t="s">
        <v>1248</v>
      </c>
      <c r="B714" s="7">
        <v>0.15</v>
      </c>
      <c r="C714" s="7">
        <v>0.09</v>
      </c>
      <c r="D714" s="7">
        <v>0.11</v>
      </c>
      <c r="E714" s="7">
        <v>0.1</v>
      </c>
      <c r="F714" s="7">
        <v>0.04</v>
      </c>
      <c r="G714" s="7">
        <v>-0.01</v>
      </c>
      <c r="H714" s="7">
        <v>0.02</v>
      </c>
      <c r="I714" s="7">
        <v>0.05</v>
      </c>
      <c r="J714" s="7">
        <v>0.1</v>
      </c>
      <c r="K714" s="7">
        <v>0.35</v>
      </c>
      <c r="L714" s="7">
        <v>0.46</v>
      </c>
      <c r="M714" s="7">
        <v>0.02</v>
      </c>
      <c r="N714" s="7">
        <v>0.65</v>
      </c>
      <c r="O714" s="7">
        <v>0.12</v>
      </c>
      <c r="P714" s="7">
        <v>0.13</v>
      </c>
      <c r="Q714" s="7">
        <v>0.12</v>
      </c>
      <c r="R714" s="7">
        <v>0.11</v>
      </c>
      <c r="S714" s="7">
        <v>0.11</v>
      </c>
      <c r="T714" s="7">
        <v>0.21</v>
      </c>
      <c r="U714" s="7">
        <v>0.17</v>
      </c>
      <c r="V714" s="7">
        <v>0.11</v>
      </c>
      <c r="W714" s="7">
        <v>0.13</v>
      </c>
      <c r="X714" s="7">
        <v>0.13</v>
      </c>
      <c r="Y714" s="7">
        <v>0.13</v>
      </c>
      <c r="Z714" s="7">
        <v>0.16</v>
      </c>
      <c r="AA714" s="7">
        <v>0.22</v>
      </c>
      <c r="AB714" s="7">
        <v>0.27</v>
      </c>
      <c r="AC714" s="7">
        <v>0.05</v>
      </c>
    </row>
    <row r="715" spans="1:29" x14ac:dyDescent="0.35">
      <c r="A715" t="s">
        <v>1249</v>
      </c>
      <c r="B715" s="7">
        <v>2.39</v>
      </c>
      <c r="C715" s="7">
        <v>2.44</v>
      </c>
      <c r="D715" s="7">
        <v>2.41</v>
      </c>
      <c r="E715" s="7">
        <v>2.4500000000000002</v>
      </c>
      <c r="F715" s="7">
        <v>2.5</v>
      </c>
      <c r="G715" s="7">
        <v>2.5299999999999998</v>
      </c>
      <c r="H715" s="7">
        <v>2.5</v>
      </c>
      <c r="I715" s="7">
        <v>2.4900000000000002</v>
      </c>
      <c r="J715" s="7">
        <v>2.4500000000000002</v>
      </c>
      <c r="K715" s="59">
        <v>2.2000000000000002</v>
      </c>
      <c r="L715" s="59">
        <v>2.08</v>
      </c>
      <c r="M715" s="7">
        <v>2.5099999999999998</v>
      </c>
      <c r="N715" s="7">
        <v>1.89</v>
      </c>
      <c r="O715" s="7">
        <v>2.34</v>
      </c>
      <c r="P715" s="7">
        <v>2.33</v>
      </c>
      <c r="Q715" s="7">
        <v>2.33</v>
      </c>
      <c r="R715" s="7">
        <v>2.34</v>
      </c>
      <c r="S715" s="7">
        <v>2.41</v>
      </c>
      <c r="T715" s="7">
        <v>2.33</v>
      </c>
      <c r="U715" s="7">
        <v>2.37</v>
      </c>
      <c r="V715" s="7">
        <v>2.44</v>
      </c>
      <c r="W715" s="7">
        <v>2.34</v>
      </c>
      <c r="X715" s="7">
        <v>2.3199999999999998</v>
      </c>
      <c r="Y715" s="7">
        <v>2.31</v>
      </c>
      <c r="Z715" s="7">
        <v>2.29</v>
      </c>
      <c r="AA715" s="7">
        <v>2.29</v>
      </c>
      <c r="AB715" s="7">
        <v>2.2599999999999998</v>
      </c>
      <c r="AC715" s="7">
        <v>2.46</v>
      </c>
    </row>
    <row r="716" spans="1:29" x14ac:dyDescent="0.35">
      <c r="A716" t="s">
        <v>1250</v>
      </c>
      <c r="B716" s="7">
        <v>2.54</v>
      </c>
      <c r="C716" s="7">
        <v>2.5299999999999998</v>
      </c>
      <c r="D716" s="7">
        <v>2.5299999999999998</v>
      </c>
      <c r="E716" s="7">
        <v>2.5499999999999998</v>
      </c>
      <c r="F716" s="7">
        <v>2.54</v>
      </c>
      <c r="G716" s="7">
        <v>2.52</v>
      </c>
      <c r="H716" s="7">
        <v>2.52</v>
      </c>
      <c r="I716" s="7">
        <v>2.5299999999999998</v>
      </c>
      <c r="J716" s="7">
        <v>2.5499999999999998</v>
      </c>
      <c r="K716" s="7">
        <v>2.5499999999999998</v>
      </c>
      <c r="L716" s="7">
        <v>2.54</v>
      </c>
      <c r="M716" s="7">
        <v>2.5299999999999998</v>
      </c>
      <c r="N716" s="7">
        <v>2.54</v>
      </c>
      <c r="O716" s="7">
        <v>2.46</v>
      </c>
      <c r="P716" s="7">
        <v>2.46</v>
      </c>
      <c r="Q716" s="7">
        <v>2.4500000000000002</v>
      </c>
      <c r="R716" s="7">
        <v>2.44</v>
      </c>
      <c r="S716" s="7">
        <v>2.5099999999999998</v>
      </c>
      <c r="T716" s="7">
        <v>2.54</v>
      </c>
      <c r="U716" s="7">
        <v>2.54</v>
      </c>
      <c r="V716" s="7">
        <v>2.54</v>
      </c>
      <c r="W716" s="7">
        <v>2.46</v>
      </c>
      <c r="X716" s="7">
        <v>2.4500000000000002</v>
      </c>
      <c r="Y716" s="7">
        <v>2.44</v>
      </c>
      <c r="Z716" s="7">
        <v>2.44</v>
      </c>
      <c r="AA716" s="7">
        <v>2.52</v>
      </c>
      <c r="AB716" s="7">
        <v>2.54</v>
      </c>
      <c r="AC716" s="7">
        <v>2.5099999999999998</v>
      </c>
    </row>
    <row r="717" spans="1:29" x14ac:dyDescent="0.35">
      <c r="A717" t="s">
        <v>1245</v>
      </c>
      <c r="B717" s="7">
        <v>2.54</v>
      </c>
      <c r="C717" s="7">
        <v>2.52</v>
      </c>
      <c r="D717" s="7">
        <v>2.52</v>
      </c>
      <c r="E717" s="7">
        <v>2.5499999999999998</v>
      </c>
      <c r="F717" s="7">
        <v>2.5299999999999998</v>
      </c>
      <c r="G717" s="7">
        <v>2.52</v>
      </c>
      <c r="H717" s="7">
        <v>2.5099999999999998</v>
      </c>
      <c r="I717" s="7">
        <v>2.52</v>
      </c>
      <c r="J717" s="7">
        <v>2.5499999999999998</v>
      </c>
      <c r="K717" s="7">
        <v>2.5</v>
      </c>
      <c r="L717" s="7">
        <v>2.48</v>
      </c>
      <c r="M717" s="7">
        <v>2.5299999999999998</v>
      </c>
      <c r="N717" s="7">
        <v>2.5</v>
      </c>
      <c r="O717" s="7">
        <v>2.4</v>
      </c>
      <c r="P717" s="7">
        <v>2.37</v>
      </c>
      <c r="Q717" s="7">
        <v>2.37</v>
      </c>
      <c r="R717" s="7">
        <v>2.37</v>
      </c>
      <c r="S717" s="7">
        <v>2.4900000000000002</v>
      </c>
      <c r="T717" s="7">
        <v>2.52</v>
      </c>
      <c r="U717" s="7">
        <v>2.5099999999999998</v>
      </c>
      <c r="V717" s="7">
        <v>2.52</v>
      </c>
      <c r="W717" s="7">
        <v>2.4</v>
      </c>
      <c r="X717" s="7">
        <v>2.35</v>
      </c>
      <c r="Y717" s="7">
        <v>2.36</v>
      </c>
      <c r="Z717" s="7">
        <v>2.34</v>
      </c>
      <c r="AA717" s="7">
        <v>2.4700000000000002</v>
      </c>
      <c r="AB717" s="7">
        <v>2.4900000000000002</v>
      </c>
      <c r="AC717" s="7">
        <v>2.5</v>
      </c>
    </row>
    <row r="722" spans="1:29" x14ac:dyDescent="0.35">
      <c r="A722" t="s">
        <v>1254</v>
      </c>
      <c r="B722" s="5">
        <v>46026</v>
      </c>
      <c r="C722" s="5">
        <v>46033</v>
      </c>
      <c r="D722" s="5">
        <v>46040</v>
      </c>
      <c r="E722" s="5">
        <v>46047</v>
      </c>
      <c r="F722" s="5">
        <v>46054</v>
      </c>
      <c r="G722" s="5">
        <v>46061</v>
      </c>
      <c r="H722" s="5">
        <v>46068</v>
      </c>
      <c r="I722" s="5">
        <v>46075</v>
      </c>
      <c r="J722" s="5">
        <v>46082</v>
      </c>
      <c r="K722" s="5">
        <v>46089</v>
      </c>
      <c r="L722" s="5">
        <v>46096</v>
      </c>
      <c r="M722" s="5">
        <v>46103</v>
      </c>
      <c r="N722" s="5">
        <v>46110</v>
      </c>
      <c r="O722" s="5">
        <v>46117</v>
      </c>
      <c r="P722" s="5">
        <v>46124</v>
      </c>
      <c r="Q722" s="5">
        <v>46131</v>
      </c>
      <c r="R722" s="5">
        <v>46138</v>
      </c>
      <c r="S722" s="5">
        <v>46145</v>
      </c>
      <c r="T722" s="5">
        <v>46152</v>
      </c>
      <c r="U722" s="5">
        <v>46159</v>
      </c>
      <c r="V722" s="5">
        <v>46166</v>
      </c>
      <c r="W722" s="5">
        <v>46173</v>
      </c>
      <c r="X722" s="5">
        <v>46180</v>
      </c>
      <c r="Y722" s="5">
        <v>46187</v>
      </c>
      <c r="Z722" s="5">
        <v>46194</v>
      </c>
      <c r="AA722" s="5">
        <v>46201</v>
      </c>
      <c r="AB722" s="5">
        <v>46208</v>
      </c>
      <c r="AC722" s="5">
        <v>46215</v>
      </c>
    </row>
    <row r="723" spans="1:29" x14ac:dyDescent="0.35">
      <c r="A723" t="s">
        <v>1241</v>
      </c>
      <c r="B723">
        <v>125</v>
      </c>
      <c r="C723">
        <v>185</v>
      </c>
      <c r="D723">
        <v>195</v>
      </c>
      <c r="E723">
        <v>244</v>
      </c>
      <c r="F723">
        <v>202</v>
      </c>
      <c r="G723">
        <v>193</v>
      </c>
      <c r="H723">
        <v>176</v>
      </c>
      <c r="I723">
        <v>215</v>
      </c>
      <c r="J723">
        <v>231</v>
      </c>
      <c r="K723">
        <v>239</v>
      </c>
      <c r="L723">
        <v>229</v>
      </c>
      <c r="M723">
        <v>211</v>
      </c>
      <c r="N723">
        <v>222</v>
      </c>
      <c r="O723">
        <v>161</v>
      </c>
      <c r="P723">
        <v>168</v>
      </c>
      <c r="Q723">
        <v>237</v>
      </c>
      <c r="R723">
        <v>211</v>
      </c>
      <c r="S723">
        <v>204</v>
      </c>
      <c r="T723">
        <v>251</v>
      </c>
      <c r="U723">
        <v>235</v>
      </c>
      <c r="V723">
        <v>259</v>
      </c>
      <c r="W723">
        <v>221</v>
      </c>
      <c r="X723">
        <v>248</v>
      </c>
      <c r="Y723">
        <v>235</v>
      </c>
      <c r="Z723">
        <v>254</v>
      </c>
      <c r="AA723">
        <v>219</v>
      </c>
      <c r="AB723">
        <v>205</v>
      </c>
      <c r="AC723">
        <v>211</v>
      </c>
    </row>
    <row r="724" spans="1:29" x14ac:dyDescent="0.35">
      <c r="A724" t="s">
        <v>1242</v>
      </c>
      <c r="B724" s="3">
        <v>0</v>
      </c>
      <c r="C724" s="3">
        <v>0</v>
      </c>
      <c r="D724" s="3">
        <v>3.0000000000000001E-3</v>
      </c>
      <c r="E724" s="3">
        <v>2.1999999999999999E-2</v>
      </c>
      <c r="F724" s="3">
        <v>3.5000000000000003E-2</v>
      </c>
      <c r="G724" s="3">
        <v>3.4000000000000002E-2</v>
      </c>
      <c r="H724" s="3">
        <v>6.0000000000000001E-3</v>
      </c>
      <c r="I724" s="3">
        <v>1.4E-2</v>
      </c>
      <c r="J724" s="3">
        <v>3.0000000000000001E-3</v>
      </c>
      <c r="K724" s="3">
        <v>7.2999999999999995E-2</v>
      </c>
      <c r="L724" s="3">
        <v>7.0000000000000001E-3</v>
      </c>
      <c r="M724" s="3">
        <v>1.7999999999999999E-2</v>
      </c>
      <c r="N724" s="3">
        <v>3.1E-2</v>
      </c>
      <c r="O724" s="3">
        <v>2.5000000000000001E-2</v>
      </c>
      <c r="P724" s="3">
        <v>0.08</v>
      </c>
      <c r="Q724" s="3">
        <v>0.04</v>
      </c>
      <c r="R724" s="3">
        <v>1.7999999999999999E-2</v>
      </c>
      <c r="S724" s="3">
        <v>3.0000000000000001E-3</v>
      </c>
      <c r="T724" s="3">
        <v>3.0000000000000001E-3</v>
      </c>
      <c r="U724" s="3">
        <v>3.0000000000000001E-3</v>
      </c>
      <c r="V724" s="3">
        <v>2E-3</v>
      </c>
      <c r="W724" s="3">
        <v>0.05</v>
      </c>
      <c r="X724" s="3">
        <v>0.08</v>
      </c>
      <c r="Y724" s="3">
        <v>0.158</v>
      </c>
      <c r="Z724" s="3">
        <v>0.16600000000000001</v>
      </c>
      <c r="AA724" s="3">
        <v>1.2E-2</v>
      </c>
      <c r="AB724" s="3">
        <v>3.0000000000000001E-3</v>
      </c>
      <c r="AC724" s="3">
        <v>2E-3</v>
      </c>
    </row>
    <row r="725" spans="1:29" x14ac:dyDescent="0.35">
      <c r="A725" t="s">
        <v>1243</v>
      </c>
      <c r="B725">
        <v>0</v>
      </c>
      <c r="C725">
        <v>0</v>
      </c>
      <c r="D725">
        <v>1</v>
      </c>
      <c r="E725">
        <v>5</v>
      </c>
      <c r="F725">
        <v>7</v>
      </c>
      <c r="G725">
        <v>6</v>
      </c>
      <c r="H725">
        <v>1</v>
      </c>
      <c r="I725">
        <v>3</v>
      </c>
      <c r="J725">
        <v>1</v>
      </c>
      <c r="K725">
        <v>16</v>
      </c>
      <c r="L725">
        <v>2</v>
      </c>
      <c r="M725">
        <v>4</v>
      </c>
      <c r="N725">
        <v>7</v>
      </c>
      <c r="O725">
        <v>4</v>
      </c>
      <c r="P725">
        <v>13</v>
      </c>
      <c r="Q725">
        <v>9</v>
      </c>
      <c r="R725">
        <v>4</v>
      </c>
      <c r="S725">
        <v>1</v>
      </c>
      <c r="T725">
        <v>1</v>
      </c>
      <c r="U725">
        <v>1</v>
      </c>
      <c r="V725">
        <v>0</v>
      </c>
      <c r="W725">
        <v>11</v>
      </c>
      <c r="X725">
        <v>18</v>
      </c>
      <c r="Y725">
        <v>32</v>
      </c>
      <c r="Z725">
        <v>36</v>
      </c>
      <c r="AA725">
        <v>3</v>
      </c>
      <c r="AB725">
        <v>1</v>
      </c>
      <c r="AC725">
        <v>1</v>
      </c>
    </row>
    <row r="726" spans="1:29" x14ac:dyDescent="0.35">
      <c r="A726" t="s">
        <v>1244</v>
      </c>
      <c r="B726">
        <v>125</v>
      </c>
      <c r="C726">
        <v>185</v>
      </c>
      <c r="D726">
        <v>194</v>
      </c>
      <c r="E726">
        <v>239</v>
      </c>
      <c r="F726">
        <v>195</v>
      </c>
      <c r="G726">
        <v>187</v>
      </c>
      <c r="H726">
        <v>175</v>
      </c>
      <c r="I726">
        <v>212</v>
      </c>
      <c r="J726">
        <v>231</v>
      </c>
      <c r="K726">
        <v>222</v>
      </c>
      <c r="L726">
        <v>228</v>
      </c>
      <c r="M726">
        <v>208</v>
      </c>
      <c r="N726">
        <v>215</v>
      </c>
      <c r="O726">
        <v>157</v>
      </c>
      <c r="P726">
        <v>156</v>
      </c>
      <c r="Q726">
        <v>228</v>
      </c>
      <c r="R726">
        <v>208</v>
      </c>
      <c r="S726">
        <v>204</v>
      </c>
      <c r="T726">
        <v>251</v>
      </c>
      <c r="U726">
        <v>235</v>
      </c>
      <c r="V726">
        <v>258</v>
      </c>
      <c r="W726">
        <v>211</v>
      </c>
      <c r="X726">
        <v>229</v>
      </c>
      <c r="Y726">
        <v>203</v>
      </c>
      <c r="Z726">
        <v>218</v>
      </c>
      <c r="AA726">
        <v>217</v>
      </c>
      <c r="AB726">
        <v>204</v>
      </c>
      <c r="AC726">
        <v>211</v>
      </c>
    </row>
    <row r="727" spans="1:29" x14ac:dyDescent="0.35">
      <c r="A727" t="s">
        <v>1245</v>
      </c>
      <c r="B727" s="7">
        <v>9.6999999999999993</v>
      </c>
      <c r="C727" s="7">
        <v>9.65</v>
      </c>
      <c r="D727" s="7">
        <v>9.6</v>
      </c>
      <c r="E727" s="7">
        <v>9.65</v>
      </c>
      <c r="F727" s="7">
        <v>9.4</v>
      </c>
      <c r="G727" s="7">
        <v>9.35</v>
      </c>
      <c r="H727" s="7">
        <v>9.5399999999999991</v>
      </c>
      <c r="I727" s="7">
        <v>9.66</v>
      </c>
      <c r="J727" s="7">
        <v>9.73</v>
      </c>
      <c r="K727" s="7">
        <v>9.33</v>
      </c>
      <c r="L727" s="7">
        <v>9.6300000000000008</v>
      </c>
      <c r="M727" s="7">
        <v>9.7100000000000009</v>
      </c>
      <c r="N727" s="7">
        <v>9.4700000000000006</v>
      </c>
      <c r="O727" s="7">
        <v>9.57</v>
      </c>
      <c r="P727" s="7">
        <v>9.5500000000000007</v>
      </c>
      <c r="Q727" s="7">
        <v>9.6</v>
      </c>
      <c r="R727" s="7">
        <v>9.61</v>
      </c>
      <c r="S727" s="7">
        <v>9.7100000000000009</v>
      </c>
      <c r="T727" s="7">
        <v>9.85</v>
      </c>
      <c r="U727" s="7">
        <v>9.76</v>
      </c>
      <c r="V727" s="7">
        <v>9.77</v>
      </c>
      <c r="W727" s="7">
        <v>9.6</v>
      </c>
      <c r="X727" s="7">
        <v>9.39</v>
      </c>
      <c r="Y727" s="7">
        <v>9.36</v>
      </c>
      <c r="Z727" s="7">
        <v>9.41</v>
      </c>
      <c r="AA727" s="7">
        <v>9.6300000000000008</v>
      </c>
      <c r="AB727" s="7">
        <v>9.86</v>
      </c>
      <c r="AC727" s="7">
        <v>9.82</v>
      </c>
    </row>
    <row r="729" spans="1:29" x14ac:dyDescent="0.35">
      <c r="A729" t="s">
        <v>1254</v>
      </c>
      <c r="B729" s="5">
        <v>46026</v>
      </c>
      <c r="C729" s="5">
        <v>46033</v>
      </c>
      <c r="D729" s="5">
        <v>46040</v>
      </c>
      <c r="E729" s="5">
        <v>46047</v>
      </c>
      <c r="F729" s="5">
        <v>46054</v>
      </c>
      <c r="G729" s="5">
        <v>46061</v>
      </c>
      <c r="H729" s="5">
        <v>46068</v>
      </c>
      <c r="I729" s="5">
        <v>46075</v>
      </c>
      <c r="J729" s="5">
        <v>46082</v>
      </c>
      <c r="K729" s="5">
        <v>46089</v>
      </c>
      <c r="L729" s="5">
        <v>46096</v>
      </c>
      <c r="M729" s="5">
        <v>46103</v>
      </c>
      <c r="N729" s="5">
        <v>46110</v>
      </c>
      <c r="O729" s="5">
        <v>46117</v>
      </c>
      <c r="P729" s="5">
        <v>46124</v>
      </c>
      <c r="Q729" s="5">
        <v>46131</v>
      </c>
      <c r="R729" s="5">
        <v>46138</v>
      </c>
      <c r="S729" s="5">
        <v>46145</v>
      </c>
      <c r="T729" s="5">
        <v>46152</v>
      </c>
      <c r="U729" s="5">
        <v>46159</v>
      </c>
      <c r="V729" s="5">
        <v>46166</v>
      </c>
      <c r="W729" s="5">
        <v>46173</v>
      </c>
      <c r="X729" s="5">
        <v>46180</v>
      </c>
      <c r="Y729" s="5">
        <v>46187</v>
      </c>
      <c r="Z729" s="5">
        <v>46194</v>
      </c>
      <c r="AA729" s="5">
        <v>46201</v>
      </c>
      <c r="AB729" s="5">
        <v>46208</v>
      </c>
      <c r="AC729" s="5">
        <v>46215</v>
      </c>
    </row>
    <row r="730" spans="1:29" x14ac:dyDescent="0.35">
      <c r="A730" t="s">
        <v>1242</v>
      </c>
      <c r="B730" s="3">
        <v>0</v>
      </c>
      <c r="C730" s="3">
        <v>0</v>
      </c>
      <c r="D730" s="3">
        <v>3.0000000000000001E-3</v>
      </c>
      <c r="E730" s="3">
        <v>2.1999999999999999E-2</v>
      </c>
      <c r="F730" s="3">
        <v>3.5000000000000003E-2</v>
      </c>
      <c r="G730" s="3">
        <v>3.4000000000000002E-2</v>
      </c>
      <c r="H730" s="3">
        <v>6.0000000000000001E-3</v>
      </c>
      <c r="I730" s="3">
        <v>1.4E-2</v>
      </c>
      <c r="J730" s="3">
        <v>3.0000000000000001E-3</v>
      </c>
      <c r="K730" s="3">
        <v>7.2999999999999995E-2</v>
      </c>
      <c r="L730" s="3">
        <v>7.0000000000000001E-3</v>
      </c>
      <c r="M730" s="3">
        <v>1.7999999999999999E-2</v>
      </c>
      <c r="N730" s="3">
        <v>3.1E-2</v>
      </c>
      <c r="O730" s="3">
        <v>2.5000000000000001E-2</v>
      </c>
      <c r="P730" s="3">
        <v>0.08</v>
      </c>
      <c r="Q730" s="3">
        <v>0.04</v>
      </c>
      <c r="R730" s="3">
        <v>1.7999999999999999E-2</v>
      </c>
      <c r="S730" s="3">
        <v>3.0000000000000001E-3</v>
      </c>
      <c r="T730" s="3">
        <v>3.0000000000000001E-3</v>
      </c>
      <c r="U730" s="3">
        <v>3.0000000000000001E-3</v>
      </c>
      <c r="V730" s="3">
        <v>2E-3</v>
      </c>
      <c r="W730" s="3">
        <v>0.05</v>
      </c>
      <c r="X730" s="3">
        <v>0.08</v>
      </c>
      <c r="Y730" s="3">
        <v>0.158</v>
      </c>
      <c r="Z730" s="3">
        <v>0.16600000000000001</v>
      </c>
      <c r="AA730" s="3">
        <v>1.2E-2</v>
      </c>
      <c r="AB730" s="3">
        <v>3.0000000000000001E-3</v>
      </c>
      <c r="AC730" s="3">
        <v>2E-3</v>
      </c>
    </row>
    <row r="731" spans="1:29" x14ac:dyDescent="0.35">
      <c r="A731" t="s">
        <v>1247</v>
      </c>
      <c r="B731" s="3">
        <v>7.0999999999999994E-2</v>
      </c>
      <c r="C731" s="3">
        <v>0.11899999999999999</v>
      </c>
      <c r="D731" s="3">
        <v>0.111</v>
      </c>
      <c r="E731" s="3">
        <v>0.10100000000000001</v>
      </c>
      <c r="F731" s="3">
        <v>0.17399999999999999</v>
      </c>
      <c r="G731" s="3">
        <v>0.24199999999999999</v>
      </c>
      <c r="H731" s="3">
        <v>0.21299999999999999</v>
      </c>
      <c r="I731" s="3">
        <v>0.115</v>
      </c>
      <c r="J731" s="3">
        <v>9.4E-2</v>
      </c>
      <c r="K731" s="3">
        <v>0.36099999999999999</v>
      </c>
      <c r="L731" s="3">
        <v>0.25700000000000001</v>
      </c>
      <c r="M731" s="3">
        <v>0.04</v>
      </c>
      <c r="N731" s="3">
        <v>0.42099999999999999</v>
      </c>
      <c r="O731" s="3">
        <v>2.4E-2</v>
      </c>
      <c r="P731" s="3">
        <v>0.02</v>
      </c>
      <c r="Q731" s="3">
        <v>-3.5000000000000003E-2</v>
      </c>
      <c r="R731" s="3">
        <v>0.04</v>
      </c>
      <c r="S731" s="3">
        <v>8.3000000000000004E-2</v>
      </c>
      <c r="T731" s="3">
        <v>0.107</v>
      </c>
      <c r="U731" s="3">
        <v>7.8E-2</v>
      </c>
      <c r="V731" s="3">
        <v>1.4999999999999999E-2</v>
      </c>
      <c r="W731" s="3">
        <v>4.8000000000000001E-2</v>
      </c>
      <c r="X731" s="3">
        <v>4.7E-2</v>
      </c>
      <c r="Y731" s="3">
        <v>4.2000000000000003E-2</v>
      </c>
      <c r="Z731" s="3">
        <v>4.2000000000000003E-2</v>
      </c>
      <c r="AA731" s="3">
        <v>5.8999999999999997E-2</v>
      </c>
      <c r="AB731" s="3">
        <v>0.14699999999999999</v>
      </c>
      <c r="AC731" s="3">
        <v>5.0999999999999997E-2</v>
      </c>
    </row>
    <row r="732" spans="1:29" x14ac:dyDescent="0.35">
      <c r="A732" t="s">
        <v>1248</v>
      </c>
      <c r="B732" s="7">
        <v>0.69</v>
      </c>
      <c r="C732" s="7">
        <v>1.1499999999999999</v>
      </c>
      <c r="D732" s="7">
        <v>1.07</v>
      </c>
      <c r="E732" s="7">
        <v>0.98</v>
      </c>
      <c r="F732" s="7">
        <v>1.67</v>
      </c>
      <c r="G732" s="7">
        <v>2.3199999999999998</v>
      </c>
      <c r="H732" s="7">
        <v>2.0499999999999998</v>
      </c>
      <c r="I732" s="7">
        <v>1.1200000000000001</v>
      </c>
      <c r="J732" s="7">
        <v>0.92</v>
      </c>
      <c r="K732" s="7">
        <v>3.5</v>
      </c>
      <c r="L732" s="7">
        <v>2.4900000000000002</v>
      </c>
      <c r="M732" s="7">
        <v>0.39</v>
      </c>
      <c r="N732" s="7">
        <v>4.09</v>
      </c>
      <c r="O732" s="7">
        <v>0.23</v>
      </c>
      <c r="P732" s="7">
        <v>0.19</v>
      </c>
      <c r="Q732" s="7">
        <v>-0.34</v>
      </c>
      <c r="R732" s="7">
        <v>0.39</v>
      </c>
      <c r="S732" s="7">
        <v>0.81</v>
      </c>
      <c r="T732" s="7">
        <v>1.05</v>
      </c>
      <c r="U732" s="7">
        <v>0.76</v>
      </c>
      <c r="V732" s="7">
        <v>0.15</v>
      </c>
      <c r="W732" s="7">
        <v>0.46</v>
      </c>
      <c r="X732" s="7">
        <v>0.45</v>
      </c>
      <c r="Y732" s="7">
        <v>0.4</v>
      </c>
      <c r="Z732" s="7">
        <v>0.41</v>
      </c>
      <c r="AA732" s="7">
        <v>0.56999999999999995</v>
      </c>
      <c r="AB732" s="7">
        <v>1.45</v>
      </c>
      <c r="AC732" s="7">
        <v>0.5</v>
      </c>
    </row>
    <row r="733" spans="1:29" x14ac:dyDescent="0.35">
      <c r="A733" t="s">
        <v>1249</v>
      </c>
      <c r="B733" s="7">
        <v>9.02</v>
      </c>
      <c r="C733" s="7">
        <v>8.49</v>
      </c>
      <c r="D733" s="7">
        <v>8.5500000000000007</v>
      </c>
      <c r="E733" s="7">
        <v>8.7100000000000009</v>
      </c>
      <c r="F733" s="7">
        <v>7.94</v>
      </c>
      <c r="G733" s="7">
        <v>7.26</v>
      </c>
      <c r="H733" s="7">
        <v>7.59</v>
      </c>
      <c r="I733" s="7">
        <v>8.58</v>
      </c>
      <c r="J733" s="7">
        <v>8.81</v>
      </c>
      <c r="K733" s="7">
        <v>6.21</v>
      </c>
      <c r="L733" s="7">
        <v>7.21</v>
      </c>
      <c r="M733" s="7">
        <v>9.34</v>
      </c>
      <c r="N733" s="7">
        <v>5.62</v>
      </c>
      <c r="O733" s="7">
        <v>9.3699999999999992</v>
      </c>
      <c r="P733" s="7">
        <v>9.39</v>
      </c>
      <c r="Q733" s="7">
        <v>9.93</v>
      </c>
      <c r="R733" s="7">
        <v>9.25</v>
      </c>
      <c r="S733" s="7">
        <v>8.9499999999999993</v>
      </c>
      <c r="T733" s="7">
        <v>8.83</v>
      </c>
      <c r="U733" s="7">
        <v>9.01</v>
      </c>
      <c r="V733" s="7">
        <v>9.6300000000000008</v>
      </c>
      <c r="W733" s="7">
        <v>9.2200000000000006</v>
      </c>
      <c r="X733" s="7">
        <v>9.07</v>
      </c>
      <c r="Y733" s="7">
        <v>9.11</v>
      </c>
      <c r="Z733" s="7">
        <v>9.15</v>
      </c>
      <c r="AA733" s="7">
        <v>9.08</v>
      </c>
      <c r="AB733" s="7">
        <v>8.43</v>
      </c>
      <c r="AC733" s="7">
        <v>9.33</v>
      </c>
    </row>
    <row r="734" spans="1:29" x14ac:dyDescent="0.35">
      <c r="A734" t="s">
        <v>1250</v>
      </c>
      <c r="B734" s="7">
        <v>9.7100000000000009</v>
      </c>
      <c r="C734" s="7">
        <v>9.65</v>
      </c>
      <c r="D734" s="7">
        <v>9.61</v>
      </c>
      <c r="E734" s="7">
        <v>9.69</v>
      </c>
      <c r="F734" s="7">
        <v>9.6199999999999992</v>
      </c>
      <c r="G734" s="7">
        <v>9.58</v>
      </c>
      <c r="H734" s="7">
        <v>9.64</v>
      </c>
      <c r="I734" s="7">
        <v>9.6999999999999993</v>
      </c>
      <c r="J734" s="7">
        <v>9.73</v>
      </c>
      <c r="K734" s="7">
        <v>9.7200000000000006</v>
      </c>
      <c r="L734" s="7">
        <v>9.6999999999999993</v>
      </c>
      <c r="M734" s="7">
        <v>9.73</v>
      </c>
      <c r="N734" s="7">
        <v>9.7100000000000009</v>
      </c>
      <c r="O734" s="7">
        <v>9.6</v>
      </c>
      <c r="P734" s="7">
        <v>9.58</v>
      </c>
      <c r="Q734" s="7">
        <v>9.6</v>
      </c>
      <c r="R734" s="7">
        <v>9.64</v>
      </c>
      <c r="S734" s="7">
        <v>9.76</v>
      </c>
      <c r="T734" s="7">
        <v>9.8800000000000008</v>
      </c>
      <c r="U734" s="7">
        <v>9.77</v>
      </c>
      <c r="V734" s="7">
        <v>9.7799999999999994</v>
      </c>
      <c r="W734" s="7">
        <v>9.68</v>
      </c>
      <c r="X734" s="7">
        <v>9.51</v>
      </c>
      <c r="Y734" s="7">
        <v>9.51</v>
      </c>
      <c r="Z734" s="7">
        <v>9.56</v>
      </c>
      <c r="AA734" s="7">
        <v>9.65</v>
      </c>
      <c r="AB734" s="7">
        <v>9.8699999999999992</v>
      </c>
      <c r="AC734" s="7">
        <v>9.83</v>
      </c>
    </row>
    <row r="735" spans="1:29" x14ac:dyDescent="0.35">
      <c r="A735" t="s">
        <v>1245</v>
      </c>
      <c r="B735" s="7">
        <v>9.6999999999999993</v>
      </c>
      <c r="C735" s="7">
        <v>9.65</v>
      </c>
      <c r="D735" s="7">
        <v>9.6</v>
      </c>
      <c r="E735" s="7">
        <v>9.65</v>
      </c>
      <c r="F735" s="7">
        <v>9.4</v>
      </c>
      <c r="G735" s="7">
        <v>9.35</v>
      </c>
      <c r="H735" s="7">
        <v>9.5399999999999991</v>
      </c>
      <c r="I735" s="7">
        <v>9.66</v>
      </c>
      <c r="J735" s="7">
        <v>9.73</v>
      </c>
      <c r="K735" s="7">
        <v>9.33</v>
      </c>
      <c r="L735" s="7">
        <v>9.6300000000000008</v>
      </c>
      <c r="M735" s="7">
        <v>9.7100000000000009</v>
      </c>
      <c r="N735" s="7">
        <v>9.4700000000000006</v>
      </c>
      <c r="O735" s="7">
        <v>9.57</v>
      </c>
      <c r="P735" s="7">
        <v>9.5500000000000007</v>
      </c>
      <c r="Q735" s="7">
        <v>9.6</v>
      </c>
      <c r="R735" s="7">
        <v>9.61</v>
      </c>
      <c r="S735" s="7">
        <v>9.7100000000000009</v>
      </c>
      <c r="T735" s="7">
        <v>9.85</v>
      </c>
      <c r="U735" s="7">
        <v>9.76</v>
      </c>
      <c r="V735" s="7">
        <v>9.77</v>
      </c>
      <c r="W735" s="7">
        <v>9.6</v>
      </c>
      <c r="X735" s="7">
        <v>9.39</v>
      </c>
      <c r="Y735" s="7">
        <v>9.36</v>
      </c>
      <c r="Z735" s="7">
        <v>9.41</v>
      </c>
      <c r="AA735" s="7">
        <v>9.6300000000000008</v>
      </c>
      <c r="AB735" s="7">
        <v>9.86</v>
      </c>
      <c r="AC735" s="7">
        <v>9.82</v>
      </c>
    </row>
    <row r="737" spans="1:29" s="66" customFormat="1" x14ac:dyDescent="0.35"/>
    <row r="738" spans="1:29" x14ac:dyDescent="0.35">
      <c r="A738" s="4" t="s">
        <v>1385</v>
      </c>
    </row>
    <row r="740" spans="1:29" x14ac:dyDescent="0.35">
      <c r="A740" t="s">
        <v>1240</v>
      </c>
      <c r="B740" s="5">
        <v>46026</v>
      </c>
      <c r="C740" s="5">
        <v>46033</v>
      </c>
      <c r="D740" s="5">
        <v>46040</v>
      </c>
      <c r="E740" s="72">
        <v>46047</v>
      </c>
      <c r="F740" s="72">
        <v>46054</v>
      </c>
      <c r="G740" s="72">
        <v>46061</v>
      </c>
      <c r="H740" s="72">
        <v>46068</v>
      </c>
      <c r="I740" s="72">
        <v>46075</v>
      </c>
      <c r="J740" s="5">
        <v>46082</v>
      </c>
      <c r="K740" s="5">
        <v>46089</v>
      </c>
      <c r="L740" s="5">
        <v>46096</v>
      </c>
      <c r="M740" s="5">
        <v>46103</v>
      </c>
      <c r="N740" s="5">
        <v>46110</v>
      </c>
      <c r="O740" s="5">
        <v>46117</v>
      </c>
      <c r="P740" s="5">
        <v>46124</v>
      </c>
      <c r="Q740" s="5">
        <v>46131</v>
      </c>
      <c r="R740" s="5">
        <v>46138</v>
      </c>
      <c r="S740" s="5">
        <v>46145</v>
      </c>
      <c r="T740" s="5">
        <v>46152</v>
      </c>
      <c r="U740" s="5">
        <v>46159</v>
      </c>
      <c r="V740" s="5">
        <v>46166</v>
      </c>
      <c r="W740" s="5">
        <v>46173</v>
      </c>
      <c r="X740" s="5">
        <v>46180</v>
      </c>
      <c r="Y740" s="5">
        <v>46187</v>
      </c>
      <c r="Z740" s="5">
        <v>46194</v>
      </c>
      <c r="AA740" s="5">
        <v>46201</v>
      </c>
      <c r="AB740" s="5">
        <v>46208</v>
      </c>
      <c r="AC740" s="5">
        <v>46215</v>
      </c>
    </row>
    <row r="741" spans="1:29" x14ac:dyDescent="0.35">
      <c r="A741" t="s">
        <v>1241</v>
      </c>
      <c r="B741">
        <v>322</v>
      </c>
      <c r="C741" s="6">
        <v>1666</v>
      </c>
      <c r="D741" s="6">
        <v>4036</v>
      </c>
      <c r="E741" s="6">
        <v>4200</v>
      </c>
      <c r="F741" s="6">
        <v>4735</v>
      </c>
      <c r="G741" s="6">
        <v>5628</v>
      </c>
      <c r="H741" s="6">
        <v>5906</v>
      </c>
      <c r="I741" s="6">
        <v>5845</v>
      </c>
      <c r="J741" s="6">
        <v>4882</v>
      </c>
      <c r="K741" s="6">
        <v>4495</v>
      </c>
      <c r="L741" s="6">
        <v>4758</v>
      </c>
      <c r="M741" s="6">
        <v>4374</v>
      </c>
      <c r="N741" s="6">
        <v>4820</v>
      </c>
      <c r="O741" s="6">
        <v>4615</v>
      </c>
      <c r="P741" s="6">
        <v>4821</v>
      </c>
      <c r="Q741" s="6">
        <v>4903</v>
      </c>
      <c r="R741" s="6">
        <v>4808</v>
      </c>
      <c r="S741" s="6">
        <v>4904</v>
      </c>
      <c r="T741" s="6">
        <v>4521</v>
      </c>
      <c r="U741" s="6">
        <v>4923</v>
      </c>
      <c r="V741" s="6">
        <v>4679</v>
      </c>
      <c r="W741" s="6">
        <v>4288</v>
      </c>
      <c r="X741" s="6">
        <v>4814</v>
      </c>
      <c r="Y741" s="6">
        <v>4670</v>
      </c>
      <c r="Z741" s="6">
        <v>4697</v>
      </c>
      <c r="AA741" s="6">
        <v>6374</v>
      </c>
      <c r="AB741" s="6">
        <v>6398</v>
      </c>
      <c r="AC741" s="6">
        <v>7187</v>
      </c>
    </row>
    <row r="742" spans="1:29" x14ac:dyDescent="0.35">
      <c r="A742" t="s">
        <v>1242</v>
      </c>
      <c r="B742" s="3">
        <v>8.8999999999999996E-2</v>
      </c>
      <c r="C742" s="3">
        <v>4.8000000000000001E-2</v>
      </c>
      <c r="D742" s="3">
        <v>7.3999999999999996E-2</v>
      </c>
      <c r="E742" s="3">
        <v>0.155</v>
      </c>
      <c r="F742" s="3">
        <v>0.23</v>
      </c>
      <c r="G742" s="3">
        <v>0.25</v>
      </c>
      <c r="H742" s="3">
        <v>0.29299999999999998</v>
      </c>
      <c r="I742" s="3">
        <v>0.35199999999999998</v>
      </c>
      <c r="J742" s="3">
        <v>0.17599999999999999</v>
      </c>
      <c r="K742" s="3">
        <v>6.6000000000000003E-2</v>
      </c>
      <c r="L742" s="3">
        <v>2.5999999999999999E-2</v>
      </c>
      <c r="M742" s="3">
        <v>2.5000000000000001E-2</v>
      </c>
      <c r="N742" s="3">
        <v>1.6E-2</v>
      </c>
      <c r="O742" s="3">
        <v>0.02</v>
      </c>
      <c r="P742" s="3">
        <v>1.9E-2</v>
      </c>
      <c r="Q742" s="3">
        <v>1.2E-2</v>
      </c>
      <c r="R742" s="3">
        <v>1.7999999999999999E-2</v>
      </c>
      <c r="S742" s="3">
        <v>1.6E-2</v>
      </c>
      <c r="T742" s="3">
        <v>1.2999999999999999E-2</v>
      </c>
      <c r="U742" s="3">
        <v>8.0000000000000002E-3</v>
      </c>
      <c r="V742" s="3">
        <v>8.0000000000000002E-3</v>
      </c>
      <c r="W742" s="3">
        <v>2.8000000000000001E-2</v>
      </c>
      <c r="X742" s="3">
        <v>4.7E-2</v>
      </c>
      <c r="Y742" s="3">
        <v>2.5999999999999999E-2</v>
      </c>
      <c r="Z742" s="3">
        <v>0.01</v>
      </c>
      <c r="AA742" s="3">
        <v>0.435</v>
      </c>
      <c r="AB742" s="3">
        <v>0.57999999999999996</v>
      </c>
      <c r="AC742" s="3">
        <v>0.72399999999999998</v>
      </c>
    </row>
    <row r="743" spans="1:29" x14ac:dyDescent="0.35">
      <c r="A743" t="s">
        <v>1243</v>
      </c>
      <c r="B743">
        <v>26</v>
      </c>
      <c r="C743">
        <v>77</v>
      </c>
      <c r="D743">
        <v>278</v>
      </c>
      <c r="E743">
        <v>564</v>
      </c>
      <c r="F743">
        <v>886</v>
      </c>
      <c r="G743" s="6">
        <v>1124</v>
      </c>
      <c r="H743" s="6">
        <v>1338</v>
      </c>
      <c r="I743" s="6">
        <v>1523</v>
      </c>
      <c r="J743">
        <v>730</v>
      </c>
      <c r="K743">
        <v>279</v>
      </c>
      <c r="L743">
        <v>121</v>
      </c>
      <c r="M743">
        <v>106</v>
      </c>
      <c r="N743">
        <v>75</v>
      </c>
      <c r="O743">
        <v>91</v>
      </c>
      <c r="P743">
        <v>89</v>
      </c>
      <c r="Q743">
        <v>57</v>
      </c>
      <c r="R743">
        <v>87</v>
      </c>
      <c r="S743">
        <v>79</v>
      </c>
      <c r="T743">
        <v>58</v>
      </c>
      <c r="U743">
        <v>41</v>
      </c>
      <c r="V743">
        <v>36</v>
      </c>
      <c r="W743">
        <v>118</v>
      </c>
      <c r="X743">
        <v>215</v>
      </c>
      <c r="Y743">
        <v>117</v>
      </c>
      <c r="Z743">
        <v>49</v>
      </c>
      <c r="AA743" s="6">
        <v>1931</v>
      </c>
      <c r="AB743" s="6">
        <v>2350</v>
      </c>
      <c r="AC743" s="6">
        <v>3018</v>
      </c>
    </row>
    <row r="744" spans="1:29" x14ac:dyDescent="0.35">
      <c r="A744" t="s">
        <v>1244</v>
      </c>
      <c r="B744">
        <v>296</v>
      </c>
      <c r="C744" s="6">
        <v>1589</v>
      </c>
      <c r="D744" s="6">
        <v>3757</v>
      </c>
      <c r="E744" s="6">
        <v>3636</v>
      </c>
      <c r="F744" s="6">
        <v>3849</v>
      </c>
      <c r="G744" s="6">
        <v>4503</v>
      </c>
      <c r="H744" s="6">
        <v>4568</v>
      </c>
      <c r="I744" s="6">
        <v>4322</v>
      </c>
      <c r="J744" s="6">
        <v>4152</v>
      </c>
      <c r="K744" s="6">
        <v>4216</v>
      </c>
      <c r="L744" s="6">
        <v>4636</v>
      </c>
      <c r="M744" s="6">
        <v>4268</v>
      </c>
      <c r="N744" s="6">
        <v>4745</v>
      </c>
      <c r="O744" s="6">
        <v>4524</v>
      </c>
      <c r="P744" s="6">
        <v>4732</v>
      </c>
      <c r="Q744" s="6">
        <v>4846</v>
      </c>
      <c r="R744" s="6">
        <v>4721</v>
      </c>
      <c r="S744" s="6">
        <v>4825</v>
      </c>
      <c r="T744" s="6">
        <v>4464</v>
      </c>
      <c r="U744" s="6">
        <v>4882</v>
      </c>
      <c r="V744" s="6">
        <v>4644</v>
      </c>
      <c r="W744" s="6">
        <v>4171</v>
      </c>
      <c r="X744" s="6">
        <v>4599</v>
      </c>
      <c r="Y744" s="6">
        <v>4553</v>
      </c>
      <c r="Z744" s="6">
        <v>4648</v>
      </c>
      <c r="AA744" s="6">
        <v>4443</v>
      </c>
      <c r="AB744" s="6">
        <v>4049</v>
      </c>
      <c r="AC744" s="6">
        <v>4170</v>
      </c>
    </row>
    <row r="745" spans="1:29" x14ac:dyDescent="0.35">
      <c r="A745" t="s">
        <v>1245</v>
      </c>
      <c r="B745" s="7">
        <v>3.49</v>
      </c>
      <c r="C745" s="7">
        <v>2.99</v>
      </c>
      <c r="D745" s="7">
        <v>2.98</v>
      </c>
      <c r="E745" s="7">
        <v>2.99</v>
      </c>
      <c r="F745" s="7">
        <v>3</v>
      </c>
      <c r="G745" s="7">
        <v>3.02</v>
      </c>
      <c r="H745" s="7">
        <v>3.04</v>
      </c>
      <c r="I745" s="7">
        <v>3.03</v>
      </c>
      <c r="J745" s="7">
        <v>3.37</v>
      </c>
      <c r="K745" s="7">
        <v>3.49</v>
      </c>
      <c r="L745" s="7">
        <v>3.49</v>
      </c>
      <c r="M745" s="7">
        <v>3.48</v>
      </c>
      <c r="N745" s="7">
        <v>3.48</v>
      </c>
      <c r="O745" s="7">
        <v>3.48</v>
      </c>
      <c r="P745" s="7">
        <v>3.48</v>
      </c>
      <c r="Q745" s="7">
        <v>3.49</v>
      </c>
      <c r="R745" s="7">
        <v>3.48</v>
      </c>
      <c r="S745" s="7">
        <v>3.48</v>
      </c>
      <c r="T745" s="7">
        <v>3.48</v>
      </c>
      <c r="U745" s="7">
        <v>3.48</v>
      </c>
      <c r="V745" s="7">
        <v>3.49</v>
      </c>
      <c r="W745" s="7">
        <v>3.48</v>
      </c>
      <c r="X745" s="7">
        <v>3.49</v>
      </c>
      <c r="Y745" s="7">
        <v>3.48</v>
      </c>
      <c r="Z745" s="7">
        <v>3.49</v>
      </c>
      <c r="AA745" s="7">
        <v>3.05</v>
      </c>
      <c r="AB745" s="7">
        <v>2.92</v>
      </c>
      <c r="AC745" s="7">
        <v>2.91</v>
      </c>
    </row>
    <row r="746" spans="1:29" x14ac:dyDescent="0.35">
      <c r="E746" s="6">
        <f>SUM(E744:I744)</f>
        <v>20878</v>
      </c>
      <c r="F746">
        <f>SUM(E743:I743)</f>
        <v>5435</v>
      </c>
      <c r="G746" s="11">
        <f>F746/E746</f>
        <v>0.260321869910911</v>
      </c>
    </row>
    <row r="748" spans="1:29" x14ac:dyDescent="0.35">
      <c r="A748" t="s">
        <v>1240</v>
      </c>
      <c r="B748" s="5">
        <v>46026</v>
      </c>
      <c r="C748" s="5">
        <v>46033</v>
      </c>
      <c r="D748" s="5">
        <v>46040</v>
      </c>
      <c r="E748" s="72">
        <v>46047</v>
      </c>
      <c r="F748" s="72">
        <v>46054</v>
      </c>
      <c r="G748" s="72">
        <v>46061</v>
      </c>
      <c r="H748" s="72">
        <v>46068</v>
      </c>
      <c r="I748" s="72">
        <v>46075</v>
      </c>
      <c r="J748" s="5">
        <v>46082</v>
      </c>
      <c r="K748" s="5">
        <v>46089</v>
      </c>
      <c r="L748" s="5">
        <v>46096</v>
      </c>
      <c r="M748" s="5">
        <v>46103</v>
      </c>
      <c r="N748" s="5">
        <v>46110</v>
      </c>
      <c r="O748" s="5">
        <v>46117</v>
      </c>
      <c r="P748" s="5">
        <v>46124</v>
      </c>
      <c r="Q748" s="5">
        <v>46131</v>
      </c>
      <c r="R748" s="5">
        <v>46138</v>
      </c>
      <c r="S748" s="5">
        <v>46145</v>
      </c>
      <c r="T748" s="5">
        <v>46152</v>
      </c>
      <c r="U748" s="5">
        <v>46159</v>
      </c>
      <c r="V748" s="5">
        <v>46166</v>
      </c>
      <c r="W748" s="5">
        <v>46173</v>
      </c>
      <c r="X748" s="5">
        <v>46180</v>
      </c>
      <c r="Y748" s="5">
        <v>46187</v>
      </c>
      <c r="Z748" s="5">
        <v>46194</v>
      </c>
      <c r="AA748" s="5">
        <v>46201</v>
      </c>
      <c r="AB748" s="5">
        <v>46208</v>
      </c>
      <c r="AC748" s="5">
        <v>46215</v>
      </c>
    </row>
    <row r="749" spans="1:29" x14ac:dyDescent="0.35">
      <c r="A749" t="s">
        <v>1242</v>
      </c>
      <c r="B749" s="3">
        <v>8.8999999999999996E-2</v>
      </c>
      <c r="C749" s="3">
        <v>4.8000000000000001E-2</v>
      </c>
      <c r="D749" s="3">
        <v>7.3999999999999996E-2</v>
      </c>
      <c r="E749" s="3">
        <v>0.155</v>
      </c>
      <c r="F749" s="3">
        <v>0.23</v>
      </c>
      <c r="G749" s="3">
        <v>0.25</v>
      </c>
      <c r="H749" s="3">
        <v>0.29299999999999998</v>
      </c>
      <c r="I749" s="3">
        <v>0.35199999999999998</v>
      </c>
      <c r="J749" s="3">
        <v>0.17599999999999999</v>
      </c>
      <c r="K749" s="3">
        <v>6.6000000000000003E-2</v>
      </c>
      <c r="L749" s="3">
        <v>2.5999999999999999E-2</v>
      </c>
      <c r="M749" s="3">
        <v>2.5000000000000001E-2</v>
      </c>
      <c r="N749" s="3">
        <v>1.6E-2</v>
      </c>
      <c r="O749" s="3">
        <v>0.02</v>
      </c>
      <c r="P749" s="3">
        <v>1.9E-2</v>
      </c>
      <c r="Q749" s="3">
        <v>1.2E-2</v>
      </c>
      <c r="R749" s="3">
        <v>1.7999999999999999E-2</v>
      </c>
      <c r="S749" s="3">
        <v>1.6E-2</v>
      </c>
      <c r="T749" s="3">
        <v>1.2999999999999999E-2</v>
      </c>
      <c r="U749" s="3">
        <v>8.0000000000000002E-3</v>
      </c>
      <c r="V749" s="3">
        <v>8.0000000000000002E-3</v>
      </c>
      <c r="W749" s="3">
        <v>2.8000000000000001E-2</v>
      </c>
      <c r="X749" s="3">
        <v>4.7E-2</v>
      </c>
      <c r="Y749" s="3">
        <v>2.5999999999999999E-2</v>
      </c>
      <c r="Z749" s="3">
        <v>0.01</v>
      </c>
      <c r="AA749" s="3">
        <v>0.435</v>
      </c>
      <c r="AB749" s="3">
        <v>0.57999999999999996</v>
      </c>
      <c r="AC749" s="3">
        <v>0.72399999999999998</v>
      </c>
    </row>
    <row r="750" spans="1:29" x14ac:dyDescent="0.35">
      <c r="A750" t="s">
        <v>1247</v>
      </c>
      <c r="B750" s="3">
        <v>0.01</v>
      </c>
      <c r="C750" s="3">
        <v>5.1999999999999998E-2</v>
      </c>
      <c r="D750" s="3">
        <v>7.4999999999999997E-2</v>
      </c>
      <c r="E750" s="3">
        <v>0.108</v>
      </c>
      <c r="F750" s="3">
        <v>0.10100000000000001</v>
      </c>
      <c r="G750" s="3">
        <v>0.10299999999999999</v>
      </c>
      <c r="H750" s="3">
        <v>0.10199999999999999</v>
      </c>
      <c r="I750" s="3">
        <v>0.10199999999999999</v>
      </c>
      <c r="J750" s="3">
        <v>4.8000000000000001E-2</v>
      </c>
      <c r="K750" s="3">
        <v>1.2E-2</v>
      </c>
      <c r="L750" s="3">
        <v>2.3E-2</v>
      </c>
      <c r="M750" s="3">
        <v>6.3E-2</v>
      </c>
      <c r="N750" s="3">
        <v>8.7999999999999995E-2</v>
      </c>
      <c r="O750" s="3">
        <v>4.9000000000000002E-2</v>
      </c>
      <c r="P750" s="3">
        <v>5.6000000000000001E-2</v>
      </c>
      <c r="Q750" s="3">
        <v>4.2000000000000003E-2</v>
      </c>
      <c r="R750" s="3">
        <v>8.3000000000000004E-2</v>
      </c>
      <c r="S750" s="3">
        <v>3.5000000000000003E-2</v>
      </c>
      <c r="T750" s="3">
        <v>0.04</v>
      </c>
      <c r="U750" s="3">
        <v>0.112</v>
      </c>
      <c r="V750" s="3">
        <v>9.7000000000000003E-2</v>
      </c>
      <c r="W750" s="3">
        <v>2.5999999999999999E-2</v>
      </c>
      <c r="X750" s="3">
        <v>1.4999999999999999E-2</v>
      </c>
      <c r="Y750" s="3">
        <v>4.7E-2</v>
      </c>
      <c r="Z750" s="3">
        <v>7.4999999999999997E-2</v>
      </c>
      <c r="AA750" s="3">
        <v>0.14699999999999999</v>
      </c>
      <c r="AB750" s="3">
        <v>0.153</v>
      </c>
      <c r="AC750" s="3">
        <v>0.14299999999999999</v>
      </c>
    </row>
    <row r="751" spans="1:29" x14ac:dyDescent="0.35">
      <c r="A751" t="s">
        <v>1248</v>
      </c>
      <c r="B751" s="7">
        <v>0.03</v>
      </c>
      <c r="C751" s="7">
        <v>0.16</v>
      </c>
      <c r="D751" s="7">
        <v>0.23</v>
      </c>
      <c r="E751" s="7">
        <v>0.34</v>
      </c>
      <c r="F751" s="7">
        <v>0.32</v>
      </c>
      <c r="G751" s="7">
        <v>0.33</v>
      </c>
      <c r="H751" s="7">
        <v>0.33</v>
      </c>
      <c r="I751" s="7">
        <v>0.33</v>
      </c>
      <c r="J751" s="7">
        <v>0.17</v>
      </c>
      <c r="K751" s="7">
        <v>0.04</v>
      </c>
      <c r="L751" s="7">
        <v>0.08</v>
      </c>
      <c r="M751" s="7">
        <v>0.22</v>
      </c>
      <c r="N751" s="7">
        <v>0.31</v>
      </c>
      <c r="O751" s="7">
        <v>0.17</v>
      </c>
      <c r="P751" s="7">
        <v>0.19</v>
      </c>
      <c r="Q751" s="7">
        <v>0.15</v>
      </c>
      <c r="R751" s="7">
        <v>0.28999999999999998</v>
      </c>
      <c r="S751" s="7">
        <v>0.12</v>
      </c>
      <c r="T751" s="7">
        <v>0.14000000000000001</v>
      </c>
      <c r="U751" s="7">
        <v>0.39</v>
      </c>
      <c r="V751" s="7">
        <v>0.34</v>
      </c>
      <c r="W751" s="7">
        <v>0.09</v>
      </c>
      <c r="X751" s="7">
        <v>0.05</v>
      </c>
      <c r="Y751" s="7">
        <v>0.16</v>
      </c>
      <c r="Z751" s="7">
        <v>0.26</v>
      </c>
      <c r="AA751" s="7">
        <v>0.5</v>
      </c>
      <c r="AB751" s="7">
        <v>0.51</v>
      </c>
      <c r="AC751" s="7">
        <v>0.48</v>
      </c>
    </row>
    <row r="752" spans="1:29" x14ac:dyDescent="0.35">
      <c r="A752" t="s">
        <v>1249</v>
      </c>
      <c r="B752" s="7">
        <v>3.48</v>
      </c>
      <c r="C752" s="7">
        <v>2.87</v>
      </c>
      <c r="D752" s="7">
        <v>2.82</v>
      </c>
      <c r="E752" s="59">
        <v>2.79</v>
      </c>
      <c r="F752" s="59">
        <v>2.84</v>
      </c>
      <c r="G752" s="59">
        <v>2.85</v>
      </c>
      <c r="H752" s="59">
        <v>2.89</v>
      </c>
      <c r="I752" s="59">
        <v>2.9</v>
      </c>
      <c r="J752" s="7">
        <v>3.27</v>
      </c>
      <c r="K752" s="7">
        <v>3.46</v>
      </c>
      <c r="L752" s="7">
        <v>3.41</v>
      </c>
      <c r="M752" s="7">
        <v>3.27</v>
      </c>
      <c r="N752" s="7">
        <v>3.18</v>
      </c>
      <c r="O752" s="7">
        <v>3.32</v>
      </c>
      <c r="P752" s="7">
        <v>3.3</v>
      </c>
      <c r="Q752" s="7">
        <v>3.34</v>
      </c>
      <c r="R752" s="7">
        <v>3.2</v>
      </c>
      <c r="S752" s="7">
        <v>3.37</v>
      </c>
      <c r="T752" s="7">
        <v>3.35</v>
      </c>
      <c r="U752" s="7">
        <v>3.1</v>
      </c>
      <c r="V752" s="7">
        <v>3.15</v>
      </c>
      <c r="W752" s="7">
        <v>3.4</v>
      </c>
      <c r="X752" s="7">
        <v>3.44</v>
      </c>
      <c r="Y752" s="7">
        <v>3.33</v>
      </c>
      <c r="Z752" s="7">
        <v>3.23</v>
      </c>
      <c r="AA752" s="7">
        <v>2.88</v>
      </c>
      <c r="AB752" s="7">
        <v>2.82</v>
      </c>
      <c r="AC752" s="7">
        <v>2.87</v>
      </c>
    </row>
    <row r="753" spans="1:29" x14ac:dyDescent="0.35">
      <c r="A753" t="s">
        <v>1250</v>
      </c>
      <c r="B753" s="7">
        <v>3.52</v>
      </c>
      <c r="C753" s="7">
        <v>3.03</v>
      </c>
      <c r="D753" s="7">
        <v>3.05</v>
      </c>
      <c r="E753" s="7">
        <v>3.13</v>
      </c>
      <c r="F753" s="7">
        <v>3.16</v>
      </c>
      <c r="G753" s="7">
        <v>3.18</v>
      </c>
      <c r="H753" s="7">
        <v>3.22</v>
      </c>
      <c r="I753" s="7">
        <v>3.23</v>
      </c>
      <c r="J753" s="7">
        <v>3.43</v>
      </c>
      <c r="K753" s="7">
        <v>3.5</v>
      </c>
      <c r="L753" s="7">
        <v>3.49</v>
      </c>
      <c r="M753" s="7">
        <v>3.49</v>
      </c>
      <c r="N753" s="7">
        <v>3.49</v>
      </c>
      <c r="O753" s="7">
        <v>3.49</v>
      </c>
      <c r="P753" s="7">
        <v>3.49</v>
      </c>
      <c r="Q753" s="7">
        <v>3.49</v>
      </c>
      <c r="R753" s="7">
        <v>3.49</v>
      </c>
      <c r="S753" s="7">
        <v>3.49</v>
      </c>
      <c r="T753" s="7">
        <v>3.49</v>
      </c>
      <c r="U753" s="7">
        <v>3.49</v>
      </c>
      <c r="V753" s="7">
        <v>3.49</v>
      </c>
      <c r="W753" s="7">
        <v>3.49</v>
      </c>
      <c r="X753" s="7">
        <v>3.49</v>
      </c>
      <c r="Y753" s="7">
        <v>3.49</v>
      </c>
      <c r="Z753" s="7">
        <v>3.49</v>
      </c>
      <c r="AA753" s="7">
        <v>3.38</v>
      </c>
      <c r="AB753" s="7">
        <v>3.33</v>
      </c>
      <c r="AC753" s="7">
        <v>3.34</v>
      </c>
    </row>
    <row r="754" spans="1:29" x14ac:dyDescent="0.35">
      <c r="A754" t="s">
        <v>1245</v>
      </c>
      <c r="B754" s="7">
        <v>3.49</v>
      </c>
      <c r="C754" s="7">
        <v>2.99</v>
      </c>
      <c r="D754" s="7">
        <v>2.98</v>
      </c>
      <c r="E754" s="7">
        <v>2.99</v>
      </c>
      <c r="F754" s="7">
        <v>3</v>
      </c>
      <c r="G754" s="7">
        <v>3.02</v>
      </c>
      <c r="H754" s="7">
        <v>3.04</v>
      </c>
      <c r="I754" s="7">
        <v>3.03</v>
      </c>
      <c r="J754" s="7">
        <v>3.37</v>
      </c>
      <c r="K754" s="7">
        <v>3.49</v>
      </c>
      <c r="L754" s="7">
        <v>3.49</v>
      </c>
      <c r="M754" s="7">
        <v>3.48</v>
      </c>
      <c r="N754" s="7">
        <v>3.48</v>
      </c>
      <c r="O754" s="7">
        <v>3.48</v>
      </c>
      <c r="P754" s="7">
        <v>3.48</v>
      </c>
      <c r="Q754" s="7">
        <v>3.49</v>
      </c>
      <c r="R754" s="7">
        <v>3.48</v>
      </c>
      <c r="S754" s="7">
        <v>3.48</v>
      </c>
      <c r="T754" s="7">
        <v>3.48</v>
      </c>
      <c r="U754" s="7">
        <v>3.48</v>
      </c>
      <c r="V754" s="7">
        <v>3.49</v>
      </c>
      <c r="W754" s="7">
        <v>3.48</v>
      </c>
      <c r="X754" s="7">
        <v>3.49</v>
      </c>
      <c r="Y754" s="7">
        <v>3.48</v>
      </c>
      <c r="Z754" s="7">
        <v>3.49</v>
      </c>
      <c r="AA754" s="7">
        <v>3.05</v>
      </c>
      <c r="AB754" s="7">
        <v>2.92</v>
      </c>
      <c r="AC754" s="7">
        <v>2.91</v>
      </c>
    </row>
    <row r="757" spans="1:29" s="66" customFormat="1" x14ac:dyDescent="0.35"/>
    <row r="759" spans="1:29" x14ac:dyDescent="0.35">
      <c r="A759" s="4" t="s">
        <v>1386</v>
      </c>
    </row>
    <row r="761" spans="1:29" x14ac:dyDescent="0.35">
      <c r="A761" t="s">
        <v>1240</v>
      </c>
      <c r="B761" s="5">
        <v>46026</v>
      </c>
      <c r="C761" s="5">
        <v>46033</v>
      </c>
      <c r="D761" s="5">
        <v>46040</v>
      </c>
      <c r="E761" s="5">
        <v>46047</v>
      </c>
      <c r="F761" s="5">
        <v>46054</v>
      </c>
      <c r="G761" s="5">
        <v>46061</v>
      </c>
      <c r="H761" s="5">
        <v>46068</v>
      </c>
      <c r="I761" s="5">
        <v>46075</v>
      </c>
      <c r="J761" s="5">
        <v>46082</v>
      </c>
      <c r="K761" s="5">
        <v>46089</v>
      </c>
      <c r="L761" s="5">
        <v>46096</v>
      </c>
      <c r="M761" s="5">
        <v>46103</v>
      </c>
      <c r="N761" s="5">
        <v>46110</v>
      </c>
      <c r="O761" s="5">
        <v>46117</v>
      </c>
      <c r="P761" s="5">
        <v>46124</v>
      </c>
      <c r="Q761" s="5">
        <v>46131</v>
      </c>
      <c r="R761" s="5">
        <v>46138</v>
      </c>
      <c r="S761" s="5">
        <v>46145</v>
      </c>
      <c r="T761" s="5">
        <v>46152</v>
      </c>
      <c r="U761" s="5">
        <v>46159</v>
      </c>
      <c r="V761" s="5">
        <v>46166</v>
      </c>
      <c r="W761" s="5">
        <v>46173</v>
      </c>
      <c r="X761" s="5">
        <v>46180</v>
      </c>
      <c r="Y761" s="5">
        <v>46187</v>
      </c>
      <c r="Z761" s="5">
        <v>46194</v>
      </c>
      <c r="AA761" s="5">
        <v>46201</v>
      </c>
      <c r="AB761" s="5">
        <v>46208</v>
      </c>
      <c r="AC761" s="5">
        <v>46215</v>
      </c>
    </row>
    <row r="762" spans="1:29" x14ac:dyDescent="0.35">
      <c r="A762" t="s">
        <v>1241</v>
      </c>
      <c r="B762">
        <v>947</v>
      </c>
      <c r="C762" s="6">
        <v>1215</v>
      </c>
      <c r="D762" s="6">
        <v>1192</v>
      </c>
      <c r="E762" s="6">
        <v>1210</v>
      </c>
      <c r="F762" s="6">
        <v>1021</v>
      </c>
      <c r="G762" s="6">
        <v>1256</v>
      </c>
      <c r="H762" s="6">
        <v>1355</v>
      </c>
      <c r="I762" s="6">
        <v>1341</v>
      </c>
      <c r="J762" s="6">
        <v>1275</v>
      </c>
      <c r="K762" s="6">
        <v>1781</v>
      </c>
      <c r="L762" s="6">
        <v>2069</v>
      </c>
      <c r="M762" s="6">
        <v>2012</v>
      </c>
      <c r="N762" s="6">
        <v>1995</v>
      </c>
      <c r="O762" s="6">
        <v>2067</v>
      </c>
      <c r="P762" s="6">
        <v>1971</v>
      </c>
      <c r="Q762" s="6">
        <v>2216</v>
      </c>
      <c r="R762" s="6">
        <v>2170</v>
      </c>
      <c r="S762" s="6">
        <v>2228</v>
      </c>
      <c r="T762" s="6">
        <v>1638</v>
      </c>
      <c r="U762" s="6">
        <v>1264</v>
      </c>
      <c r="V762" s="6">
        <v>1331</v>
      </c>
      <c r="W762" s="6">
        <v>1234</v>
      </c>
      <c r="X762" s="6">
        <v>1254</v>
      </c>
      <c r="Y762" s="6">
        <v>1243</v>
      </c>
      <c r="Z762" s="6">
        <v>1285</v>
      </c>
      <c r="AA762" s="6">
        <v>1275</v>
      </c>
      <c r="AB762" s="6">
        <v>1098</v>
      </c>
      <c r="AC762" s="6">
        <v>1209</v>
      </c>
    </row>
    <row r="763" spans="1:29" x14ac:dyDescent="0.35">
      <c r="A763" t="s">
        <v>1242</v>
      </c>
      <c r="B763" s="3">
        <v>0</v>
      </c>
      <c r="C763" s="3">
        <v>0</v>
      </c>
      <c r="D763" s="3">
        <v>0</v>
      </c>
      <c r="E763" s="3">
        <v>4.0000000000000001E-3</v>
      </c>
      <c r="F763" s="3">
        <v>0</v>
      </c>
      <c r="G763" s="3">
        <v>1E-3</v>
      </c>
      <c r="H763" s="3">
        <v>0</v>
      </c>
      <c r="I763" s="3">
        <v>4.0000000000000001E-3</v>
      </c>
      <c r="J763" s="3">
        <v>0</v>
      </c>
      <c r="K763" s="60">
        <v>0.27700000000000002</v>
      </c>
      <c r="L763" s="60">
        <v>0.38700000000000001</v>
      </c>
      <c r="M763" s="60">
        <v>0.39800000000000002</v>
      </c>
      <c r="N763" s="60">
        <v>0.42299999999999999</v>
      </c>
      <c r="O763" s="60">
        <v>0.5</v>
      </c>
      <c r="P763" s="60">
        <v>0.42599999999999999</v>
      </c>
      <c r="Q763" s="60">
        <v>0.44800000000000001</v>
      </c>
      <c r="R763" s="60">
        <v>0.374</v>
      </c>
      <c r="S763" s="60">
        <v>0.40799999999999997</v>
      </c>
      <c r="T763" s="3">
        <v>0.185</v>
      </c>
      <c r="U763" s="3">
        <v>0</v>
      </c>
      <c r="V763" s="3">
        <v>0</v>
      </c>
      <c r="W763" s="3">
        <v>0</v>
      </c>
      <c r="X763" s="3">
        <v>0</v>
      </c>
      <c r="Y763" s="3">
        <v>0</v>
      </c>
      <c r="Z763" s="3">
        <v>0</v>
      </c>
      <c r="AA763" s="3">
        <v>0</v>
      </c>
      <c r="AB763" s="3">
        <v>0</v>
      </c>
      <c r="AC763" s="3">
        <v>0</v>
      </c>
    </row>
    <row r="764" spans="1:29" x14ac:dyDescent="0.35">
      <c r="A764" t="s">
        <v>1243</v>
      </c>
      <c r="B764">
        <v>0</v>
      </c>
      <c r="C764">
        <v>0</v>
      </c>
      <c r="D764">
        <v>0</v>
      </c>
      <c r="E764">
        <v>5</v>
      </c>
      <c r="F764">
        <v>0</v>
      </c>
      <c r="G764">
        <v>1</v>
      </c>
      <c r="H764">
        <v>0</v>
      </c>
      <c r="I764">
        <v>6</v>
      </c>
      <c r="J764">
        <v>1</v>
      </c>
      <c r="K764">
        <v>386</v>
      </c>
      <c r="L764">
        <v>578</v>
      </c>
      <c r="M764">
        <v>573</v>
      </c>
      <c r="N764">
        <v>593</v>
      </c>
      <c r="O764">
        <v>689</v>
      </c>
      <c r="P764">
        <v>589</v>
      </c>
      <c r="Q764">
        <v>686</v>
      </c>
      <c r="R764">
        <v>591</v>
      </c>
      <c r="S764">
        <v>646</v>
      </c>
      <c r="T764">
        <v>256</v>
      </c>
      <c r="U764">
        <v>0</v>
      </c>
      <c r="V764">
        <v>0</v>
      </c>
      <c r="W764">
        <v>0</v>
      </c>
      <c r="X764">
        <v>0</v>
      </c>
      <c r="Y764">
        <v>0</v>
      </c>
      <c r="Z764">
        <v>0</v>
      </c>
      <c r="AA764">
        <v>0</v>
      </c>
      <c r="AB764">
        <v>0</v>
      </c>
      <c r="AC764">
        <v>0</v>
      </c>
    </row>
    <row r="765" spans="1:29" x14ac:dyDescent="0.35">
      <c r="A765" t="s">
        <v>1244</v>
      </c>
      <c r="B765">
        <v>947</v>
      </c>
      <c r="C765" s="6">
        <v>1215</v>
      </c>
      <c r="D765" s="6">
        <v>1192</v>
      </c>
      <c r="E765" s="6">
        <v>1205</v>
      </c>
      <c r="F765" s="6">
        <v>1021</v>
      </c>
      <c r="G765" s="6">
        <v>1255</v>
      </c>
      <c r="H765" s="6">
        <v>1355</v>
      </c>
      <c r="I765" s="6">
        <v>1335</v>
      </c>
      <c r="J765" s="6">
        <v>1275</v>
      </c>
      <c r="K765" s="6">
        <v>1395</v>
      </c>
      <c r="L765" s="6">
        <v>1491</v>
      </c>
      <c r="M765" s="6">
        <v>1439</v>
      </c>
      <c r="N765" s="6">
        <v>1402</v>
      </c>
      <c r="O765" s="6">
        <v>1378</v>
      </c>
      <c r="P765" s="6">
        <v>1382</v>
      </c>
      <c r="Q765" s="6">
        <v>1530</v>
      </c>
      <c r="R765" s="6">
        <v>1579</v>
      </c>
      <c r="S765" s="6">
        <v>1582</v>
      </c>
      <c r="T765" s="6">
        <v>1382</v>
      </c>
      <c r="U765" s="6">
        <v>1264</v>
      </c>
      <c r="V765" s="6">
        <v>1331</v>
      </c>
      <c r="W765" s="6">
        <v>1234</v>
      </c>
      <c r="X765" s="6">
        <v>1254</v>
      </c>
      <c r="Y765" s="6">
        <v>1243</v>
      </c>
      <c r="Z765" s="6">
        <v>1285</v>
      </c>
      <c r="AA765" s="6">
        <v>1275</v>
      </c>
      <c r="AB765" s="6">
        <v>1098</v>
      </c>
      <c r="AC765" s="6">
        <v>1209</v>
      </c>
    </row>
    <row r="766" spans="1:29" x14ac:dyDescent="0.35">
      <c r="A766" t="s">
        <v>1245</v>
      </c>
      <c r="B766" s="7">
        <v>3.49</v>
      </c>
      <c r="C766" s="7">
        <v>3.49</v>
      </c>
      <c r="D766" s="7">
        <v>3.49</v>
      </c>
      <c r="E766" s="7">
        <v>3.48</v>
      </c>
      <c r="F766" s="7">
        <v>3.49</v>
      </c>
      <c r="G766" s="7">
        <v>3.49</v>
      </c>
      <c r="H766" s="7">
        <v>3.49</v>
      </c>
      <c r="I766" s="7">
        <v>3.48</v>
      </c>
      <c r="J766" s="7">
        <v>3.49</v>
      </c>
      <c r="K766" s="7">
        <v>3.14</v>
      </c>
      <c r="L766" s="7">
        <v>2.98</v>
      </c>
      <c r="M766" s="7">
        <v>2.96</v>
      </c>
      <c r="N766" s="7">
        <v>2.96</v>
      </c>
      <c r="O766" s="7">
        <v>2.96</v>
      </c>
      <c r="P766" s="7">
        <v>2.95</v>
      </c>
      <c r="Q766" s="7">
        <v>2.96</v>
      </c>
      <c r="R766" s="7">
        <v>2.97</v>
      </c>
      <c r="S766" s="7">
        <v>2.95</v>
      </c>
      <c r="T766" s="7">
        <v>3.2</v>
      </c>
      <c r="U766" s="7">
        <v>3.49</v>
      </c>
      <c r="V766" s="7">
        <v>3.49</v>
      </c>
      <c r="W766" s="7">
        <v>3.49</v>
      </c>
      <c r="X766" s="7">
        <v>3.49</v>
      </c>
      <c r="Y766" s="7">
        <v>3.49</v>
      </c>
      <c r="Z766" s="7">
        <v>3.49</v>
      </c>
      <c r="AA766" s="7">
        <v>3.49</v>
      </c>
      <c r="AB766" s="7">
        <v>3.49</v>
      </c>
      <c r="AC766" s="7">
        <v>3.49</v>
      </c>
    </row>
    <row r="767" spans="1:29" x14ac:dyDescent="0.35">
      <c r="B767" s="7"/>
      <c r="C767" s="7"/>
      <c r="D767" s="7"/>
      <c r="E767" s="7"/>
      <c r="F767" s="7"/>
      <c r="G767" s="7"/>
      <c r="H767" s="7"/>
      <c r="I767" s="7"/>
      <c r="J767" s="7"/>
      <c r="K767" s="20">
        <f>SUM(K765:S765)</f>
        <v>13178</v>
      </c>
      <c r="L767" s="20">
        <f>SUM(K764:S764)</f>
        <v>5331</v>
      </c>
      <c r="M767" s="11">
        <f>L767/K767</f>
        <v>0.40453786614053727</v>
      </c>
      <c r="N767" s="7"/>
      <c r="O767" s="7"/>
      <c r="P767" s="7"/>
      <c r="Q767" s="7"/>
      <c r="R767" s="7"/>
      <c r="S767" s="7"/>
      <c r="T767" s="7"/>
      <c r="U767" s="7"/>
      <c r="V767" s="7"/>
      <c r="W767" s="7"/>
      <c r="X767" s="7"/>
      <c r="Y767" s="7"/>
      <c r="Z767" s="7"/>
      <c r="AA767" s="7"/>
      <c r="AB767" s="7"/>
      <c r="AC767" s="7"/>
    </row>
    <row r="769" spans="1:29" x14ac:dyDescent="0.35">
      <c r="A769" t="s">
        <v>1240</v>
      </c>
      <c r="B769" s="5">
        <v>46026</v>
      </c>
      <c r="C769" s="5">
        <v>46033</v>
      </c>
      <c r="D769" s="5">
        <v>46040</v>
      </c>
      <c r="E769" s="5">
        <v>46047</v>
      </c>
      <c r="F769" s="5">
        <v>46054</v>
      </c>
      <c r="G769" s="5">
        <v>46061</v>
      </c>
      <c r="H769" s="5">
        <v>46068</v>
      </c>
      <c r="I769" s="5">
        <v>46075</v>
      </c>
      <c r="J769" s="5">
        <v>46082</v>
      </c>
      <c r="K769" s="5">
        <v>46089</v>
      </c>
      <c r="L769" s="5">
        <v>46096</v>
      </c>
      <c r="M769" s="5">
        <v>46103</v>
      </c>
      <c r="N769" s="5">
        <v>46110</v>
      </c>
      <c r="O769" s="5">
        <v>46117</v>
      </c>
      <c r="P769" s="5">
        <v>46124</v>
      </c>
      <c r="Q769" s="5">
        <v>46131</v>
      </c>
      <c r="R769" s="5">
        <v>46138</v>
      </c>
      <c r="S769" s="5">
        <v>46145</v>
      </c>
      <c r="T769" s="5">
        <v>46152</v>
      </c>
      <c r="U769" s="5">
        <v>46159</v>
      </c>
      <c r="V769" s="5">
        <v>46166</v>
      </c>
      <c r="W769" s="5">
        <v>46173</v>
      </c>
      <c r="X769" s="5">
        <v>46180</v>
      </c>
      <c r="Y769" s="5">
        <v>46187</v>
      </c>
      <c r="Z769" s="5">
        <v>46194</v>
      </c>
      <c r="AA769" s="5">
        <v>46201</v>
      </c>
      <c r="AB769" s="5">
        <v>46208</v>
      </c>
      <c r="AC769" s="5">
        <v>46215</v>
      </c>
    </row>
    <row r="770" spans="1:29" x14ac:dyDescent="0.35">
      <c r="A770" t="s">
        <v>1242</v>
      </c>
      <c r="B770" s="3">
        <v>0</v>
      </c>
      <c r="C770" s="3">
        <v>0</v>
      </c>
      <c r="D770" s="3">
        <v>0</v>
      </c>
      <c r="E770" s="3">
        <v>4.0000000000000001E-3</v>
      </c>
      <c r="F770" s="3">
        <v>0</v>
      </c>
      <c r="G770" s="3">
        <v>1E-3</v>
      </c>
      <c r="H770" s="3">
        <v>0</v>
      </c>
      <c r="I770" s="3">
        <v>4.0000000000000001E-3</v>
      </c>
      <c r="J770" s="3">
        <v>0</v>
      </c>
      <c r="K770" s="60">
        <v>0.27700000000000002</v>
      </c>
      <c r="L770" s="60">
        <v>0.38700000000000001</v>
      </c>
      <c r="M770" s="60">
        <v>0.39800000000000002</v>
      </c>
      <c r="N770" s="60">
        <v>0.42299999999999999</v>
      </c>
      <c r="O770" s="60">
        <v>0.5</v>
      </c>
      <c r="P770" s="60">
        <v>0.42599999999999999</v>
      </c>
      <c r="Q770" s="60">
        <v>0.44800000000000001</v>
      </c>
      <c r="R770" s="60">
        <v>0.374</v>
      </c>
      <c r="S770" s="60">
        <v>0.40799999999999997</v>
      </c>
      <c r="T770" s="3">
        <v>0.185</v>
      </c>
      <c r="U770" s="3">
        <v>0</v>
      </c>
      <c r="V770" s="3">
        <v>0</v>
      </c>
      <c r="W770" s="3">
        <v>0</v>
      </c>
      <c r="X770" s="3">
        <v>0</v>
      </c>
      <c r="Y770" s="3">
        <v>0</v>
      </c>
      <c r="Z770" s="3">
        <v>0</v>
      </c>
      <c r="AA770" s="3">
        <v>0</v>
      </c>
      <c r="AB770" s="3">
        <v>0</v>
      </c>
      <c r="AC770" s="3">
        <v>0</v>
      </c>
    </row>
    <row r="771" spans="1:29" x14ac:dyDescent="0.35">
      <c r="A771" t="s">
        <v>1247</v>
      </c>
      <c r="B771" t="s">
        <v>1272</v>
      </c>
      <c r="C771" t="s">
        <v>1272</v>
      </c>
      <c r="D771" t="s">
        <v>1272</v>
      </c>
      <c r="E771" s="3">
        <v>0.499</v>
      </c>
      <c r="F771" t="s">
        <v>1272</v>
      </c>
      <c r="G771" s="3">
        <v>0.499</v>
      </c>
      <c r="H771" s="3">
        <v>0.498</v>
      </c>
      <c r="I771" s="3">
        <v>0.499</v>
      </c>
      <c r="J771" s="3">
        <v>0</v>
      </c>
      <c r="K771" s="3">
        <v>0.13100000000000001</v>
      </c>
      <c r="L771" s="3">
        <v>0.14099999999999999</v>
      </c>
      <c r="M771" s="3">
        <v>0.14899999999999999</v>
      </c>
      <c r="N771" s="3">
        <v>0.14799999999999999</v>
      </c>
      <c r="O771" s="3">
        <v>0.14499999999999999</v>
      </c>
      <c r="P771" s="3">
        <v>0.14099999999999999</v>
      </c>
      <c r="Q771" s="3">
        <v>0.14099999999999999</v>
      </c>
      <c r="R771" s="3">
        <v>0.13900000000000001</v>
      </c>
      <c r="S771" s="3">
        <v>0.13700000000000001</v>
      </c>
      <c r="T771" s="3">
        <v>0.13400000000000001</v>
      </c>
      <c r="U771" s="3">
        <v>0.57299999999999995</v>
      </c>
      <c r="V771" t="s">
        <v>1272</v>
      </c>
      <c r="W771" t="s">
        <v>1272</v>
      </c>
      <c r="X771" t="s">
        <v>1272</v>
      </c>
      <c r="Y771" t="s">
        <v>1272</v>
      </c>
      <c r="Z771" t="s">
        <v>1272</v>
      </c>
      <c r="AA771" t="s">
        <v>1272</v>
      </c>
      <c r="AB771" t="s">
        <v>1272</v>
      </c>
      <c r="AC771" t="s">
        <v>1272</v>
      </c>
    </row>
    <row r="772" spans="1:29" x14ac:dyDescent="0.35">
      <c r="A772" t="s">
        <v>1248</v>
      </c>
      <c r="B772" t="s">
        <v>1272</v>
      </c>
      <c r="C772" t="s">
        <v>1272</v>
      </c>
      <c r="D772" t="s">
        <v>1272</v>
      </c>
      <c r="E772" s="7">
        <v>1.74</v>
      </c>
      <c r="F772" t="s">
        <v>1272</v>
      </c>
      <c r="G772" s="7">
        <v>1.74</v>
      </c>
      <c r="H772" s="7">
        <v>1.74</v>
      </c>
      <c r="I772" s="7">
        <v>1.74</v>
      </c>
      <c r="J772" s="7">
        <v>0</v>
      </c>
      <c r="K772" s="7">
        <v>0.44</v>
      </c>
      <c r="L772" s="7">
        <v>0.47</v>
      </c>
      <c r="M772" s="7">
        <v>0.49</v>
      </c>
      <c r="N772" s="7">
        <v>0.49</v>
      </c>
      <c r="O772" s="7">
        <v>0.48</v>
      </c>
      <c r="P772" s="7">
        <v>0.46</v>
      </c>
      <c r="Q772" s="7">
        <v>0.46</v>
      </c>
      <c r="R772" s="7">
        <v>0.46</v>
      </c>
      <c r="S772" s="7">
        <v>0.45</v>
      </c>
      <c r="T772" s="7">
        <v>0.45</v>
      </c>
      <c r="U772" s="7">
        <v>2</v>
      </c>
      <c r="V772" t="s">
        <v>1272</v>
      </c>
      <c r="W772" t="s">
        <v>1272</v>
      </c>
      <c r="X772" t="s">
        <v>1272</v>
      </c>
      <c r="Y772" t="s">
        <v>1272</v>
      </c>
      <c r="Z772" t="s">
        <v>1272</v>
      </c>
      <c r="AA772" t="s">
        <v>1272</v>
      </c>
      <c r="AB772" t="s">
        <v>1272</v>
      </c>
      <c r="AC772" t="s">
        <v>1272</v>
      </c>
    </row>
    <row r="773" spans="1:29" x14ac:dyDescent="0.35">
      <c r="A773" t="s">
        <v>1249</v>
      </c>
      <c r="B773" t="s">
        <v>1272</v>
      </c>
      <c r="C773" t="s">
        <v>1272</v>
      </c>
      <c r="D773" t="s">
        <v>1272</v>
      </c>
      <c r="E773" s="7">
        <v>1.75</v>
      </c>
      <c r="F773" t="s">
        <v>1272</v>
      </c>
      <c r="G773" s="7">
        <v>1.75</v>
      </c>
      <c r="H773" s="7">
        <v>1.75</v>
      </c>
      <c r="I773" s="7">
        <v>1.75</v>
      </c>
      <c r="J773" s="7">
        <v>3.49</v>
      </c>
      <c r="K773" s="7">
        <v>2.93</v>
      </c>
      <c r="L773" s="7">
        <v>2.83</v>
      </c>
      <c r="M773" s="7">
        <v>2.82</v>
      </c>
      <c r="N773" s="7">
        <v>2.82</v>
      </c>
      <c r="O773" s="7">
        <v>2.83</v>
      </c>
      <c r="P773" s="7">
        <v>2.81</v>
      </c>
      <c r="Q773" s="7">
        <v>2.82</v>
      </c>
      <c r="R773" s="7">
        <v>2.83</v>
      </c>
      <c r="S773" s="7">
        <v>2.81</v>
      </c>
      <c r="T773" s="7">
        <v>2.9</v>
      </c>
      <c r="U773" s="7">
        <v>1.49</v>
      </c>
      <c r="V773" t="s">
        <v>1272</v>
      </c>
      <c r="W773" t="s">
        <v>1272</v>
      </c>
      <c r="X773" t="s">
        <v>1272</v>
      </c>
      <c r="Y773" t="s">
        <v>1272</v>
      </c>
      <c r="Z773" t="s">
        <v>1272</v>
      </c>
      <c r="AA773" t="s">
        <v>1272</v>
      </c>
      <c r="AB773" t="s">
        <v>1272</v>
      </c>
      <c r="AC773" t="s">
        <v>1272</v>
      </c>
    </row>
    <row r="774" spans="1:29" x14ac:dyDescent="0.35">
      <c r="A774" t="s">
        <v>1250</v>
      </c>
      <c r="B774" s="7">
        <v>3.49</v>
      </c>
      <c r="C774" s="7">
        <v>3.49</v>
      </c>
      <c r="D774" s="7">
        <v>3.49</v>
      </c>
      <c r="E774" s="7">
        <v>3.49</v>
      </c>
      <c r="F774" s="7">
        <v>3.49</v>
      </c>
      <c r="G774" s="7">
        <v>3.49</v>
      </c>
      <c r="H774" s="7">
        <v>3.49</v>
      </c>
      <c r="I774" s="7">
        <v>3.49</v>
      </c>
      <c r="J774" s="7">
        <v>3.49</v>
      </c>
      <c r="K774" s="7">
        <v>3.37</v>
      </c>
      <c r="L774" s="7">
        <v>3.3</v>
      </c>
      <c r="M774" s="7">
        <v>3.31</v>
      </c>
      <c r="N774" s="7">
        <v>3.31</v>
      </c>
      <c r="O774" s="7">
        <v>3.31</v>
      </c>
      <c r="P774" s="7">
        <v>3.27</v>
      </c>
      <c r="Q774" s="7">
        <v>3.29</v>
      </c>
      <c r="R774" s="7">
        <v>3.28</v>
      </c>
      <c r="S774" s="7">
        <v>3.26</v>
      </c>
      <c r="T774" s="7">
        <v>3.35</v>
      </c>
      <c r="U774" s="7">
        <v>3.49</v>
      </c>
      <c r="V774" s="7">
        <v>3.49</v>
      </c>
      <c r="W774" s="7">
        <v>3.49</v>
      </c>
      <c r="X774" s="7">
        <v>3.49</v>
      </c>
      <c r="Y774" s="7">
        <v>3.49</v>
      </c>
      <c r="Z774" s="7">
        <v>3.49</v>
      </c>
      <c r="AA774" s="7">
        <v>3.49</v>
      </c>
      <c r="AB774" s="7">
        <v>3.49</v>
      </c>
      <c r="AC774" s="7">
        <v>3.49</v>
      </c>
    </row>
    <row r="775" spans="1:29" x14ac:dyDescent="0.35">
      <c r="A775" t="s">
        <v>1245</v>
      </c>
      <c r="B775" s="7">
        <v>3.49</v>
      </c>
      <c r="C775" s="7">
        <v>3.49</v>
      </c>
      <c r="D775" s="7">
        <v>3.49</v>
      </c>
      <c r="E775" s="7">
        <v>3.48</v>
      </c>
      <c r="F775" s="7">
        <v>3.49</v>
      </c>
      <c r="G775" s="7">
        <v>3.49</v>
      </c>
      <c r="H775" s="7">
        <v>3.49</v>
      </c>
      <c r="I775" s="7">
        <v>3.48</v>
      </c>
      <c r="J775" s="7">
        <v>3.49</v>
      </c>
      <c r="K775" s="7">
        <v>3.14</v>
      </c>
      <c r="L775" s="7">
        <v>2.98</v>
      </c>
      <c r="M775" s="7">
        <v>2.96</v>
      </c>
      <c r="N775" s="7">
        <v>2.96</v>
      </c>
      <c r="O775" s="7">
        <v>2.96</v>
      </c>
      <c r="P775" s="7">
        <v>2.95</v>
      </c>
      <c r="Q775" s="7">
        <v>2.96</v>
      </c>
      <c r="R775" s="7">
        <v>2.97</v>
      </c>
      <c r="S775" s="7">
        <v>2.95</v>
      </c>
      <c r="T775" s="7">
        <v>3.2</v>
      </c>
      <c r="U775" s="7">
        <v>3.49</v>
      </c>
      <c r="V775" s="7">
        <v>3.49</v>
      </c>
      <c r="W775" s="7">
        <v>3.49</v>
      </c>
      <c r="X775" s="7">
        <v>3.49</v>
      </c>
      <c r="Y775" s="7">
        <v>3.49</v>
      </c>
      <c r="Z775" s="7">
        <v>3.49</v>
      </c>
      <c r="AA775" s="7">
        <v>3.49</v>
      </c>
      <c r="AB775" s="7">
        <v>3.49</v>
      </c>
      <c r="AC775" s="7">
        <v>3.49</v>
      </c>
    </row>
    <row r="776" spans="1:29" x14ac:dyDescent="0.35">
      <c r="K776" s="20">
        <f>SUM(K774:S774)</f>
        <v>29.700000000000003</v>
      </c>
      <c r="L776" s="20">
        <f>SUM(K773:S773)</f>
        <v>25.499999999999996</v>
      </c>
      <c r="M776" s="11">
        <f>L776/K776</f>
        <v>0.85858585858585834</v>
      </c>
    </row>
    <row r="779" spans="1:29" s="66" customFormat="1" x14ac:dyDescent="0.35">
      <c r="A779" s="114" t="s">
        <v>1389</v>
      </c>
    </row>
    <row r="781" spans="1:29" x14ac:dyDescent="0.35">
      <c r="A781" t="s">
        <v>1240</v>
      </c>
      <c r="B781" s="5">
        <v>46026</v>
      </c>
      <c r="C781" s="5">
        <v>46033</v>
      </c>
      <c r="D781" s="5">
        <v>46040</v>
      </c>
      <c r="E781" s="5">
        <v>46047</v>
      </c>
      <c r="F781" s="5">
        <v>46054</v>
      </c>
      <c r="G781" s="5">
        <v>46061</v>
      </c>
      <c r="H781" s="5">
        <v>46068</v>
      </c>
      <c r="I781" s="5">
        <v>46075</v>
      </c>
      <c r="J781" s="5">
        <v>46082</v>
      </c>
      <c r="K781" s="78">
        <v>46089</v>
      </c>
      <c r="L781" s="78">
        <v>46096</v>
      </c>
      <c r="M781" s="78">
        <v>46103</v>
      </c>
      <c r="N781" s="78">
        <v>46110</v>
      </c>
      <c r="O781" s="5">
        <v>46117</v>
      </c>
      <c r="P781" s="5">
        <v>46124</v>
      </c>
      <c r="Q781" s="5">
        <v>46131</v>
      </c>
      <c r="R781" s="5">
        <v>46138</v>
      </c>
      <c r="S781" s="5">
        <v>46145</v>
      </c>
      <c r="T781" s="78">
        <v>46152</v>
      </c>
      <c r="U781" s="78">
        <v>46159</v>
      </c>
      <c r="V781" s="78">
        <v>46166</v>
      </c>
      <c r="W781" s="78">
        <v>46173</v>
      </c>
      <c r="X781" s="5">
        <v>46180</v>
      </c>
      <c r="Y781" s="5">
        <v>46187</v>
      </c>
      <c r="Z781" s="5">
        <v>46194</v>
      </c>
      <c r="AA781" s="5">
        <v>46201</v>
      </c>
      <c r="AB781" s="5">
        <v>46208</v>
      </c>
      <c r="AC781" s="5">
        <v>46215</v>
      </c>
    </row>
    <row r="782" spans="1:29" x14ac:dyDescent="0.35">
      <c r="A782" t="s">
        <v>1241</v>
      </c>
      <c r="B782" s="6">
        <v>8659</v>
      </c>
      <c r="C782" s="6">
        <v>11464</v>
      </c>
      <c r="D782" s="6">
        <v>11252</v>
      </c>
      <c r="E782" s="6">
        <v>10508</v>
      </c>
      <c r="F782" s="6">
        <v>9661</v>
      </c>
      <c r="G782" s="6">
        <v>11388</v>
      </c>
      <c r="H782" s="6">
        <v>11939</v>
      </c>
      <c r="I782" s="6">
        <v>10538</v>
      </c>
      <c r="J782" s="6">
        <v>10871</v>
      </c>
      <c r="K782" s="6">
        <v>13475</v>
      </c>
      <c r="L782" s="6">
        <v>14295</v>
      </c>
      <c r="M782" s="6">
        <v>14032</v>
      </c>
      <c r="N782" s="6">
        <v>13840</v>
      </c>
      <c r="O782" s="6">
        <v>10893</v>
      </c>
      <c r="P782" s="6">
        <v>10300</v>
      </c>
      <c r="Q782" s="6">
        <v>10913</v>
      </c>
      <c r="R782" s="6">
        <v>11221</v>
      </c>
      <c r="S782" s="6">
        <v>11027</v>
      </c>
      <c r="T782" s="115">
        <v>12810</v>
      </c>
      <c r="U782" s="115">
        <v>12471</v>
      </c>
      <c r="V782" s="115">
        <v>11612</v>
      </c>
      <c r="W782" s="115">
        <v>10980</v>
      </c>
      <c r="X782" s="6">
        <v>10082</v>
      </c>
      <c r="Y782" s="6">
        <v>9987</v>
      </c>
      <c r="Z782" s="6">
        <v>9894</v>
      </c>
      <c r="AA782" s="6">
        <v>9430</v>
      </c>
      <c r="AB782" s="6">
        <v>8496</v>
      </c>
      <c r="AC782" s="6">
        <v>9043</v>
      </c>
    </row>
    <row r="783" spans="1:29" x14ac:dyDescent="0.35">
      <c r="A783" t="s">
        <v>1242</v>
      </c>
      <c r="B783" s="3">
        <v>9.5000000000000001E-2</v>
      </c>
      <c r="C783" s="3">
        <v>0.14899999999999999</v>
      </c>
      <c r="D783" s="3">
        <v>0.11799999999999999</v>
      </c>
      <c r="E783" s="3">
        <v>0.08</v>
      </c>
      <c r="F783" s="3">
        <v>7.8E-2</v>
      </c>
      <c r="G783" s="3">
        <v>8.3000000000000004E-2</v>
      </c>
      <c r="H783" s="3">
        <v>5.1999999999999998E-2</v>
      </c>
      <c r="I783" s="3">
        <v>3.5000000000000003E-2</v>
      </c>
      <c r="J783" s="3">
        <v>2.3E-2</v>
      </c>
      <c r="K783" s="3">
        <v>0.189</v>
      </c>
      <c r="L783" s="54">
        <v>0.26400000000000001</v>
      </c>
      <c r="M783" s="54">
        <v>0.312</v>
      </c>
      <c r="N783" s="54">
        <v>0.29799999999999999</v>
      </c>
      <c r="O783" s="3">
        <v>4.9000000000000002E-2</v>
      </c>
      <c r="P783" s="3">
        <v>4.8000000000000001E-2</v>
      </c>
      <c r="Q783" s="3">
        <v>0.04</v>
      </c>
      <c r="R783" s="3">
        <v>5.0999999999999997E-2</v>
      </c>
      <c r="S783" s="3">
        <v>3.9E-2</v>
      </c>
      <c r="T783" s="54">
        <v>0.219</v>
      </c>
      <c r="U783" s="54">
        <v>0.27100000000000002</v>
      </c>
      <c r="V783" s="54">
        <v>0.28299999999999997</v>
      </c>
      <c r="W783" s="54">
        <v>0.31900000000000001</v>
      </c>
      <c r="X783" s="3">
        <v>3.5999999999999997E-2</v>
      </c>
      <c r="Y783" s="3">
        <v>3.6999999999999998E-2</v>
      </c>
      <c r="Z783" s="3">
        <v>0.04</v>
      </c>
      <c r="AA783" s="3">
        <v>4.3999999999999997E-2</v>
      </c>
      <c r="AB783" s="3">
        <v>3.2000000000000001E-2</v>
      </c>
      <c r="AC783" s="3">
        <v>4.1000000000000002E-2</v>
      </c>
    </row>
    <row r="784" spans="1:29" x14ac:dyDescent="0.35">
      <c r="A784" t="s">
        <v>1243</v>
      </c>
      <c r="B784">
        <v>750</v>
      </c>
      <c r="C784" s="6">
        <v>1489</v>
      </c>
      <c r="D784" s="6">
        <v>1183</v>
      </c>
      <c r="E784">
        <v>775</v>
      </c>
      <c r="F784">
        <v>699</v>
      </c>
      <c r="G784">
        <v>877</v>
      </c>
      <c r="H784">
        <v>585</v>
      </c>
      <c r="I784">
        <v>360</v>
      </c>
      <c r="J784">
        <v>243</v>
      </c>
      <c r="K784" s="6">
        <v>2140</v>
      </c>
      <c r="L784" s="6">
        <v>2981</v>
      </c>
      <c r="M784" s="6">
        <v>3338</v>
      </c>
      <c r="N784" s="6">
        <v>3180</v>
      </c>
      <c r="O784">
        <v>512</v>
      </c>
      <c r="P784">
        <v>473</v>
      </c>
      <c r="Q784">
        <v>417</v>
      </c>
      <c r="R784">
        <v>548</v>
      </c>
      <c r="S784">
        <v>412</v>
      </c>
      <c r="T784" s="6">
        <v>2305</v>
      </c>
      <c r="U784" s="6">
        <v>2661</v>
      </c>
      <c r="V784" s="6">
        <v>2559</v>
      </c>
      <c r="W784" s="6">
        <v>2655</v>
      </c>
      <c r="X784">
        <v>355</v>
      </c>
      <c r="Y784">
        <v>352</v>
      </c>
      <c r="Z784">
        <v>385</v>
      </c>
      <c r="AA784">
        <v>398</v>
      </c>
      <c r="AB784">
        <v>262</v>
      </c>
      <c r="AC784">
        <v>353</v>
      </c>
    </row>
    <row r="785" spans="1:29" x14ac:dyDescent="0.35">
      <c r="A785" t="s">
        <v>1244</v>
      </c>
      <c r="B785" s="6">
        <v>7909</v>
      </c>
      <c r="C785" s="6">
        <v>9975</v>
      </c>
      <c r="D785" s="6">
        <v>10069</v>
      </c>
      <c r="E785" s="6">
        <v>9733</v>
      </c>
      <c r="F785" s="6">
        <v>8962</v>
      </c>
      <c r="G785" s="6">
        <v>10511</v>
      </c>
      <c r="H785" s="6">
        <v>11354</v>
      </c>
      <c r="I785" s="6">
        <v>10178</v>
      </c>
      <c r="J785" s="6">
        <v>10628</v>
      </c>
      <c r="K785" s="6">
        <v>11335</v>
      </c>
      <c r="L785" s="6">
        <v>11313</v>
      </c>
      <c r="M785" s="6">
        <v>10694</v>
      </c>
      <c r="N785" s="6">
        <v>10660</v>
      </c>
      <c r="O785" s="6">
        <v>10381</v>
      </c>
      <c r="P785" s="6">
        <v>9827</v>
      </c>
      <c r="Q785" s="6">
        <v>10496</v>
      </c>
      <c r="R785" s="6">
        <v>10673</v>
      </c>
      <c r="S785" s="6">
        <v>10615</v>
      </c>
      <c r="T785" s="6">
        <v>10506</v>
      </c>
      <c r="U785" s="6">
        <v>9810</v>
      </c>
      <c r="V785" s="6">
        <v>9053</v>
      </c>
      <c r="W785" s="6">
        <v>8325</v>
      </c>
      <c r="X785" s="6">
        <v>9727</v>
      </c>
      <c r="Y785" s="6">
        <v>9635</v>
      </c>
      <c r="Z785" s="6">
        <v>9509</v>
      </c>
      <c r="AA785" s="6">
        <v>9032</v>
      </c>
      <c r="AB785" s="6">
        <v>8234</v>
      </c>
      <c r="AC785" s="6">
        <v>8690</v>
      </c>
    </row>
    <row r="786" spans="1:29" x14ac:dyDescent="0.35">
      <c r="A786" t="s">
        <v>1245</v>
      </c>
      <c r="B786" s="7">
        <v>2.7</v>
      </c>
      <c r="C786" s="7">
        <v>2.58</v>
      </c>
      <c r="D786" s="7">
        <v>2.63</v>
      </c>
      <c r="E786" s="7">
        <v>2.74</v>
      </c>
      <c r="F786" s="7">
        <v>2.73</v>
      </c>
      <c r="G786" s="7">
        <v>2.72</v>
      </c>
      <c r="H786" s="7">
        <v>2.83</v>
      </c>
      <c r="I786" s="7">
        <v>2.85</v>
      </c>
      <c r="J786" s="7">
        <v>2.82</v>
      </c>
      <c r="K786" s="7">
        <v>2.57</v>
      </c>
      <c r="L786" s="7">
        <v>2.58</v>
      </c>
      <c r="M786" s="7">
        <v>2.56</v>
      </c>
      <c r="N786" s="7">
        <v>2.56</v>
      </c>
      <c r="O786" s="7">
        <v>2.81</v>
      </c>
      <c r="P786" s="7">
        <v>2.85</v>
      </c>
      <c r="Q786" s="7">
        <v>2.88</v>
      </c>
      <c r="R786" s="7">
        <v>2.85</v>
      </c>
      <c r="S786" s="7">
        <v>2.87</v>
      </c>
      <c r="T786" s="7">
        <v>2.71</v>
      </c>
      <c r="U786" s="7">
        <v>2.65</v>
      </c>
      <c r="V786" s="7">
        <v>2.63</v>
      </c>
      <c r="W786" s="7">
        <v>2.65</v>
      </c>
      <c r="X786" s="7">
        <v>2.92</v>
      </c>
      <c r="Y786" s="7">
        <v>2.91</v>
      </c>
      <c r="Z786" s="7">
        <v>2.9</v>
      </c>
      <c r="AA786" s="7">
        <v>2.89</v>
      </c>
      <c r="AB786" s="7">
        <v>2.89</v>
      </c>
      <c r="AC786" s="7">
        <v>2.9</v>
      </c>
    </row>
    <row r="787" spans="1:29" x14ac:dyDescent="0.35">
      <c r="L787" s="6">
        <f>SUM(K785:N785)</f>
        <v>44002</v>
      </c>
      <c r="M787" s="6">
        <f>SUM(K784:N784)</f>
        <v>11639</v>
      </c>
      <c r="T787" s="6">
        <f>SUM(T785:W785)</f>
        <v>37694</v>
      </c>
      <c r="U787" s="6">
        <f>SUM(T784:W784)</f>
        <v>10180</v>
      </c>
    </row>
    <row r="788" spans="1:29" x14ac:dyDescent="0.35">
      <c r="A788" t="s">
        <v>1240</v>
      </c>
      <c r="B788" s="5">
        <v>46026</v>
      </c>
      <c r="C788" s="5">
        <v>46033</v>
      </c>
      <c r="D788" s="5">
        <v>46040</v>
      </c>
      <c r="E788" s="5">
        <v>46047</v>
      </c>
      <c r="F788" s="5">
        <v>46054</v>
      </c>
      <c r="G788" s="5">
        <v>46061</v>
      </c>
      <c r="H788" s="5">
        <v>46068</v>
      </c>
      <c r="I788" s="5">
        <v>46075</v>
      </c>
      <c r="J788" s="5">
        <v>46082</v>
      </c>
      <c r="K788" s="78">
        <v>46089</v>
      </c>
      <c r="L788" s="78">
        <v>46096</v>
      </c>
      <c r="M788" s="78">
        <v>46103</v>
      </c>
      <c r="N788" s="78">
        <v>46110</v>
      </c>
      <c r="O788" s="5">
        <v>46117</v>
      </c>
      <c r="P788" s="5">
        <v>46124</v>
      </c>
      <c r="Q788" s="5">
        <v>46131</v>
      </c>
      <c r="R788" s="5">
        <v>46138</v>
      </c>
      <c r="S788" s="5">
        <v>46145</v>
      </c>
      <c r="T788" s="78">
        <v>46152</v>
      </c>
      <c r="U788" s="78">
        <v>46159</v>
      </c>
      <c r="V788" s="78">
        <v>46166</v>
      </c>
      <c r="W788" s="78">
        <v>46173</v>
      </c>
      <c r="X788" s="5">
        <v>46180</v>
      </c>
      <c r="Y788" s="5">
        <v>46187</v>
      </c>
      <c r="Z788" s="5">
        <v>46194</v>
      </c>
      <c r="AA788" s="5">
        <v>46201</v>
      </c>
      <c r="AB788" s="5">
        <v>46208</v>
      </c>
      <c r="AC788" s="5">
        <v>46215</v>
      </c>
    </row>
    <row r="789" spans="1:29" x14ac:dyDescent="0.35">
      <c r="A789" t="s">
        <v>1293</v>
      </c>
      <c r="B789" s="3">
        <v>3.2000000000000001E-2</v>
      </c>
      <c r="C789" s="3">
        <v>3.1E-2</v>
      </c>
      <c r="D789" s="3">
        <v>2.5000000000000001E-2</v>
      </c>
      <c r="E789" s="3">
        <v>2.8000000000000001E-2</v>
      </c>
      <c r="F789" s="3">
        <v>1.7999999999999999E-2</v>
      </c>
      <c r="G789" s="3">
        <v>0.03</v>
      </c>
      <c r="H789" s="3">
        <v>2.3E-2</v>
      </c>
      <c r="I789" s="3">
        <v>1.2E-2</v>
      </c>
      <c r="J789" s="3">
        <v>4.0000000000000001E-3</v>
      </c>
      <c r="K789" s="54">
        <v>0.115</v>
      </c>
      <c r="L789" s="54">
        <v>0.17599999999999999</v>
      </c>
      <c r="M789" s="54">
        <v>0.22</v>
      </c>
      <c r="N789" s="54">
        <v>0.19700000000000001</v>
      </c>
      <c r="O789" s="3">
        <v>1.4E-2</v>
      </c>
      <c r="P789" s="3">
        <v>2.1000000000000001E-2</v>
      </c>
      <c r="Q789" s="3">
        <v>0.02</v>
      </c>
      <c r="R789" s="3">
        <v>2.7E-2</v>
      </c>
      <c r="S789" s="3">
        <v>0.02</v>
      </c>
      <c r="T789" s="54">
        <v>0.156</v>
      </c>
      <c r="U789" s="54">
        <v>0.188</v>
      </c>
      <c r="V789" s="54">
        <v>0.19900000000000001</v>
      </c>
      <c r="W789" s="54">
        <v>0.23699999999999999</v>
      </c>
      <c r="X789" s="3">
        <v>2.7E-2</v>
      </c>
      <c r="Y789" s="3">
        <v>2.5000000000000001E-2</v>
      </c>
      <c r="Z789" s="3">
        <v>2.7E-2</v>
      </c>
      <c r="AA789" s="3">
        <v>0.03</v>
      </c>
      <c r="AB789" s="3">
        <v>2.4E-2</v>
      </c>
      <c r="AC789" s="3">
        <v>2.7E-2</v>
      </c>
    </row>
    <row r="790" spans="1:29" x14ac:dyDescent="0.35">
      <c r="A790" t="s">
        <v>1247</v>
      </c>
      <c r="B790" s="3">
        <v>0.28000000000000003</v>
      </c>
      <c r="C790" s="3">
        <v>0.39100000000000001</v>
      </c>
      <c r="D790" s="3">
        <v>0.35599999999999998</v>
      </c>
      <c r="E790" s="3">
        <v>0.255</v>
      </c>
      <c r="F790" s="3">
        <v>0.30599999999999999</v>
      </c>
      <c r="G790" s="3">
        <v>0.27200000000000002</v>
      </c>
      <c r="H790" s="3">
        <v>0.20499999999999999</v>
      </c>
      <c r="I790" s="3">
        <v>0.24199999999999999</v>
      </c>
      <c r="J790" s="3">
        <v>0.27100000000000002</v>
      </c>
      <c r="K790" s="54">
        <v>0.109</v>
      </c>
      <c r="L790" s="54">
        <v>0.122</v>
      </c>
      <c r="M790" s="54">
        <v>0.114</v>
      </c>
      <c r="N790" s="54">
        <v>0.13700000000000001</v>
      </c>
      <c r="O790" s="3">
        <v>0.33500000000000002</v>
      </c>
      <c r="P790" s="3">
        <v>0.245</v>
      </c>
      <c r="Q790" s="3">
        <v>0.21299999999999999</v>
      </c>
      <c r="R790" s="3">
        <v>0.20200000000000001</v>
      </c>
      <c r="S790" s="3">
        <v>0.20399999999999999</v>
      </c>
      <c r="T790" s="54">
        <v>0.108</v>
      </c>
      <c r="U790" s="54">
        <v>0.111</v>
      </c>
      <c r="V790" s="54">
        <v>0.11</v>
      </c>
      <c r="W790" s="54">
        <v>9.7000000000000003E-2</v>
      </c>
      <c r="X790" s="3">
        <v>0.124</v>
      </c>
      <c r="Y790" s="3">
        <v>0.13900000000000001</v>
      </c>
      <c r="Z790" s="3">
        <v>0.153</v>
      </c>
      <c r="AA790" s="3">
        <v>0.14899999999999999</v>
      </c>
      <c r="AB790" s="3">
        <v>0.108</v>
      </c>
      <c r="AC790" s="3">
        <v>0.14599999999999999</v>
      </c>
    </row>
    <row r="791" spans="1:29" x14ac:dyDescent="0.35">
      <c r="A791" t="s">
        <v>1248</v>
      </c>
      <c r="B791" s="7">
        <v>0.8</v>
      </c>
      <c r="C791" s="7">
        <v>1.1200000000000001</v>
      </c>
      <c r="D791" s="7">
        <v>1.02</v>
      </c>
      <c r="E791" s="7">
        <v>0.73</v>
      </c>
      <c r="F791" s="7">
        <v>0.88</v>
      </c>
      <c r="G791" s="7">
        <v>0.78</v>
      </c>
      <c r="H791" s="7">
        <v>0.6</v>
      </c>
      <c r="I791" s="7">
        <v>0.71</v>
      </c>
      <c r="J791" s="7">
        <v>0.78</v>
      </c>
      <c r="K791" s="7">
        <v>0.3</v>
      </c>
      <c r="L791" s="7">
        <v>0.34</v>
      </c>
      <c r="M791" s="7">
        <v>0.31</v>
      </c>
      <c r="N791" s="7">
        <v>0.38</v>
      </c>
      <c r="O791" s="7">
        <v>0.97</v>
      </c>
      <c r="P791" s="7">
        <v>0.72</v>
      </c>
      <c r="Q791" s="7">
        <v>0.62</v>
      </c>
      <c r="R791" s="7">
        <v>0.59</v>
      </c>
      <c r="S791" s="7">
        <v>0.6</v>
      </c>
      <c r="T791" s="7">
        <v>0.31</v>
      </c>
      <c r="U791" s="7">
        <v>0.31</v>
      </c>
      <c r="V791" s="7">
        <v>0.31</v>
      </c>
      <c r="W791" s="7">
        <v>0.28000000000000003</v>
      </c>
      <c r="X791" s="7">
        <v>0.36</v>
      </c>
      <c r="Y791" s="7">
        <v>0.41</v>
      </c>
      <c r="Z791" s="7">
        <v>0.45</v>
      </c>
      <c r="AA791" s="7">
        <v>0.44</v>
      </c>
      <c r="AB791" s="7">
        <v>0.31</v>
      </c>
      <c r="AC791" s="7">
        <v>0.43</v>
      </c>
    </row>
    <row r="792" spans="1:29" x14ac:dyDescent="0.35">
      <c r="A792" t="s">
        <v>1249</v>
      </c>
      <c r="B792" s="7">
        <v>2.06</v>
      </c>
      <c r="C792" s="7">
        <v>1.75</v>
      </c>
      <c r="D792" s="7">
        <v>1.85</v>
      </c>
      <c r="E792" s="7">
        <v>2.14</v>
      </c>
      <c r="F792" s="7">
        <v>2</v>
      </c>
      <c r="G792" s="7">
        <v>2.09</v>
      </c>
      <c r="H792" s="7">
        <v>2.31</v>
      </c>
      <c r="I792" s="7">
        <v>2.21</v>
      </c>
      <c r="J792" s="7">
        <v>2.09</v>
      </c>
      <c r="K792" s="7">
        <v>2.44</v>
      </c>
      <c r="L792" s="7">
        <v>2.4300000000000002</v>
      </c>
      <c r="M792" s="7">
        <v>2.44</v>
      </c>
      <c r="N792" s="7">
        <v>2.4</v>
      </c>
      <c r="O792" s="7">
        <v>1.93</v>
      </c>
      <c r="P792" s="7">
        <v>2.21</v>
      </c>
      <c r="Q792" s="7">
        <v>2.31</v>
      </c>
      <c r="R792" s="7">
        <v>2.33</v>
      </c>
      <c r="S792" s="7">
        <v>2.33</v>
      </c>
      <c r="T792" s="7">
        <v>2.5499999999999998</v>
      </c>
      <c r="U792" s="7">
        <v>2.52</v>
      </c>
      <c r="V792" s="7">
        <v>2.5</v>
      </c>
      <c r="W792" s="7">
        <v>2.5499999999999998</v>
      </c>
      <c r="X792" s="7">
        <v>2.58</v>
      </c>
      <c r="Y792" s="7">
        <v>2.5299999999999998</v>
      </c>
      <c r="Z792" s="7">
        <v>2.4900000000000002</v>
      </c>
      <c r="AA792" s="7">
        <v>2.5</v>
      </c>
      <c r="AB792" s="7">
        <v>2.6</v>
      </c>
      <c r="AC792" s="7">
        <v>2.5099999999999998</v>
      </c>
    </row>
    <row r="793" spans="1:29" x14ac:dyDescent="0.35">
      <c r="A793" t="s">
        <v>1245</v>
      </c>
      <c r="B793" s="7">
        <v>2.7</v>
      </c>
      <c r="C793" s="7">
        <v>2.58</v>
      </c>
      <c r="D793" s="7">
        <v>2.63</v>
      </c>
      <c r="E793" s="7">
        <v>2.74</v>
      </c>
      <c r="F793" s="7">
        <v>2.73</v>
      </c>
      <c r="G793" s="7">
        <v>2.72</v>
      </c>
      <c r="H793" s="7">
        <v>2.83</v>
      </c>
      <c r="I793" s="7">
        <v>2.85</v>
      </c>
      <c r="J793" s="7">
        <v>2.82</v>
      </c>
      <c r="K793" s="7">
        <v>2.57</v>
      </c>
      <c r="L793" s="7">
        <v>2.58</v>
      </c>
      <c r="M793" s="7">
        <v>2.56</v>
      </c>
      <c r="N793" s="7">
        <v>2.56</v>
      </c>
      <c r="O793" s="7">
        <v>2.81</v>
      </c>
      <c r="P793" s="7">
        <v>2.85</v>
      </c>
      <c r="Q793" s="7">
        <v>2.88</v>
      </c>
      <c r="R793" s="7">
        <v>2.85</v>
      </c>
      <c r="S793" s="7">
        <v>2.87</v>
      </c>
      <c r="T793" s="7">
        <v>2.71</v>
      </c>
      <c r="U793" s="7">
        <v>2.65</v>
      </c>
      <c r="V793" s="7">
        <v>2.63</v>
      </c>
      <c r="W793" s="7">
        <v>2.65</v>
      </c>
      <c r="X793" s="7">
        <v>2.92</v>
      </c>
      <c r="Y793" s="7">
        <v>2.91</v>
      </c>
      <c r="Z793" s="7">
        <v>2.9</v>
      </c>
      <c r="AA793" s="7">
        <v>2.89</v>
      </c>
      <c r="AB793" s="7">
        <v>2.89</v>
      </c>
      <c r="AC793" s="7">
        <v>2.9</v>
      </c>
    </row>
    <row r="795" spans="1:29" s="66" customFormat="1" x14ac:dyDescent="0.35"/>
    <row r="796" spans="1:29" x14ac:dyDescent="0.35">
      <c r="A796" s="4" t="s">
        <v>1390</v>
      </c>
    </row>
    <row r="800" spans="1:29" x14ac:dyDescent="0.35">
      <c r="A800" t="s">
        <v>1240</v>
      </c>
      <c r="B800" s="72">
        <v>46026</v>
      </c>
      <c r="C800" s="72">
        <v>46033</v>
      </c>
      <c r="D800" s="5">
        <v>46040</v>
      </c>
      <c r="E800" s="5">
        <v>46047</v>
      </c>
      <c r="F800" s="5">
        <v>46054</v>
      </c>
      <c r="G800" s="5">
        <v>46061</v>
      </c>
      <c r="H800" s="5">
        <v>46068</v>
      </c>
      <c r="I800" s="5">
        <v>46075</v>
      </c>
      <c r="J800" s="5">
        <v>46082</v>
      </c>
      <c r="K800" s="84">
        <v>46089</v>
      </c>
      <c r="L800" s="84">
        <v>46096</v>
      </c>
      <c r="M800" s="84">
        <v>46103</v>
      </c>
      <c r="N800" s="84">
        <v>46110</v>
      </c>
      <c r="O800" s="5">
        <v>46117</v>
      </c>
      <c r="P800" s="5">
        <v>46124</v>
      </c>
      <c r="Q800" s="5">
        <v>46131</v>
      </c>
      <c r="R800" s="5">
        <v>46138</v>
      </c>
      <c r="S800" s="5">
        <v>46145</v>
      </c>
      <c r="T800" s="5">
        <v>46152</v>
      </c>
      <c r="U800" s="5">
        <v>46159</v>
      </c>
      <c r="V800" s="5">
        <v>46166</v>
      </c>
      <c r="W800" s="5">
        <v>46173</v>
      </c>
      <c r="X800" s="5">
        <v>46180</v>
      </c>
      <c r="Y800" s="5">
        <v>46187</v>
      </c>
      <c r="Z800" s="5">
        <v>46194</v>
      </c>
      <c r="AA800" s="5">
        <v>46201</v>
      </c>
      <c r="AB800" s="5">
        <v>46208</v>
      </c>
      <c r="AC800" s="5">
        <v>46215</v>
      </c>
    </row>
    <row r="801" spans="1:29" x14ac:dyDescent="0.35">
      <c r="A801" t="s">
        <v>1241</v>
      </c>
      <c r="B801" s="6">
        <v>20730</v>
      </c>
      <c r="C801" s="6">
        <v>24809</v>
      </c>
      <c r="D801" s="6">
        <v>25157</v>
      </c>
      <c r="E801" s="6">
        <v>23008</v>
      </c>
      <c r="F801" s="6">
        <v>22577</v>
      </c>
      <c r="G801" s="6">
        <v>25962</v>
      </c>
      <c r="H801" s="6">
        <v>28326</v>
      </c>
      <c r="I801" s="6">
        <v>29738</v>
      </c>
      <c r="J801" s="6">
        <v>30508</v>
      </c>
      <c r="K801" s="89">
        <v>42780</v>
      </c>
      <c r="L801" s="89">
        <v>43567</v>
      </c>
      <c r="M801" s="89">
        <v>43116</v>
      </c>
      <c r="N801" s="89">
        <v>41118</v>
      </c>
      <c r="O801" s="6">
        <v>30116</v>
      </c>
      <c r="P801" s="6">
        <v>29814</v>
      </c>
      <c r="Q801" s="6">
        <v>29755</v>
      </c>
      <c r="R801" s="6">
        <v>29016</v>
      </c>
      <c r="S801" s="6">
        <v>28884</v>
      </c>
      <c r="T801" s="6">
        <v>26355</v>
      </c>
      <c r="U801" s="6">
        <v>27498</v>
      </c>
      <c r="V801" s="6">
        <v>25977</v>
      </c>
      <c r="W801" s="6">
        <v>24933</v>
      </c>
      <c r="X801" s="6">
        <v>25904</v>
      </c>
      <c r="Y801" s="6">
        <v>24754</v>
      </c>
      <c r="Z801" s="6">
        <v>24332</v>
      </c>
      <c r="AA801" s="6">
        <v>24868</v>
      </c>
      <c r="AB801" s="6">
        <v>23157</v>
      </c>
      <c r="AC801" s="6">
        <v>24265</v>
      </c>
    </row>
    <row r="802" spans="1:29" x14ac:dyDescent="0.35">
      <c r="A802" t="s">
        <v>1242</v>
      </c>
      <c r="B802" s="3">
        <v>0.09</v>
      </c>
      <c r="C802" s="3">
        <v>4.3999999999999997E-2</v>
      </c>
      <c r="D802" s="3">
        <v>0.02</v>
      </c>
      <c r="E802" s="3">
        <v>1.0999999999999999E-2</v>
      </c>
      <c r="F802" s="3">
        <v>1.0999999999999999E-2</v>
      </c>
      <c r="G802" s="3">
        <v>1.6E-2</v>
      </c>
      <c r="H802" s="3">
        <v>2.3E-2</v>
      </c>
      <c r="I802" s="3">
        <v>2.4E-2</v>
      </c>
      <c r="J802" s="3">
        <v>5.8000000000000003E-2</v>
      </c>
      <c r="K802" s="85">
        <v>0.34</v>
      </c>
      <c r="L802" s="85">
        <v>0.44500000000000001</v>
      </c>
      <c r="M802" s="85">
        <v>0.40799999999999997</v>
      </c>
      <c r="N802" s="85">
        <v>0.40200000000000002</v>
      </c>
      <c r="O802" s="3">
        <v>0.17699999999999999</v>
      </c>
      <c r="P802" s="3">
        <v>6.3E-2</v>
      </c>
      <c r="Q802" s="3">
        <v>5.6000000000000001E-2</v>
      </c>
      <c r="R802" s="3">
        <v>2.5999999999999999E-2</v>
      </c>
      <c r="S802" s="3">
        <v>8.0000000000000002E-3</v>
      </c>
      <c r="T802" s="3">
        <v>1.2E-2</v>
      </c>
      <c r="U802" s="3">
        <v>1.7999999999999999E-2</v>
      </c>
      <c r="V802" s="3">
        <v>1.7999999999999999E-2</v>
      </c>
      <c r="W802" s="3">
        <v>2.8000000000000001E-2</v>
      </c>
      <c r="X802" s="3">
        <v>2.4E-2</v>
      </c>
      <c r="Y802" s="3">
        <v>2.5999999999999999E-2</v>
      </c>
      <c r="Z802" s="3">
        <v>3.2000000000000001E-2</v>
      </c>
      <c r="AA802" s="3">
        <v>5.2999999999999999E-2</v>
      </c>
      <c r="AB802" s="3">
        <v>7.9000000000000001E-2</v>
      </c>
      <c r="AC802" s="3">
        <v>8.2000000000000003E-2</v>
      </c>
    </row>
    <row r="803" spans="1:29" x14ac:dyDescent="0.35">
      <c r="A803" t="s">
        <v>1243</v>
      </c>
      <c r="B803" s="6">
        <v>1708</v>
      </c>
      <c r="C803" s="6">
        <v>1055</v>
      </c>
      <c r="D803">
        <v>488</v>
      </c>
      <c r="E803">
        <v>260</v>
      </c>
      <c r="F803">
        <v>256</v>
      </c>
      <c r="G803">
        <v>398</v>
      </c>
      <c r="H803">
        <v>645</v>
      </c>
      <c r="I803">
        <v>698</v>
      </c>
      <c r="J803" s="6">
        <v>1684</v>
      </c>
      <c r="K803" s="6">
        <v>10860</v>
      </c>
      <c r="L803" s="6">
        <v>13409</v>
      </c>
      <c r="M803" s="6">
        <v>12489</v>
      </c>
      <c r="N803" s="6">
        <v>11792</v>
      </c>
      <c r="O803" s="6">
        <v>4534</v>
      </c>
      <c r="P803" s="6">
        <v>1760</v>
      </c>
      <c r="Q803" s="6">
        <v>1565</v>
      </c>
      <c r="R803">
        <v>722</v>
      </c>
      <c r="S803">
        <v>237</v>
      </c>
      <c r="T803">
        <v>325</v>
      </c>
      <c r="U803">
        <v>494</v>
      </c>
      <c r="V803">
        <v>468</v>
      </c>
      <c r="W803">
        <v>675</v>
      </c>
      <c r="X803">
        <v>618</v>
      </c>
      <c r="Y803">
        <v>622</v>
      </c>
      <c r="Z803">
        <v>753</v>
      </c>
      <c r="AA803" s="6">
        <v>1256</v>
      </c>
      <c r="AB803" s="6">
        <v>1686</v>
      </c>
      <c r="AC803" s="6">
        <v>1845</v>
      </c>
    </row>
    <row r="804" spans="1:29" x14ac:dyDescent="0.35">
      <c r="A804" t="s">
        <v>1244</v>
      </c>
      <c r="B804" s="6">
        <v>19022</v>
      </c>
      <c r="C804" s="6">
        <v>23754</v>
      </c>
      <c r="D804" s="6">
        <v>24669</v>
      </c>
      <c r="E804" s="6">
        <v>22749</v>
      </c>
      <c r="F804" s="6">
        <v>22322</v>
      </c>
      <c r="G804" s="6">
        <v>25564</v>
      </c>
      <c r="H804" s="6">
        <v>27681</v>
      </c>
      <c r="I804" s="6">
        <v>29040</v>
      </c>
      <c r="J804" s="6">
        <v>28824</v>
      </c>
      <c r="K804" s="6">
        <v>31920</v>
      </c>
      <c r="L804" s="6">
        <v>30158</v>
      </c>
      <c r="M804" s="6">
        <v>30627</v>
      </c>
      <c r="N804" s="6">
        <v>29326</v>
      </c>
      <c r="O804" s="6">
        <v>25582</v>
      </c>
      <c r="P804" s="6">
        <v>28055</v>
      </c>
      <c r="Q804" s="6">
        <v>28190</v>
      </c>
      <c r="R804" s="6">
        <v>28294</v>
      </c>
      <c r="S804" s="6">
        <v>28647</v>
      </c>
      <c r="T804" s="6">
        <v>26030</v>
      </c>
      <c r="U804" s="6">
        <v>27004</v>
      </c>
      <c r="V804" s="6">
        <v>25509</v>
      </c>
      <c r="W804" s="6">
        <v>24258</v>
      </c>
      <c r="X804" s="6">
        <v>25287</v>
      </c>
      <c r="Y804" s="6">
        <v>24132</v>
      </c>
      <c r="Z804" s="6">
        <v>23579</v>
      </c>
      <c r="AA804" s="6">
        <v>23613</v>
      </c>
      <c r="AB804" s="6">
        <v>21471</v>
      </c>
      <c r="AC804" s="6">
        <v>22420</v>
      </c>
    </row>
    <row r="805" spans="1:29" x14ac:dyDescent="0.35">
      <c r="A805" t="s">
        <v>1245</v>
      </c>
      <c r="B805" s="7">
        <v>3.13</v>
      </c>
      <c r="C805" s="7">
        <v>3.14</v>
      </c>
      <c r="D805" s="7">
        <v>3.14</v>
      </c>
      <c r="E805" s="7">
        <v>3.14</v>
      </c>
      <c r="F805" s="7">
        <v>3.14</v>
      </c>
      <c r="G805" s="7">
        <v>3.15</v>
      </c>
      <c r="H805" s="7">
        <v>3.15</v>
      </c>
      <c r="I805" s="7">
        <v>3.15</v>
      </c>
      <c r="J805" s="7">
        <v>3.15</v>
      </c>
      <c r="K805" s="7">
        <v>2.96</v>
      </c>
      <c r="L805" s="7">
        <v>2.96</v>
      </c>
      <c r="M805" s="7">
        <v>2.96</v>
      </c>
      <c r="N805" s="7">
        <v>2.97</v>
      </c>
      <c r="O805" s="7">
        <v>3.16</v>
      </c>
      <c r="P805" s="7">
        <v>3.16</v>
      </c>
      <c r="Q805" s="7">
        <v>3.17</v>
      </c>
      <c r="R805" s="7">
        <v>3.16</v>
      </c>
      <c r="S805" s="7">
        <v>3.17</v>
      </c>
      <c r="T805" s="7">
        <v>3.17</v>
      </c>
      <c r="U805" s="7">
        <v>3.17</v>
      </c>
      <c r="V805" s="7">
        <v>3.17</v>
      </c>
      <c r="W805" s="7">
        <v>3.18</v>
      </c>
      <c r="X805" s="7">
        <v>3.18</v>
      </c>
      <c r="Y805" s="7">
        <v>3.18</v>
      </c>
      <c r="Z805" s="7">
        <v>3.18</v>
      </c>
      <c r="AA805" s="7">
        <v>3.18</v>
      </c>
      <c r="AB805" s="7">
        <v>3.17</v>
      </c>
      <c r="AC805" s="7">
        <v>3.17</v>
      </c>
    </row>
    <row r="806" spans="1:29" x14ac:dyDescent="0.35">
      <c r="B806" s="6">
        <f>SUM(B804:C804)</f>
        <v>42776</v>
      </c>
      <c r="C806" s="6">
        <f>SUM(B803:C803)</f>
        <v>2763</v>
      </c>
      <c r="K806" s="6">
        <f>SUM(K804:N804)</f>
        <v>122031</v>
      </c>
      <c r="L806" s="6">
        <f>SUM(K803:N803)</f>
        <v>48550</v>
      </c>
    </row>
    <row r="809" spans="1:29" x14ac:dyDescent="0.35">
      <c r="A809" t="s">
        <v>1240</v>
      </c>
      <c r="B809" s="5">
        <v>46026</v>
      </c>
      <c r="C809" s="5">
        <v>46033</v>
      </c>
      <c r="D809" s="5">
        <v>46040</v>
      </c>
      <c r="E809" s="5">
        <v>46047</v>
      </c>
      <c r="F809" s="5">
        <v>46054</v>
      </c>
      <c r="G809" s="5">
        <v>46061</v>
      </c>
      <c r="H809" s="5">
        <v>46068</v>
      </c>
      <c r="I809" s="5">
        <v>46075</v>
      </c>
      <c r="J809" s="5">
        <v>46082</v>
      </c>
      <c r="K809" s="84">
        <v>46089</v>
      </c>
      <c r="L809" s="84">
        <v>46096</v>
      </c>
      <c r="M809" s="84">
        <v>46103</v>
      </c>
      <c r="N809" s="84">
        <v>46110</v>
      </c>
      <c r="O809" s="5">
        <v>46117</v>
      </c>
      <c r="P809" s="5">
        <v>46124</v>
      </c>
      <c r="Q809" s="5">
        <v>46131</v>
      </c>
      <c r="R809" s="5">
        <v>46138</v>
      </c>
      <c r="S809" s="5">
        <v>46145</v>
      </c>
      <c r="T809" s="5">
        <v>46152</v>
      </c>
      <c r="U809" s="5">
        <v>46159</v>
      </c>
      <c r="V809" s="5">
        <v>46166</v>
      </c>
      <c r="W809" s="5">
        <v>46173</v>
      </c>
      <c r="X809" s="5">
        <v>46180</v>
      </c>
      <c r="Y809" s="5">
        <v>46187</v>
      </c>
      <c r="Z809" s="5">
        <v>46194</v>
      </c>
      <c r="AA809" s="5">
        <v>46201</v>
      </c>
      <c r="AB809" s="5">
        <v>46208</v>
      </c>
      <c r="AC809" s="5">
        <v>46215</v>
      </c>
    </row>
    <row r="810" spans="1:29" x14ac:dyDescent="0.35">
      <c r="A810" t="s">
        <v>1242</v>
      </c>
      <c r="B810" s="60">
        <v>0.09</v>
      </c>
      <c r="C810" s="60">
        <v>4.3999999999999997E-2</v>
      </c>
      <c r="D810" s="3">
        <v>0.02</v>
      </c>
      <c r="E810" s="3">
        <v>1.0999999999999999E-2</v>
      </c>
      <c r="F810" s="3">
        <v>1.0999999999999999E-2</v>
      </c>
      <c r="G810" s="3">
        <v>1.6E-2</v>
      </c>
      <c r="H810" s="3">
        <v>2.3E-2</v>
      </c>
      <c r="I810" s="3">
        <v>2.4E-2</v>
      </c>
      <c r="J810" s="3">
        <v>5.8000000000000003E-2</v>
      </c>
      <c r="K810" s="85">
        <v>0.34</v>
      </c>
      <c r="L810" s="85">
        <v>0.44500000000000001</v>
      </c>
      <c r="M810" s="85">
        <v>0.40799999999999997</v>
      </c>
      <c r="N810" s="85">
        <v>0.40200000000000002</v>
      </c>
      <c r="O810" s="3">
        <v>0.17699999999999999</v>
      </c>
      <c r="P810" s="3">
        <v>6.3E-2</v>
      </c>
      <c r="Q810" s="3">
        <v>5.6000000000000001E-2</v>
      </c>
      <c r="R810" s="3">
        <v>2.5999999999999999E-2</v>
      </c>
      <c r="S810" s="3">
        <v>8.0000000000000002E-3</v>
      </c>
      <c r="T810" s="3">
        <v>1.2E-2</v>
      </c>
      <c r="U810" s="3">
        <v>1.7999999999999999E-2</v>
      </c>
      <c r="V810" s="3">
        <v>1.7999999999999999E-2</v>
      </c>
      <c r="W810" s="3">
        <v>2.8000000000000001E-2</v>
      </c>
      <c r="X810" s="3">
        <v>2.4E-2</v>
      </c>
      <c r="Y810" s="3">
        <v>2.5999999999999999E-2</v>
      </c>
      <c r="Z810" s="3">
        <v>3.2000000000000001E-2</v>
      </c>
      <c r="AA810" s="3">
        <v>5.2999999999999999E-2</v>
      </c>
      <c r="AB810" s="3">
        <v>7.9000000000000001E-2</v>
      </c>
      <c r="AC810" s="3">
        <v>8.2000000000000003E-2</v>
      </c>
    </row>
    <row r="811" spans="1:29" x14ac:dyDescent="0.35">
      <c r="A811" t="s">
        <v>1247</v>
      </c>
      <c r="B811" s="3">
        <v>5.0000000000000001E-3</v>
      </c>
      <c r="C811" s="3">
        <v>5.0000000000000001E-3</v>
      </c>
      <c r="D811" s="3">
        <v>1.4E-2</v>
      </c>
      <c r="E811" s="3">
        <v>8.9999999999999993E-3</v>
      </c>
      <c r="F811" s="3">
        <v>1.2999999999999999E-2</v>
      </c>
      <c r="G811" s="3">
        <v>1.2E-2</v>
      </c>
      <c r="H811" s="3">
        <v>8.0000000000000002E-3</v>
      </c>
      <c r="I811" s="3">
        <v>0.01</v>
      </c>
      <c r="J811" s="3">
        <v>0.01</v>
      </c>
      <c r="K811" s="85">
        <v>4.7E-2</v>
      </c>
      <c r="L811" s="85">
        <v>3.5999999999999997E-2</v>
      </c>
      <c r="M811" s="85">
        <v>3.4000000000000002E-2</v>
      </c>
      <c r="N811" s="85">
        <v>0.03</v>
      </c>
      <c r="O811" s="3">
        <v>4.0000000000000001E-3</v>
      </c>
      <c r="P811" s="3">
        <v>4.0000000000000001E-3</v>
      </c>
      <c r="Q811" s="3">
        <v>3.0000000000000001E-3</v>
      </c>
      <c r="R811" s="3">
        <v>6.0000000000000001E-3</v>
      </c>
      <c r="S811" s="3">
        <v>2.8000000000000001E-2</v>
      </c>
      <c r="T811" s="3">
        <v>1.2E-2</v>
      </c>
      <c r="U811" s="3">
        <v>1.2999999999999999E-2</v>
      </c>
      <c r="V811" s="3">
        <v>1.4999999999999999E-2</v>
      </c>
      <c r="W811" s="3">
        <v>8.9999999999999993E-3</v>
      </c>
      <c r="X811" s="3">
        <v>0.01</v>
      </c>
      <c r="Y811" s="3">
        <v>0.01</v>
      </c>
      <c r="Z811" s="3">
        <v>1.0999999999999999E-2</v>
      </c>
      <c r="AA811" s="3">
        <v>8.0000000000000002E-3</v>
      </c>
      <c r="AB811" s="3">
        <v>7.0000000000000001E-3</v>
      </c>
      <c r="AC811" s="3">
        <v>5.0000000000000001E-3</v>
      </c>
    </row>
    <row r="812" spans="1:29" x14ac:dyDescent="0.35">
      <c r="A812" t="s">
        <v>1248</v>
      </c>
      <c r="B812" s="7">
        <v>0.01</v>
      </c>
      <c r="C812" s="7">
        <v>0.01</v>
      </c>
      <c r="D812" s="7">
        <v>0.04</v>
      </c>
      <c r="E812" s="7">
        <v>0.03</v>
      </c>
      <c r="F812" s="7">
        <v>0.04</v>
      </c>
      <c r="G812" s="7">
        <v>0.04</v>
      </c>
      <c r="H812" s="7">
        <v>0.02</v>
      </c>
      <c r="I812" s="7">
        <v>0.03</v>
      </c>
      <c r="J812" s="7">
        <v>0.03</v>
      </c>
      <c r="K812" s="7">
        <v>0.15</v>
      </c>
      <c r="L812" s="7">
        <v>0.11</v>
      </c>
      <c r="M812" s="7">
        <v>0.1</v>
      </c>
      <c r="N812" s="7">
        <v>0.09</v>
      </c>
      <c r="O812" s="7">
        <v>0.01</v>
      </c>
      <c r="P812" s="7">
        <v>0.01</v>
      </c>
      <c r="Q812" s="7">
        <v>0.01</v>
      </c>
      <c r="R812" s="7">
        <v>0.02</v>
      </c>
      <c r="S812" s="7">
        <v>0.09</v>
      </c>
      <c r="T812" s="7">
        <v>0.04</v>
      </c>
      <c r="U812" s="7">
        <v>0.04</v>
      </c>
      <c r="V812" s="7">
        <v>0.05</v>
      </c>
      <c r="W812" s="7">
        <v>0.03</v>
      </c>
      <c r="X812" s="7">
        <v>0.03</v>
      </c>
      <c r="Y812" s="7">
        <v>0.03</v>
      </c>
      <c r="Z812" s="7">
        <v>0.04</v>
      </c>
      <c r="AA812" s="7">
        <v>0.03</v>
      </c>
      <c r="AB812" s="7">
        <v>0.02</v>
      </c>
      <c r="AC812" s="7">
        <v>0.02</v>
      </c>
    </row>
    <row r="813" spans="1:29" x14ac:dyDescent="0.35">
      <c r="A813" t="s">
        <v>1249</v>
      </c>
      <c r="B813" s="7">
        <v>3.13</v>
      </c>
      <c r="C813" s="7">
        <v>3.13</v>
      </c>
      <c r="D813" s="7">
        <v>3.1</v>
      </c>
      <c r="E813" s="7">
        <v>3.12</v>
      </c>
      <c r="F813" s="7">
        <v>3.11</v>
      </c>
      <c r="G813" s="7">
        <v>3.11</v>
      </c>
      <c r="H813" s="7">
        <v>3.13</v>
      </c>
      <c r="I813" s="7">
        <v>3.13</v>
      </c>
      <c r="J813" s="7">
        <v>3.14</v>
      </c>
      <c r="K813" s="7">
        <v>2.92</v>
      </c>
      <c r="L813" s="7">
        <v>2.95</v>
      </c>
      <c r="M813" s="7">
        <v>2.95</v>
      </c>
      <c r="N813" s="7">
        <v>2.96</v>
      </c>
      <c r="O813" s="7">
        <v>3.16</v>
      </c>
      <c r="P813" s="7">
        <v>3.15</v>
      </c>
      <c r="Q813" s="7">
        <v>3.16</v>
      </c>
      <c r="R813" s="7">
        <v>3.15</v>
      </c>
      <c r="S813" s="7">
        <v>3.08</v>
      </c>
      <c r="T813" s="7">
        <v>3.13</v>
      </c>
      <c r="U813" s="7">
        <v>3.13</v>
      </c>
      <c r="V813" s="7">
        <v>3.13</v>
      </c>
      <c r="W813" s="7">
        <v>3.15</v>
      </c>
      <c r="X813" s="7">
        <v>3.15</v>
      </c>
      <c r="Y813" s="7">
        <v>3.15</v>
      </c>
      <c r="Z813" s="7">
        <v>3.15</v>
      </c>
      <c r="AA813" s="7">
        <v>3.16</v>
      </c>
      <c r="AB813" s="7">
        <v>3.15</v>
      </c>
      <c r="AC813" s="7">
        <v>3.16</v>
      </c>
    </row>
    <row r="814" spans="1:29" x14ac:dyDescent="0.35">
      <c r="A814" t="s">
        <v>1250</v>
      </c>
      <c r="B814" s="7">
        <v>3.14</v>
      </c>
      <c r="C814" s="7">
        <v>3.14</v>
      </c>
      <c r="D814" s="7">
        <v>3.14</v>
      </c>
      <c r="E814" s="7">
        <v>3.14</v>
      </c>
      <c r="F814" s="7">
        <v>3.15</v>
      </c>
      <c r="G814" s="7">
        <v>3.15</v>
      </c>
      <c r="H814" s="7">
        <v>3.16</v>
      </c>
      <c r="I814" s="7">
        <v>3.16</v>
      </c>
      <c r="J814" s="7">
        <v>3.17</v>
      </c>
      <c r="K814" s="7">
        <v>3.07</v>
      </c>
      <c r="L814" s="7">
        <v>3.06</v>
      </c>
      <c r="M814" s="7">
        <v>3.05</v>
      </c>
      <c r="N814" s="7">
        <v>3.05</v>
      </c>
      <c r="O814" s="7">
        <v>3.17</v>
      </c>
      <c r="P814" s="7">
        <v>3.17</v>
      </c>
      <c r="Q814" s="7">
        <v>3.17</v>
      </c>
      <c r="R814" s="7">
        <v>3.17</v>
      </c>
      <c r="S814" s="7">
        <v>3.17</v>
      </c>
      <c r="T814" s="7">
        <v>3.17</v>
      </c>
      <c r="U814" s="7">
        <v>3.18</v>
      </c>
      <c r="V814" s="7">
        <v>3.18</v>
      </c>
      <c r="W814" s="7">
        <v>3.18</v>
      </c>
      <c r="X814" s="7">
        <v>3.18</v>
      </c>
      <c r="Y814" s="7">
        <v>3.18</v>
      </c>
      <c r="Z814" s="7">
        <v>3.18</v>
      </c>
      <c r="AA814" s="7">
        <v>3.18</v>
      </c>
      <c r="AB814" s="7">
        <v>3.17</v>
      </c>
      <c r="AC814" s="7">
        <v>3.18</v>
      </c>
    </row>
    <row r="815" spans="1:29" x14ac:dyDescent="0.35">
      <c r="A815" t="s">
        <v>1245</v>
      </c>
      <c r="B815" s="7">
        <v>3.13</v>
      </c>
      <c r="C815" s="7">
        <v>3.14</v>
      </c>
      <c r="D815" s="7">
        <v>3.14</v>
      </c>
      <c r="E815" s="7">
        <v>3.14</v>
      </c>
      <c r="F815" s="7">
        <v>3.14</v>
      </c>
      <c r="G815" s="7">
        <v>3.15</v>
      </c>
      <c r="H815" s="7">
        <v>3.15</v>
      </c>
      <c r="I815" s="7">
        <v>3.15</v>
      </c>
      <c r="J815" s="7">
        <v>3.15</v>
      </c>
      <c r="K815" s="7">
        <v>2.96</v>
      </c>
      <c r="L815" s="7">
        <v>2.96</v>
      </c>
      <c r="M815" s="7">
        <v>2.96</v>
      </c>
      <c r="N815" s="7">
        <v>2.97</v>
      </c>
      <c r="O815" s="7">
        <v>3.16</v>
      </c>
      <c r="P815" s="7">
        <v>3.16</v>
      </c>
      <c r="Q815" s="7">
        <v>3.17</v>
      </c>
      <c r="R815" s="7">
        <v>3.16</v>
      </c>
      <c r="S815" s="7">
        <v>3.17</v>
      </c>
      <c r="T815" s="7">
        <v>3.17</v>
      </c>
      <c r="U815" s="7">
        <v>3.17</v>
      </c>
      <c r="V815" s="7">
        <v>3.17</v>
      </c>
      <c r="W815" s="7">
        <v>3.18</v>
      </c>
      <c r="X815" s="7">
        <v>3.18</v>
      </c>
      <c r="Y815" s="7">
        <v>3.18</v>
      </c>
      <c r="Z815" s="7">
        <v>3.18</v>
      </c>
      <c r="AA815" s="7">
        <v>3.18</v>
      </c>
      <c r="AB815" s="7">
        <v>3.17</v>
      </c>
      <c r="AC815" s="7">
        <v>3.17</v>
      </c>
    </row>
    <row r="817" spans="1:29" s="79" customFormat="1" x14ac:dyDescent="0.35"/>
    <row r="819" spans="1:29" x14ac:dyDescent="0.35">
      <c r="A819" s="4" t="s">
        <v>513</v>
      </c>
    </row>
    <row r="821" spans="1:29" x14ac:dyDescent="0.35">
      <c r="A821" t="s">
        <v>1240</v>
      </c>
      <c r="B821" s="72">
        <v>46026</v>
      </c>
      <c r="C821" s="72">
        <v>46033</v>
      </c>
      <c r="D821" s="72">
        <v>46040</v>
      </c>
      <c r="E821" s="72">
        <v>46047</v>
      </c>
      <c r="F821" s="5">
        <v>46054</v>
      </c>
      <c r="G821" s="5">
        <v>46061</v>
      </c>
      <c r="H821" s="5">
        <v>46068</v>
      </c>
      <c r="I821" s="5">
        <v>46075</v>
      </c>
      <c r="J821" s="5">
        <v>46082</v>
      </c>
      <c r="K821" s="5">
        <v>46089</v>
      </c>
      <c r="L821" s="5">
        <v>46096</v>
      </c>
      <c r="M821" s="5">
        <v>46103</v>
      </c>
      <c r="N821" s="5">
        <v>46110</v>
      </c>
      <c r="O821" s="5">
        <v>46117</v>
      </c>
      <c r="P821" s="5">
        <v>46124</v>
      </c>
      <c r="Q821" s="5">
        <v>46131</v>
      </c>
      <c r="R821" s="5">
        <v>46138</v>
      </c>
      <c r="S821" s="72">
        <v>46145</v>
      </c>
      <c r="T821" s="72">
        <v>46152</v>
      </c>
      <c r="U821" s="72">
        <v>46159</v>
      </c>
      <c r="V821" s="72">
        <v>46166</v>
      </c>
      <c r="W821" s="5">
        <v>46173</v>
      </c>
      <c r="X821" s="5">
        <v>46180</v>
      </c>
      <c r="Y821" s="5">
        <v>46187</v>
      </c>
      <c r="Z821" s="5">
        <v>46194</v>
      </c>
      <c r="AA821" s="5">
        <v>46201</v>
      </c>
      <c r="AB821" s="5">
        <v>46208</v>
      </c>
      <c r="AC821" s="5">
        <v>46215</v>
      </c>
    </row>
    <row r="822" spans="1:29" x14ac:dyDescent="0.35">
      <c r="A822" t="s">
        <v>1241</v>
      </c>
      <c r="B822">
        <v>227</v>
      </c>
      <c r="C822">
        <v>249</v>
      </c>
      <c r="D822">
        <v>317</v>
      </c>
      <c r="E822">
        <v>225</v>
      </c>
      <c r="F822">
        <v>279</v>
      </c>
      <c r="G822">
        <v>360</v>
      </c>
      <c r="H822">
        <v>278</v>
      </c>
      <c r="I822">
        <v>247</v>
      </c>
      <c r="J822">
        <v>238</v>
      </c>
      <c r="K822">
        <v>212</v>
      </c>
      <c r="L822">
        <v>159</v>
      </c>
      <c r="M822">
        <v>211</v>
      </c>
      <c r="N822">
        <v>214</v>
      </c>
      <c r="O822">
        <v>225</v>
      </c>
      <c r="P822">
        <v>153</v>
      </c>
      <c r="Q822">
        <v>203</v>
      </c>
      <c r="R822">
        <v>244</v>
      </c>
      <c r="S822">
        <v>240</v>
      </c>
      <c r="T822">
        <v>307</v>
      </c>
      <c r="U822">
        <v>285</v>
      </c>
      <c r="V822">
        <v>316</v>
      </c>
      <c r="W822">
        <v>242</v>
      </c>
      <c r="X822">
        <v>240</v>
      </c>
      <c r="Y822">
        <v>222</v>
      </c>
      <c r="Z822">
        <v>263</v>
      </c>
      <c r="AA822">
        <v>240</v>
      </c>
      <c r="AB822">
        <v>264</v>
      </c>
      <c r="AC822">
        <v>213</v>
      </c>
    </row>
    <row r="823" spans="1:29" x14ac:dyDescent="0.35">
      <c r="A823" t="s">
        <v>1242</v>
      </c>
      <c r="B823" s="60">
        <v>0.56000000000000005</v>
      </c>
      <c r="C823" s="60">
        <v>0.51500000000000001</v>
      </c>
      <c r="D823" s="60">
        <v>0.88200000000000001</v>
      </c>
      <c r="E823" s="60">
        <v>0.39600000000000002</v>
      </c>
      <c r="F823" s="3">
        <v>4.3999999999999997E-2</v>
      </c>
      <c r="G823" s="3">
        <v>8.5000000000000006E-2</v>
      </c>
      <c r="H823" s="3">
        <v>6.0000000000000001E-3</v>
      </c>
      <c r="I823" s="3">
        <v>0</v>
      </c>
      <c r="J823" s="3">
        <v>0</v>
      </c>
      <c r="K823" s="3">
        <v>0</v>
      </c>
      <c r="L823" s="3">
        <v>0</v>
      </c>
      <c r="M823" s="3">
        <v>0</v>
      </c>
      <c r="N823" s="3">
        <v>0</v>
      </c>
      <c r="O823" s="3">
        <v>0</v>
      </c>
      <c r="P823" s="3">
        <v>0</v>
      </c>
      <c r="Q823" s="3">
        <v>0</v>
      </c>
      <c r="R823" s="3">
        <v>0</v>
      </c>
      <c r="S823" s="3">
        <v>0.26300000000000001</v>
      </c>
      <c r="T823" s="3">
        <v>0.60099999999999998</v>
      </c>
      <c r="U823" s="3">
        <v>0.40400000000000003</v>
      </c>
      <c r="V823" s="3">
        <v>0.63600000000000001</v>
      </c>
      <c r="W823" s="3">
        <v>0.31900000000000001</v>
      </c>
      <c r="X823" s="3">
        <v>0.36699999999999999</v>
      </c>
      <c r="Y823" s="3">
        <v>0.224</v>
      </c>
      <c r="Z823" s="3">
        <v>0.35699999999999998</v>
      </c>
      <c r="AA823" s="3">
        <v>0.03</v>
      </c>
      <c r="AB823" s="3">
        <v>0</v>
      </c>
      <c r="AC823" s="3">
        <v>0</v>
      </c>
    </row>
    <row r="824" spans="1:29" x14ac:dyDescent="0.35">
      <c r="A824" t="s">
        <v>1243</v>
      </c>
      <c r="B824">
        <v>82</v>
      </c>
      <c r="C824">
        <v>85</v>
      </c>
      <c r="D824">
        <v>149</v>
      </c>
      <c r="E824">
        <v>64</v>
      </c>
      <c r="F824">
        <v>12</v>
      </c>
      <c r="G824">
        <v>28</v>
      </c>
      <c r="H824">
        <v>2</v>
      </c>
      <c r="I824">
        <v>0</v>
      </c>
      <c r="J824">
        <v>0</v>
      </c>
      <c r="K824">
        <v>0</v>
      </c>
      <c r="L824">
        <v>0</v>
      </c>
      <c r="M824">
        <v>0</v>
      </c>
      <c r="N824">
        <v>0</v>
      </c>
      <c r="O824">
        <v>0</v>
      </c>
      <c r="P824">
        <v>0</v>
      </c>
      <c r="Q824">
        <v>0</v>
      </c>
      <c r="R824">
        <v>0</v>
      </c>
      <c r="S824">
        <v>50</v>
      </c>
      <c r="T824">
        <v>115</v>
      </c>
      <c r="U824">
        <v>82</v>
      </c>
      <c r="V824">
        <v>123</v>
      </c>
      <c r="W824">
        <v>59</v>
      </c>
      <c r="X824">
        <v>64</v>
      </c>
      <c r="Y824">
        <v>41</v>
      </c>
      <c r="Z824">
        <v>69</v>
      </c>
      <c r="AA824">
        <v>7</v>
      </c>
      <c r="AB824">
        <v>0</v>
      </c>
      <c r="AC824">
        <v>0</v>
      </c>
    </row>
    <row r="825" spans="1:29" x14ac:dyDescent="0.35">
      <c r="A825" t="s">
        <v>1244</v>
      </c>
      <c r="B825">
        <v>146</v>
      </c>
      <c r="C825">
        <v>164</v>
      </c>
      <c r="D825">
        <v>168</v>
      </c>
      <c r="E825">
        <v>161</v>
      </c>
      <c r="F825">
        <v>267</v>
      </c>
      <c r="G825">
        <v>332</v>
      </c>
      <c r="H825">
        <v>276</v>
      </c>
      <c r="I825">
        <v>247</v>
      </c>
      <c r="J825">
        <v>238</v>
      </c>
      <c r="K825">
        <v>212</v>
      </c>
      <c r="L825">
        <v>159</v>
      </c>
      <c r="M825">
        <v>211</v>
      </c>
      <c r="N825">
        <v>214</v>
      </c>
      <c r="O825">
        <v>225</v>
      </c>
      <c r="P825">
        <v>153</v>
      </c>
      <c r="Q825">
        <v>203</v>
      </c>
      <c r="R825">
        <v>244</v>
      </c>
      <c r="S825">
        <v>190</v>
      </c>
      <c r="T825">
        <v>192</v>
      </c>
      <c r="U825">
        <v>203</v>
      </c>
      <c r="V825">
        <v>193</v>
      </c>
      <c r="W825">
        <v>184</v>
      </c>
      <c r="X825">
        <v>176</v>
      </c>
      <c r="Y825">
        <v>181</v>
      </c>
      <c r="Z825">
        <v>194</v>
      </c>
      <c r="AA825">
        <v>233</v>
      </c>
      <c r="AB825">
        <v>264</v>
      </c>
      <c r="AC825">
        <v>213</v>
      </c>
    </row>
    <row r="826" spans="1:29" x14ac:dyDescent="0.35">
      <c r="A826" t="s">
        <v>1245</v>
      </c>
      <c r="B826" s="7">
        <v>3</v>
      </c>
      <c r="C826" s="7">
        <v>3</v>
      </c>
      <c r="D826" s="7">
        <v>3</v>
      </c>
      <c r="E826" s="7">
        <v>3</v>
      </c>
      <c r="F826" s="7">
        <v>3</v>
      </c>
      <c r="G826" s="7">
        <v>3</v>
      </c>
      <c r="H826" s="7">
        <v>3</v>
      </c>
      <c r="I826" s="7">
        <v>3</v>
      </c>
      <c r="J826" s="7">
        <v>3.22</v>
      </c>
      <c r="K826" s="7">
        <v>3.22</v>
      </c>
      <c r="L826" s="7">
        <v>3.59</v>
      </c>
      <c r="M826" s="7">
        <v>3.59</v>
      </c>
      <c r="N826" s="7">
        <v>3.59</v>
      </c>
      <c r="O826" s="7">
        <v>3.59</v>
      </c>
      <c r="P826" s="7">
        <v>3.59</v>
      </c>
      <c r="Q826" s="7">
        <v>3.59</v>
      </c>
      <c r="R826" s="7">
        <v>3.59</v>
      </c>
      <c r="S826" s="7">
        <v>2.89</v>
      </c>
      <c r="T826" s="7">
        <v>2.48</v>
      </c>
      <c r="U826" s="7">
        <v>2.5</v>
      </c>
      <c r="V826" s="7">
        <v>2.5</v>
      </c>
      <c r="W826" s="7">
        <v>2.8</v>
      </c>
      <c r="X826" s="7">
        <v>3</v>
      </c>
      <c r="Y826" s="7">
        <v>3</v>
      </c>
      <c r="Z826" s="7">
        <v>3</v>
      </c>
      <c r="AA826" s="7">
        <v>3</v>
      </c>
      <c r="AB826" s="7">
        <v>3</v>
      </c>
      <c r="AC826" s="7">
        <v>3</v>
      </c>
    </row>
    <row r="827" spans="1:29" x14ac:dyDescent="0.35">
      <c r="B827">
        <f>SUM(B825:E825)</f>
        <v>639</v>
      </c>
      <c r="C827">
        <f>SUM(B824:E824)</f>
        <v>380</v>
      </c>
      <c r="S827">
        <f>SUM(S825:V825)</f>
        <v>778</v>
      </c>
      <c r="T827">
        <f>SUM(S824:V824)</f>
        <v>370</v>
      </c>
    </row>
    <row r="828" spans="1:29" x14ac:dyDescent="0.35">
      <c r="A828" t="s">
        <v>1240</v>
      </c>
      <c r="B828" s="72">
        <v>46026</v>
      </c>
      <c r="C828" s="72">
        <v>46033</v>
      </c>
      <c r="D828" s="72">
        <v>46040</v>
      </c>
      <c r="E828" s="72">
        <v>46047</v>
      </c>
      <c r="F828" s="5">
        <v>46054</v>
      </c>
      <c r="G828" s="5">
        <v>46061</v>
      </c>
      <c r="H828" s="5">
        <v>46068</v>
      </c>
      <c r="I828" s="5">
        <v>46075</v>
      </c>
      <c r="J828" s="5">
        <v>46082</v>
      </c>
      <c r="K828" s="5">
        <v>46089</v>
      </c>
      <c r="L828" s="5">
        <v>46096</v>
      </c>
      <c r="M828" s="5">
        <v>46103</v>
      </c>
      <c r="N828" s="5">
        <v>46110</v>
      </c>
      <c r="O828" s="5">
        <v>46117</v>
      </c>
      <c r="P828" s="5">
        <v>46124</v>
      </c>
      <c r="Q828" s="5">
        <v>46131</v>
      </c>
      <c r="R828" s="5">
        <v>46138</v>
      </c>
      <c r="S828" s="5">
        <v>46145</v>
      </c>
      <c r="T828" s="5">
        <v>46152</v>
      </c>
      <c r="U828" s="5">
        <v>46159</v>
      </c>
      <c r="V828" s="5">
        <v>46166</v>
      </c>
      <c r="W828" s="5">
        <v>46173</v>
      </c>
      <c r="X828" s="5">
        <v>46180</v>
      </c>
      <c r="Y828" s="5">
        <v>46187</v>
      </c>
      <c r="Z828" s="5">
        <v>46194</v>
      </c>
      <c r="AA828" s="5">
        <v>46201</v>
      </c>
      <c r="AB828" s="5">
        <v>46208</v>
      </c>
      <c r="AC828" s="5">
        <v>46215</v>
      </c>
    </row>
    <row r="829" spans="1:29" x14ac:dyDescent="0.35">
      <c r="A829" t="s">
        <v>1242</v>
      </c>
      <c r="B829" s="60">
        <v>0.56000000000000005</v>
      </c>
      <c r="C829" s="60">
        <v>0.51500000000000001</v>
      </c>
      <c r="D829" s="60">
        <v>0.88200000000000001</v>
      </c>
      <c r="E829" s="60">
        <v>0.39600000000000002</v>
      </c>
      <c r="F829" s="3">
        <v>4.3999999999999997E-2</v>
      </c>
      <c r="G829" s="3">
        <v>8.5000000000000006E-2</v>
      </c>
      <c r="H829" s="3">
        <v>6.0000000000000001E-3</v>
      </c>
      <c r="I829" s="3">
        <v>0</v>
      </c>
      <c r="J829" s="3">
        <v>0</v>
      </c>
      <c r="K829" s="3">
        <v>0</v>
      </c>
      <c r="L829" s="3">
        <v>0</v>
      </c>
      <c r="M829" s="3">
        <v>0</v>
      </c>
      <c r="N829" s="3">
        <v>0</v>
      </c>
      <c r="O829" s="3">
        <v>0</v>
      </c>
      <c r="P829" s="3">
        <v>0</v>
      </c>
      <c r="Q829" s="3">
        <v>0</v>
      </c>
      <c r="R829" s="3">
        <v>0</v>
      </c>
      <c r="S829" s="3">
        <v>0.26300000000000001</v>
      </c>
      <c r="T829" s="3">
        <v>0.60099999999999998</v>
      </c>
      <c r="U829" s="3">
        <v>0.40400000000000003</v>
      </c>
      <c r="V829" s="3">
        <v>0.63600000000000001</v>
      </c>
      <c r="W829" s="3">
        <v>0.31900000000000001</v>
      </c>
      <c r="X829" s="3">
        <v>0.36699999999999999</v>
      </c>
      <c r="Y829" s="3">
        <v>0.224</v>
      </c>
      <c r="Z829" s="3">
        <v>0.35699999999999998</v>
      </c>
      <c r="AA829" s="3">
        <v>0.03</v>
      </c>
      <c r="AB829" s="3">
        <v>0</v>
      </c>
      <c r="AC829" s="3">
        <v>0</v>
      </c>
    </row>
    <row r="830" spans="1:29" x14ac:dyDescent="0.35">
      <c r="A830" t="s">
        <v>1247</v>
      </c>
      <c r="B830" s="60">
        <v>9.5000000000000001E-2</v>
      </c>
      <c r="C830" s="60">
        <v>0.14299999999999999</v>
      </c>
      <c r="D830" s="60">
        <v>0.13300000000000001</v>
      </c>
      <c r="E830" s="60">
        <v>0.105</v>
      </c>
      <c r="F830" s="3">
        <v>1.9E-2</v>
      </c>
      <c r="G830" s="3">
        <v>7.0000000000000001E-3</v>
      </c>
      <c r="H830" s="3">
        <v>2E-3</v>
      </c>
      <c r="I830" t="s">
        <v>1272</v>
      </c>
      <c r="J830" t="s">
        <v>1272</v>
      </c>
      <c r="K830" t="s">
        <v>1272</v>
      </c>
      <c r="L830" t="s">
        <v>1272</v>
      </c>
      <c r="M830" t="s">
        <v>1272</v>
      </c>
      <c r="N830" t="s">
        <v>1272</v>
      </c>
      <c r="O830" t="s">
        <v>1272</v>
      </c>
      <c r="P830" t="s">
        <v>1272</v>
      </c>
      <c r="Q830" t="s">
        <v>1272</v>
      </c>
      <c r="R830" t="s">
        <v>1272</v>
      </c>
      <c r="S830" s="3">
        <v>0.153</v>
      </c>
      <c r="T830" s="3">
        <v>0.24399999999999999</v>
      </c>
      <c r="U830" s="3">
        <v>0.23799999999999999</v>
      </c>
      <c r="V830" s="3">
        <v>0.252</v>
      </c>
      <c r="W830" s="3">
        <v>0.16600000000000001</v>
      </c>
      <c r="X830" s="3">
        <v>0.14199999999999999</v>
      </c>
      <c r="Y830" s="3">
        <v>0.106</v>
      </c>
      <c r="Z830" s="3">
        <v>8.5000000000000006E-2</v>
      </c>
      <c r="AA830" s="3">
        <v>1.0999999999999999E-2</v>
      </c>
      <c r="AB830" s="3">
        <v>0</v>
      </c>
      <c r="AC830" s="3">
        <v>0</v>
      </c>
    </row>
    <row r="831" spans="1:29" x14ac:dyDescent="0.35">
      <c r="A831" t="s">
        <v>1248</v>
      </c>
      <c r="B831" s="7">
        <v>0.32</v>
      </c>
      <c r="C831" s="7">
        <v>0.5</v>
      </c>
      <c r="D831" s="7">
        <v>0.46</v>
      </c>
      <c r="E831" s="7">
        <v>0.35</v>
      </c>
      <c r="F831" s="7">
        <v>0.06</v>
      </c>
      <c r="G831" s="7">
        <v>0.02</v>
      </c>
      <c r="H831" s="7">
        <v>0.01</v>
      </c>
      <c r="I831" t="s">
        <v>1272</v>
      </c>
      <c r="J831" t="s">
        <v>1272</v>
      </c>
      <c r="K831" t="s">
        <v>1272</v>
      </c>
      <c r="L831" t="s">
        <v>1272</v>
      </c>
      <c r="M831" t="s">
        <v>1272</v>
      </c>
      <c r="N831" t="s">
        <v>1272</v>
      </c>
      <c r="O831" t="s">
        <v>1272</v>
      </c>
      <c r="P831" t="s">
        <v>1272</v>
      </c>
      <c r="Q831" t="s">
        <v>1272</v>
      </c>
      <c r="R831" t="s">
        <v>1272</v>
      </c>
      <c r="S831" s="7">
        <v>0.51</v>
      </c>
      <c r="T831" s="7">
        <v>0.8</v>
      </c>
      <c r="U831" s="7">
        <v>0.78</v>
      </c>
      <c r="V831" s="7">
        <v>0.84</v>
      </c>
      <c r="W831" s="7">
        <v>0.56000000000000005</v>
      </c>
      <c r="X831" s="7">
        <v>0.5</v>
      </c>
      <c r="Y831" s="7">
        <v>0.36</v>
      </c>
      <c r="Z831" s="7">
        <v>0.28000000000000003</v>
      </c>
      <c r="AA831" s="7">
        <v>0.03</v>
      </c>
      <c r="AB831" s="7">
        <v>0</v>
      </c>
      <c r="AC831" s="7">
        <v>0</v>
      </c>
    </row>
    <row r="832" spans="1:29" x14ac:dyDescent="0.35">
      <c r="A832" t="s">
        <v>1249</v>
      </c>
      <c r="B832" s="7">
        <v>3</v>
      </c>
      <c r="C832" s="7">
        <v>3</v>
      </c>
      <c r="D832" s="7">
        <v>3</v>
      </c>
      <c r="E832" s="7">
        <v>3</v>
      </c>
      <c r="F832" s="7">
        <v>3</v>
      </c>
      <c r="G832" s="7">
        <v>3</v>
      </c>
      <c r="H832" s="7">
        <v>3</v>
      </c>
      <c r="I832" t="s">
        <v>1272</v>
      </c>
      <c r="J832" t="s">
        <v>1272</v>
      </c>
      <c r="K832" t="s">
        <v>1272</v>
      </c>
      <c r="L832" t="s">
        <v>1272</v>
      </c>
      <c r="M832" t="s">
        <v>1272</v>
      </c>
      <c r="N832" t="s">
        <v>1272</v>
      </c>
      <c r="O832" t="s">
        <v>1272</v>
      </c>
      <c r="P832" t="s">
        <v>1272</v>
      </c>
      <c r="Q832" t="s">
        <v>1272</v>
      </c>
      <c r="R832" t="s">
        <v>1272</v>
      </c>
      <c r="S832" s="7">
        <v>2.85</v>
      </c>
      <c r="T832" s="7">
        <v>2.48</v>
      </c>
      <c r="U832" s="7">
        <v>2.5</v>
      </c>
      <c r="V832" s="7">
        <v>2.5</v>
      </c>
      <c r="W832" s="7">
        <v>2.8</v>
      </c>
      <c r="X832" s="7">
        <v>3</v>
      </c>
      <c r="Y832" s="7">
        <v>3</v>
      </c>
      <c r="Z832" s="7">
        <v>3</v>
      </c>
      <c r="AA832" s="7">
        <v>3</v>
      </c>
      <c r="AB832" s="7">
        <v>3</v>
      </c>
      <c r="AC832" s="7">
        <v>3</v>
      </c>
    </row>
    <row r="833" spans="1:29" x14ac:dyDescent="0.35">
      <c r="A833" t="s">
        <v>1250</v>
      </c>
      <c r="B833" s="7">
        <v>3.32</v>
      </c>
      <c r="C833" s="7">
        <v>3.5</v>
      </c>
      <c r="D833" s="7">
        <v>3.46</v>
      </c>
      <c r="E833" s="7">
        <v>3.35</v>
      </c>
      <c r="F833" s="7">
        <v>3.06</v>
      </c>
      <c r="G833" s="7">
        <v>3.02</v>
      </c>
      <c r="H833" s="7">
        <v>3.01</v>
      </c>
      <c r="I833" s="7">
        <v>3</v>
      </c>
      <c r="J833" s="7">
        <v>3.22</v>
      </c>
      <c r="K833" s="7">
        <v>3.22</v>
      </c>
      <c r="L833" s="7">
        <v>3.59</v>
      </c>
      <c r="M833" s="7">
        <v>3.59</v>
      </c>
      <c r="N833" s="7">
        <v>3.59</v>
      </c>
      <c r="O833" s="7">
        <v>3.59</v>
      </c>
      <c r="P833" s="7">
        <v>3.59</v>
      </c>
      <c r="Q833" s="7">
        <v>3.59</v>
      </c>
      <c r="R833" s="7">
        <v>3.59</v>
      </c>
      <c r="S833" s="7">
        <v>3.36</v>
      </c>
      <c r="T833" s="7">
        <v>3.28</v>
      </c>
      <c r="U833" s="7">
        <v>3.28</v>
      </c>
      <c r="V833" s="7">
        <v>3.34</v>
      </c>
      <c r="W833" s="7">
        <v>3.35</v>
      </c>
      <c r="X833" s="7">
        <v>3.5</v>
      </c>
      <c r="Y833" s="7">
        <v>3.36</v>
      </c>
      <c r="Z833" s="7">
        <v>3.28</v>
      </c>
      <c r="AA833" s="7">
        <v>3.03</v>
      </c>
      <c r="AB833" s="7">
        <v>3</v>
      </c>
      <c r="AC833" s="7">
        <v>3</v>
      </c>
    </row>
    <row r="834" spans="1:29" x14ac:dyDescent="0.35">
      <c r="A834" t="s">
        <v>1245</v>
      </c>
      <c r="B834" s="7">
        <v>3</v>
      </c>
      <c r="C834" s="7">
        <v>3</v>
      </c>
      <c r="D834" s="7">
        <v>3</v>
      </c>
      <c r="E834" s="7">
        <v>3</v>
      </c>
      <c r="F834" s="7">
        <v>3</v>
      </c>
      <c r="G834" s="7">
        <v>3</v>
      </c>
      <c r="H834" s="7">
        <v>3</v>
      </c>
      <c r="I834" s="7">
        <v>3</v>
      </c>
      <c r="J834" s="7">
        <v>3.22</v>
      </c>
      <c r="K834" s="7">
        <v>3.22</v>
      </c>
      <c r="L834" s="7">
        <v>3.59</v>
      </c>
      <c r="M834" s="7">
        <v>3.59</v>
      </c>
      <c r="N834" s="7">
        <v>3.59</v>
      </c>
      <c r="O834" s="7">
        <v>3.59</v>
      </c>
      <c r="P834" s="7">
        <v>3.59</v>
      </c>
      <c r="Q834" s="7">
        <v>3.59</v>
      </c>
      <c r="R834" s="7">
        <v>3.59</v>
      </c>
      <c r="S834" s="7">
        <v>2.89</v>
      </c>
      <c r="T834" s="7">
        <v>2.48</v>
      </c>
      <c r="U834" s="7">
        <v>2.5</v>
      </c>
      <c r="V834" s="7">
        <v>2.5</v>
      </c>
      <c r="W834" s="7">
        <v>2.8</v>
      </c>
      <c r="X834" s="7">
        <v>3</v>
      </c>
      <c r="Y834" s="7">
        <v>3</v>
      </c>
      <c r="Z834" s="7">
        <v>3</v>
      </c>
      <c r="AA834" s="7">
        <v>3</v>
      </c>
      <c r="AB834" s="7">
        <v>3</v>
      </c>
      <c r="AC834" s="7">
        <v>3</v>
      </c>
    </row>
    <row r="835" spans="1:29" s="66" customFormat="1" x14ac:dyDescent="0.35"/>
    <row r="836" spans="1:29" x14ac:dyDescent="0.35">
      <c r="A836" s="4" t="s">
        <v>1392</v>
      </c>
    </row>
    <row r="838" spans="1:29" x14ac:dyDescent="0.35">
      <c r="A838" t="s">
        <v>1240</v>
      </c>
      <c r="B838" s="72">
        <v>46026</v>
      </c>
      <c r="C838" s="72">
        <v>46033</v>
      </c>
      <c r="D838" s="72">
        <v>46040</v>
      </c>
      <c r="E838" s="72">
        <v>46047</v>
      </c>
      <c r="F838" s="72">
        <v>46054</v>
      </c>
      <c r="G838" s="5">
        <v>46061</v>
      </c>
      <c r="H838" s="5">
        <v>46068</v>
      </c>
      <c r="I838" s="5">
        <v>46075</v>
      </c>
      <c r="J838" s="5">
        <v>46082</v>
      </c>
      <c r="K838" s="72">
        <v>46089</v>
      </c>
      <c r="L838" s="72">
        <v>46096</v>
      </c>
      <c r="M838" s="72">
        <v>46103</v>
      </c>
      <c r="N838" s="72">
        <v>46110</v>
      </c>
      <c r="O838" s="5">
        <v>46117</v>
      </c>
      <c r="P838" s="5">
        <v>46124</v>
      </c>
      <c r="Q838" s="5">
        <v>46131</v>
      </c>
      <c r="R838" s="5">
        <v>46138</v>
      </c>
      <c r="S838" s="5">
        <v>46145</v>
      </c>
      <c r="T838" s="5">
        <v>46152</v>
      </c>
      <c r="U838" s="5">
        <v>46159</v>
      </c>
      <c r="V838" s="5">
        <v>46166</v>
      </c>
      <c r="W838" s="5">
        <v>46173</v>
      </c>
      <c r="X838" s="5">
        <v>46180</v>
      </c>
      <c r="Y838" s="5">
        <v>46187</v>
      </c>
      <c r="Z838" s="5">
        <v>46194</v>
      </c>
      <c r="AA838" s="5">
        <v>46201</v>
      </c>
      <c r="AB838" s="5">
        <v>46208</v>
      </c>
      <c r="AC838" s="5">
        <v>46215</v>
      </c>
    </row>
    <row r="839" spans="1:29" x14ac:dyDescent="0.35">
      <c r="A839" t="s">
        <v>1241</v>
      </c>
      <c r="B839" s="6">
        <v>18650</v>
      </c>
      <c r="C839" s="6">
        <v>19467</v>
      </c>
      <c r="D839" s="6">
        <v>25738</v>
      </c>
      <c r="E839" s="6">
        <v>24311</v>
      </c>
      <c r="F839" s="6">
        <v>14522</v>
      </c>
      <c r="G839" s="6">
        <v>12159</v>
      </c>
      <c r="H839" s="6">
        <v>10507</v>
      </c>
      <c r="I839" s="6">
        <v>12432</v>
      </c>
      <c r="J839" s="6">
        <v>9195</v>
      </c>
      <c r="K839" s="58">
        <v>15663</v>
      </c>
      <c r="L839" s="58">
        <v>16153</v>
      </c>
      <c r="M839" s="58">
        <v>15954</v>
      </c>
      <c r="N839" s="58">
        <v>15560</v>
      </c>
      <c r="O839" s="6">
        <v>7814</v>
      </c>
      <c r="P839" s="6">
        <v>5914</v>
      </c>
      <c r="Q839" s="6">
        <v>6922</v>
      </c>
      <c r="R839" s="6">
        <v>7557</v>
      </c>
      <c r="S839" s="6">
        <v>7664</v>
      </c>
      <c r="T839" s="6">
        <v>15563</v>
      </c>
      <c r="U839" s="6">
        <v>13779</v>
      </c>
      <c r="V839" s="6">
        <v>8766</v>
      </c>
      <c r="W839" s="6">
        <v>8369</v>
      </c>
      <c r="X839" s="6">
        <v>6702</v>
      </c>
      <c r="Y839" s="6">
        <v>6655</v>
      </c>
      <c r="Z839" s="6">
        <v>7043</v>
      </c>
      <c r="AA839" s="6">
        <v>6443</v>
      </c>
      <c r="AB839" s="6">
        <v>12552</v>
      </c>
      <c r="AC839" s="6">
        <v>15556</v>
      </c>
    </row>
    <row r="840" spans="1:29" x14ac:dyDescent="0.35">
      <c r="A840" t="s">
        <v>1242</v>
      </c>
      <c r="B840" s="60">
        <v>2.1709999999999998</v>
      </c>
      <c r="C840" s="60">
        <v>1.843</v>
      </c>
      <c r="D840" s="60">
        <v>2.4510000000000001</v>
      </c>
      <c r="E840" s="60">
        <v>1.9870000000000001</v>
      </c>
      <c r="F840" s="60">
        <v>0.873</v>
      </c>
      <c r="G840" s="3">
        <v>0.58599999999999997</v>
      </c>
      <c r="H840" s="3">
        <v>0.434</v>
      </c>
      <c r="I840" s="3">
        <v>0.29799999999999999</v>
      </c>
      <c r="J840" s="3">
        <v>5.2999999999999999E-2</v>
      </c>
      <c r="K840" s="60">
        <v>0.52</v>
      </c>
      <c r="L840" s="60">
        <v>0.54100000000000004</v>
      </c>
      <c r="M840" s="60">
        <v>0.52400000000000002</v>
      </c>
      <c r="N840" s="60">
        <v>0.45900000000000002</v>
      </c>
      <c r="O840" s="3">
        <v>0</v>
      </c>
      <c r="P840" s="3">
        <v>3.0000000000000001E-3</v>
      </c>
      <c r="Q840" s="3">
        <v>0</v>
      </c>
      <c r="R840" s="3">
        <v>4.0000000000000001E-3</v>
      </c>
      <c r="S840" s="3">
        <v>7.0000000000000001E-3</v>
      </c>
      <c r="T840" s="3">
        <v>0.82099999999999995</v>
      </c>
      <c r="U840" s="3">
        <v>0.63200000000000001</v>
      </c>
      <c r="V840" s="3">
        <v>0.185</v>
      </c>
      <c r="W840" s="3">
        <v>0.156</v>
      </c>
      <c r="X840" s="3">
        <v>1E-3</v>
      </c>
      <c r="Y840" s="3">
        <v>0</v>
      </c>
      <c r="Z840" s="3">
        <v>0</v>
      </c>
      <c r="AA840" s="3">
        <v>4.0000000000000001E-3</v>
      </c>
      <c r="AB840" s="3">
        <v>0.84399999999999997</v>
      </c>
      <c r="AC840" s="3">
        <v>1.2290000000000001</v>
      </c>
    </row>
    <row r="841" spans="1:29" x14ac:dyDescent="0.35">
      <c r="A841" t="s">
        <v>1243</v>
      </c>
      <c r="B841" s="6">
        <v>12768</v>
      </c>
      <c r="C841" s="6">
        <v>12619</v>
      </c>
      <c r="D841" s="6">
        <v>18280</v>
      </c>
      <c r="E841" s="6">
        <v>16173</v>
      </c>
      <c r="F841" s="6">
        <v>6770</v>
      </c>
      <c r="G841" s="6">
        <v>4493</v>
      </c>
      <c r="H841" s="6">
        <v>3179</v>
      </c>
      <c r="I841" s="6">
        <v>2853</v>
      </c>
      <c r="J841">
        <v>460</v>
      </c>
      <c r="K841" s="6">
        <v>5362</v>
      </c>
      <c r="L841" s="6">
        <v>5672</v>
      </c>
      <c r="M841" s="6">
        <v>5485</v>
      </c>
      <c r="N841" s="6">
        <v>4892</v>
      </c>
      <c r="O841">
        <v>0</v>
      </c>
      <c r="P841">
        <v>18</v>
      </c>
      <c r="Q841">
        <v>0</v>
      </c>
      <c r="R841">
        <v>29</v>
      </c>
      <c r="S841">
        <v>51</v>
      </c>
      <c r="T841" s="6">
        <v>7017</v>
      </c>
      <c r="U841" s="6">
        <v>5334</v>
      </c>
      <c r="V841" s="6">
        <v>1367</v>
      </c>
      <c r="W841" s="6">
        <v>1131</v>
      </c>
      <c r="X841">
        <v>4</v>
      </c>
      <c r="Y841">
        <v>0</v>
      </c>
      <c r="Z841">
        <v>2</v>
      </c>
      <c r="AA841">
        <v>28</v>
      </c>
      <c r="AB841" s="6">
        <v>5744</v>
      </c>
      <c r="AC841" s="6">
        <v>8577</v>
      </c>
    </row>
    <row r="842" spans="1:29" x14ac:dyDescent="0.35">
      <c r="A842" t="s">
        <v>1244</v>
      </c>
      <c r="B842" s="6">
        <v>5881</v>
      </c>
      <c r="C842" s="6">
        <v>6848</v>
      </c>
      <c r="D842" s="6">
        <v>7458</v>
      </c>
      <c r="E842" s="6">
        <v>8138</v>
      </c>
      <c r="F842" s="6">
        <v>7753</v>
      </c>
      <c r="G842" s="6">
        <v>7666</v>
      </c>
      <c r="H842" s="6">
        <v>7328</v>
      </c>
      <c r="I842" s="6">
        <v>9579</v>
      </c>
      <c r="J842" s="6">
        <v>8734</v>
      </c>
      <c r="K842" s="6">
        <v>10301</v>
      </c>
      <c r="L842" s="6">
        <v>10481</v>
      </c>
      <c r="M842" s="6">
        <v>10469</v>
      </c>
      <c r="N842" s="6">
        <v>10668</v>
      </c>
      <c r="O842" s="6">
        <v>7814</v>
      </c>
      <c r="P842" s="6">
        <v>5896</v>
      </c>
      <c r="Q842" s="6">
        <v>6922</v>
      </c>
      <c r="R842" s="6">
        <v>7528</v>
      </c>
      <c r="S842" s="6">
        <v>7614</v>
      </c>
      <c r="T842" s="6">
        <v>8546</v>
      </c>
      <c r="U842" s="6">
        <v>8445</v>
      </c>
      <c r="V842" s="6">
        <v>7399</v>
      </c>
      <c r="W842" s="6">
        <v>7238</v>
      </c>
      <c r="X842" s="6">
        <v>6698</v>
      </c>
      <c r="Y842" s="6">
        <v>6655</v>
      </c>
      <c r="Z842" s="6">
        <v>7041</v>
      </c>
      <c r="AA842" s="6">
        <v>6415</v>
      </c>
      <c r="AB842" s="6">
        <v>6809</v>
      </c>
      <c r="AC842" s="6">
        <v>6979</v>
      </c>
    </row>
    <row r="843" spans="1:29" x14ac:dyDescent="0.35">
      <c r="A843" t="s">
        <v>1245</v>
      </c>
      <c r="B843" s="7">
        <v>1.83</v>
      </c>
      <c r="C843" s="7">
        <v>1.88</v>
      </c>
      <c r="D843" s="7">
        <v>1.84</v>
      </c>
      <c r="E843" s="7">
        <v>1.9</v>
      </c>
      <c r="F843" s="7">
        <v>1.91</v>
      </c>
      <c r="G843" s="7">
        <v>2.48</v>
      </c>
      <c r="H843" s="7">
        <v>2.5299999999999998</v>
      </c>
      <c r="I843" s="7">
        <v>2.46</v>
      </c>
      <c r="J843" s="7">
        <v>2.48</v>
      </c>
      <c r="K843" s="7">
        <v>2.15</v>
      </c>
      <c r="L843" s="7">
        <v>2.14</v>
      </c>
      <c r="M843" s="7">
        <v>2.14</v>
      </c>
      <c r="N843" s="7">
        <v>2.15</v>
      </c>
      <c r="O843" s="7">
        <v>3.12</v>
      </c>
      <c r="P843" s="7">
        <v>3.13</v>
      </c>
      <c r="Q843" s="7">
        <v>3.13</v>
      </c>
      <c r="R843" s="7">
        <v>3.13</v>
      </c>
      <c r="S843" s="7">
        <v>3.13</v>
      </c>
      <c r="T843" s="7">
        <v>2.02</v>
      </c>
      <c r="U843" s="7">
        <v>2.0099999999999998</v>
      </c>
      <c r="V843" s="7">
        <v>2.91</v>
      </c>
      <c r="W843" s="7">
        <v>2.94</v>
      </c>
      <c r="X843" s="7">
        <v>3.13</v>
      </c>
      <c r="Y843" s="7">
        <v>3.13</v>
      </c>
      <c r="Z843" s="7">
        <v>3.14</v>
      </c>
      <c r="AA843" s="7">
        <v>3.13</v>
      </c>
      <c r="AB843" s="7">
        <v>2.12</v>
      </c>
      <c r="AC843" s="7">
        <v>2.08</v>
      </c>
    </row>
    <row r="844" spans="1:29" x14ac:dyDescent="0.35">
      <c r="B844" s="6">
        <f>SUM(B842:F842)</f>
        <v>36078</v>
      </c>
      <c r="C844" s="6">
        <f>SUM(B841:F841)</f>
        <v>66610</v>
      </c>
      <c r="K844" s="6">
        <f>SUM(K842:N842)</f>
        <v>41919</v>
      </c>
      <c r="L844" s="6">
        <f>SUM(K841:N841)</f>
        <v>21411</v>
      </c>
      <c r="T844" s="6">
        <f>SUM(T842:U842)</f>
        <v>16991</v>
      </c>
      <c r="U844" s="6">
        <f>SUM(T841:U841)</f>
        <v>12351</v>
      </c>
    </row>
    <row r="845" spans="1:29" x14ac:dyDescent="0.35">
      <c r="A845" t="s">
        <v>1240</v>
      </c>
      <c r="B845" s="72">
        <v>46026</v>
      </c>
      <c r="C845" s="72">
        <v>46033</v>
      </c>
      <c r="D845" s="72">
        <v>46040</v>
      </c>
      <c r="E845" s="72">
        <v>46047</v>
      </c>
      <c r="F845" s="72">
        <v>46054</v>
      </c>
      <c r="G845" s="5">
        <v>46061</v>
      </c>
      <c r="H845" s="5">
        <v>46068</v>
      </c>
      <c r="I845" s="5">
        <v>46075</v>
      </c>
      <c r="J845" s="5">
        <v>46082</v>
      </c>
      <c r="K845" s="72">
        <v>46089</v>
      </c>
      <c r="L845" s="72">
        <v>46096</v>
      </c>
      <c r="M845" s="72">
        <v>46103</v>
      </c>
      <c r="N845" s="72">
        <v>46110</v>
      </c>
      <c r="O845" s="5">
        <v>46117</v>
      </c>
      <c r="P845" s="5">
        <v>46124</v>
      </c>
      <c r="Q845" s="5">
        <v>46131</v>
      </c>
      <c r="R845" s="5">
        <v>46138</v>
      </c>
      <c r="S845" s="5">
        <v>46145</v>
      </c>
      <c r="T845" s="5">
        <v>46152</v>
      </c>
      <c r="U845" s="5">
        <v>46159</v>
      </c>
      <c r="V845" s="5">
        <v>46166</v>
      </c>
      <c r="W845" s="5">
        <v>46173</v>
      </c>
      <c r="X845" s="5">
        <v>46180</v>
      </c>
      <c r="Y845" s="5">
        <v>46187</v>
      </c>
      <c r="Z845" s="5">
        <v>46194</v>
      </c>
      <c r="AA845" s="5">
        <v>46201</v>
      </c>
      <c r="AB845" s="5">
        <v>46208</v>
      </c>
      <c r="AC845" s="5">
        <v>46215</v>
      </c>
    </row>
    <row r="846" spans="1:29" x14ac:dyDescent="0.35">
      <c r="A846" t="s">
        <v>1242</v>
      </c>
      <c r="B846" s="60">
        <v>2.1709999999999998</v>
      </c>
      <c r="C846" s="60">
        <v>1.843</v>
      </c>
      <c r="D846" s="60">
        <v>2.4510000000000001</v>
      </c>
      <c r="E846" s="60">
        <v>1.9870000000000001</v>
      </c>
      <c r="F846" s="60">
        <v>0.873</v>
      </c>
      <c r="G846" s="3">
        <v>0.58599999999999997</v>
      </c>
      <c r="H846" s="3">
        <v>0.434</v>
      </c>
      <c r="I846" s="3">
        <v>0.29799999999999999</v>
      </c>
      <c r="J846" s="3">
        <v>5.2999999999999999E-2</v>
      </c>
      <c r="K846" s="60">
        <v>0.52</v>
      </c>
      <c r="L846" s="60">
        <v>0.54100000000000004</v>
      </c>
      <c r="M846" s="60">
        <v>0.52400000000000002</v>
      </c>
      <c r="N846" s="60">
        <v>0.45900000000000002</v>
      </c>
      <c r="O846" s="3">
        <v>0</v>
      </c>
      <c r="P846" s="3">
        <v>3.0000000000000001E-3</v>
      </c>
      <c r="Q846" s="3">
        <v>0</v>
      </c>
      <c r="R846" s="3">
        <v>4.0000000000000001E-3</v>
      </c>
      <c r="S846" s="3">
        <v>7.0000000000000001E-3</v>
      </c>
      <c r="T846" s="3">
        <v>0.82099999999999995</v>
      </c>
      <c r="U846" s="3">
        <v>0.63200000000000001</v>
      </c>
      <c r="V846" s="3">
        <v>0.185</v>
      </c>
      <c r="W846" s="3">
        <v>0.156</v>
      </c>
      <c r="X846" s="3">
        <v>1E-3</v>
      </c>
      <c r="Y846" s="3">
        <v>0</v>
      </c>
      <c r="Z846" s="3">
        <v>0</v>
      </c>
      <c r="AA846" s="3">
        <v>4.0000000000000001E-3</v>
      </c>
      <c r="AB846" s="3">
        <v>0.84399999999999997</v>
      </c>
      <c r="AC846" s="3">
        <v>1.2290000000000001</v>
      </c>
    </row>
    <row r="847" spans="1:29" x14ac:dyDescent="0.35">
      <c r="A847" t="s">
        <v>1247</v>
      </c>
      <c r="B847" s="60">
        <v>0.40200000000000002</v>
      </c>
      <c r="C847" s="60">
        <v>0.375</v>
      </c>
      <c r="D847" s="60">
        <v>0.39600000000000002</v>
      </c>
      <c r="E847" s="60">
        <v>0.36199999999999999</v>
      </c>
      <c r="F847" s="60">
        <v>0.33900000000000002</v>
      </c>
      <c r="G847" s="3">
        <v>0.16400000000000001</v>
      </c>
      <c r="H847" s="3">
        <v>0.13600000000000001</v>
      </c>
      <c r="I847" s="3">
        <v>5.1999999999999998E-2</v>
      </c>
      <c r="J847" s="3">
        <v>1.7999999999999999E-2</v>
      </c>
      <c r="K847" s="60">
        <v>0.14499999999999999</v>
      </c>
      <c r="L847" s="60">
        <v>0.14299999999999999</v>
      </c>
      <c r="M847" s="60">
        <v>0.14199999999999999</v>
      </c>
      <c r="N847" s="60">
        <v>0.14099999999999999</v>
      </c>
      <c r="O847" s="3">
        <v>-1.9E-2</v>
      </c>
      <c r="P847" s="3">
        <v>2E-3</v>
      </c>
      <c r="Q847" s="3">
        <v>-4.0000000000000001E-3</v>
      </c>
      <c r="R847" s="3">
        <v>-4.0000000000000001E-3</v>
      </c>
      <c r="S847" s="3">
        <v>3.2000000000000001E-2</v>
      </c>
      <c r="T847" s="3">
        <v>0.32100000000000001</v>
      </c>
      <c r="U847" s="3">
        <v>0.29399999999999998</v>
      </c>
      <c r="V847" s="3">
        <v>5.2999999999999999E-2</v>
      </c>
      <c r="W847" s="3">
        <v>5.8999999999999997E-2</v>
      </c>
      <c r="X847" s="3">
        <v>6.0999999999999999E-2</v>
      </c>
      <c r="Y847" s="3">
        <v>0</v>
      </c>
      <c r="Z847" s="3">
        <v>2.1999999999999999E-2</v>
      </c>
      <c r="AA847" s="3">
        <v>0.124</v>
      </c>
      <c r="AB847" s="3">
        <v>0.27800000000000002</v>
      </c>
      <c r="AC847" s="3">
        <v>0.30599999999999999</v>
      </c>
    </row>
    <row r="848" spans="1:29" x14ac:dyDescent="0.35">
      <c r="A848" t="s">
        <v>1248</v>
      </c>
      <c r="B848" s="7">
        <v>1.23</v>
      </c>
      <c r="C848" s="7">
        <v>1.1200000000000001</v>
      </c>
      <c r="D848" s="7">
        <v>1.2</v>
      </c>
      <c r="E848" s="7">
        <v>1.08</v>
      </c>
      <c r="F848" s="7">
        <v>0.97</v>
      </c>
      <c r="G848" s="7">
        <v>0.48</v>
      </c>
      <c r="H848" s="7">
        <v>0.4</v>
      </c>
      <c r="I848" s="7">
        <v>0.14000000000000001</v>
      </c>
      <c r="J848" s="7">
        <v>0.04</v>
      </c>
      <c r="K848" s="7">
        <v>0.36</v>
      </c>
      <c r="L848" s="7">
        <v>0.35</v>
      </c>
      <c r="M848" s="7">
        <v>0.35</v>
      </c>
      <c r="N848" s="7">
        <v>0.34</v>
      </c>
      <c r="O848" s="7">
        <v>-0.06</v>
      </c>
      <c r="P848" s="7">
        <v>0.01</v>
      </c>
      <c r="Q848" s="7">
        <v>-0.01</v>
      </c>
      <c r="R848" s="7">
        <v>-0.01</v>
      </c>
      <c r="S848" s="7">
        <v>0.1</v>
      </c>
      <c r="T848" s="7">
        <v>0.95</v>
      </c>
      <c r="U848" s="7">
        <v>0.83</v>
      </c>
      <c r="V848" s="7">
        <v>0.16</v>
      </c>
      <c r="W848" s="7">
        <v>0.18</v>
      </c>
      <c r="X848" s="7">
        <v>0.19</v>
      </c>
      <c r="Y848" s="7">
        <v>0</v>
      </c>
      <c r="Z848" s="7">
        <v>7.0000000000000007E-2</v>
      </c>
      <c r="AA848" s="7">
        <v>0.39</v>
      </c>
      <c r="AB848" s="7">
        <v>0.82</v>
      </c>
      <c r="AC848" s="7">
        <v>0.91</v>
      </c>
    </row>
    <row r="849" spans="1:29" x14ac:dyDescent="0.35">
      <c r="A849" t="s">
        <v>1249</v>
      </c>
      <c r="B849" s="7">
        <v>1.83</v>
      </c>
      <c r="C849" s="7">
        <v>1.87</v>
      </c>
      <c r="D849" s="7">
        <v>1.84</v>
      </c>
      <c r="E849" s="7">
        <v>1.89</v>
      </c>
      <c r="F849" s="7">
        <v>1.89</v>
      </c>
      <c r="G849" s="7">
        <v>2.46</v>
      </c>
      <c r="H849" s="7">
        <v>2.5099999999999998</v>
      </c>
      <c r="I849" s="7">
        <v>2.46</v>
      </c>
      <c r="J849" s="7">
        <v>2.48</v>
      </c>
      <c r="K849" s="7">
        <v>2.11</v>
      </c>
      <c r="L849" s="7">
        <v>2.1</v>
      </c>
      <c r="M849" s="7">
        <v>2.09</v>
      </c>
      <c r="N849" s="7">
        <v>2.09</v>
      </c>
      <c r="O849" s="7">
        <v>3.18</v>
      </c>
      <c r="P849" s="7">
        <v>3.13</v>
      </c>
      <c r="Q849" s="7">
        <v>3.14</v>
      </c>
      <c r="R849" s="7">
        <v>3.14</v>
      </c>
      <c r="S849" s="7">
        <v>3.03</v>
      </c>
      <c r="T849" s="7">
        <v>2.0099999999999998</v>
      </c>
      <c r="U849" s="7">
        <v>1.98</v>
      </c>
      <c r="V849" s="7">
        <v>2.86</v>
      </c>
      <c r="W849" s="7">
        <v>2.87</v>
      </c>
      <c r="X849" s="7">
        <v>2.94</v>
      </c>
      <c r="Y849" s="7">
        <v>3.13</v>
      </c>
      <c r="Z849" s="7">
        <v>3.07</v>
      </c>
      <c r="AA849" s="7">
        <v>2.74</v>
      </c>
      <c r="AB849" s="7">
        <v>2.12</v>
      </c>
      <c r="AC849" s="7">
        <v>2.08</v>
      </c>
    </row>
    <row r="850" spans="1:29" x14ac:dyDescent="0.35">
      <c r="A850" t="s">
        <v>1250</v>
      </c>
      <c r="B850" s="7">
        <v>3.06</v>
      </c>
      <c r="C850" s="7">
        <v>2.99</v>
      </c>
      <c r="D850" s="7">
        <v>3.04</v>
      </c>
      <c r="E850" s="7">
        <v>2.97</v>
      </c>
      <c r="F850" s="7">
        <v>2.86</v>
      </c>
      <c r="G850" s="7">
        <v>2.94</v>
      </c>
      <c r="H850" s="7">
        <v>2.91</v>
      </c>
      <c r="I850" s="7">
        <v>2.59</v>
      </c>
      <c r="J850" s="7">
        <v>2.5299999999999998</v>
      </c>
      <c r="K850" s="7">
        <v>2.46</v>
      </c>
      <c r="L850" s="7">
        <v>2.44</v>
      </c>
      <c r="M850" s="7">
        <v>2.44</v>
      </c>
      <c r="N850" s="7">
        <v>2.44</v>
      </c>
      <c r="O850" s="7">
        <v>3.12</v>
      </c>
      <c r="P850" s="7">
        <v>3.13</v>
      </c>
      <c r="Q850" s="7">
        <v>3.13</v>
      </c>
      <c r="R850" s="7">
        <v>3.13</v>
      </c>
      <c r="S850" s="7">
        <v>3.13</v>
      </c>
      <c r="T850" s="7">
        <v>2.95</v>
      </c>
      <c r="U850" s="7">
        <v>2.81</v>
      </c>
      <c r="V850" s="7">
        <v>3.02</v>
      </c>
      <c r="W850" s="7">
        <v>3.05</v>
      </c>
      <c r="X850" s="7">
        <v>3.13</v>
      </c>
      <c r="Y850" s="7">
        <v>3.13</v>
      </c>
      <c r="Z850" s="7">
        <v>3.14</v>
      </c>
      <c r="AA850" s="7">
        <v>3.13</v>
      </c>
      <c r="AB850" s="7">
        <v>2.93</v>
      </c>
      <c r="AC850" s="7">
        <v>2.99</v>
      </c>
    </row>
    <row r="851" spans="1:29" x14ac:dyDescent="0.35">
      <c r="A851" t="s">
        <v>1245</v>
      </c>
      <c r="B851" s="7">
        <v>1.83</v>
      </c>
      <c r="C851" s="7">
        <v>1.88</v>
      </c>
      <c r="D851" s="7">
        <v>1.84</v>
      </c>
      <c r="E851" s="7">
        <v>1.9</v>
      </c>
      <c r="F851" s="7">
        <v>1.91</v>
      </c>
      <c r="G851" s="7">
        <v>2.48</v>
      </c>
      <c r="H851" s="7">
        <v>2.5299999999999998</v>
      </c>
      <c r="I851" s="7">
        <v>2.46</v>
      </c>
      <c r="J851" s="7">
        <v>2.48</v>
      </c>
      <c r="K851" s="7">
        <v>2.15</v>
      </c>
      <c r="L851" s="7">
        <v>2.14</v>
      </c>
      <c r="M851" s="7">
        <v>2.14</v>
      </c>
      <c r="N851" s="7">
        <v>2.15</v>
      </c>
      <c r="O851" s="7">
        <v>3.12</v>
      </c>
      <c r="P851" s="7">
        <v>3.13</v>
      </c>
      <c r="Q851" s="7">
        <v>3.13</v>
      </c>
      <c r="R851" s="7">
        <v>3.13</v>
      </c>
      <c r="S851" s="7">
        <v>3.13</v>
      </c>
      <c r="T851" s="7">
        <v>2.02</v>
      </c>
      <c r="U851" s="7">
        <v>2.0099999999999998</v>
      </c>
      <c r="V851" s="7">
        <v>2.91</v>
      </c>
      <c r="W851" s="7">
        <v>2.94</v>
      </c>
      <c r="X851" s="7">
        <v>3.13</v>
      </c>
      <c r="Y851" s="7">
        <v>3.13</v>
      </c>
      <c r="Z851" s="7">
        <v>3.14</v>
      </c>
      <c r="AA851" s="7">
        <v>3.13</v>
      </c>
      <c r="AB851" s="7">
        <v>2.12</v>
      </c>
      <c r="AC851" s="7">
        <v>2.08</v>
      </c>
    </row>
    <row r="853" spans="1:29" s="79" customFormat="1" x14ac:dyDescent="0.35"/>
    <row r="854" spans="1:29" s="51" customFormat="1" x14ac:dyDescent="0.35">
      <c r="A854" s="51" t="s">
        <v>31</v>
      </c>
    </row>
    <row r="855" spans="1:29" x14ac:dyDescent="0.35">
      <c r="A855" t="s">
        <v>1240</v>
      </c>
      <c r="B855" s="5">
        <v>46026</v>
      </c>
      <c r="C855" s="5">
        <v>46033</v>
      </c>
      <c r="D855" s="5">
        <v>46040</v>
      </c>
      <c r="E855" s="5">
        <v>46047</v>
      </c>
      <c r="F855" s="5">
        <v>46054</v>
      </c>
      <c r="G855" s="5">
        <v>46061</v>
      </c>
      <c r="H855" s="5">
        <v>46068</v>
      </c>
      <c r="I855" s="5">
        <v>46075</v>
      </c>
      <c r="J855" s="5">
        <v>46082</v>
      </c>
      <c r="K855" s="84">
        <v>46089</v>
      </c>
      <c r="L855" s="84">
        <v>46096</v>
      </c>
      <c r="M855" s="84">
        <v>46103</v>
      </c>
      <c r="N855" s="84">
        <v>46110</v>
      </c>
      <c r="O855" s="5">
        <v>46117</v>
      </c>
      <c r="P855" s="5">
        <v>46124</v>
      </c>
      <c r="Q855" s="5">
        <v>46131</v>
      </c>
      <c r="R855" s="5">
        <v>46138</v>
      </c>
      <c r="S855" s="5">
        <v>46145</v>
      </c>
      <c r="T855" s="84">
        <v>46152</v>
      </c>
      <c r="U855" s="84">
        <v>46159</v>
      </c>
      <c r="V855" s="84">
        <v>46166</v>
      </c>
      <c r="W855" s="84">
        <v>46173</v>
      </c>
      <c r="X855" s="5">
        <v>46180</v>
      </c>
      <c r="Y855" s="5">
        <v>46187</v>
      </c>
      <c r="Z855" s="5">
        <v>46194</v>
      </c>
      <c r="AA855" s="5">
        <v>46201</v>
      </c>
      <c r="AB855" s="5">
        <v>46208</v>
      </c>
      <c r="AC855" s="5">
        <v>46215</v>
      </c>
    </row>
    <row r="856" spans="1:29" x14ac:dyDescent="0.35">
      <c r="A856" t="s">
        <v>1241</v>
      </c>
      <c r="B856" s="6">
        <v>1128</v>
      </c>
      <c r="C856" s="6">
        <v>1848</v>
      </c>
      <c r="D856" s="6">
        <v>2253</v>
      </c>
      <c r="E856" s="6">
        <v>1880</v>
      </c>
      <c r="F856" s="6">
        <v>1893</v>
      </c>
      <c r="G856" s="6">
        <v>1885</v>
      </c>
      <c r="H856" s="6">
        <v>2044</v>
      </c>
      <c r="I856" s="6">
        <v>1820</v>
      </c>
      <c r="J856" s="6">
        <v>1698</v>
      </c>
      <c r="K856" s="89">
        <v>1796</v>
      </c>
      <c r="L856" s="89">
        <v>1871</v>
      </c>
      <c r="M856" s="89">
        <v>1781</v>
      </c>
      <c r="N856" s="89">
        <v>1631</v>
      </c>
      <c r="O856" s="6">
        <v>1632</v>
      </c>
      <c r="P856" s="6">
        <v>1248</v>
      </c>
      <c r="Q856" s="6">
        <v>1109</v>
      </c>
      <c r="R856" s="6">
        <v>1230</v>
      </c>
      <c r="S856" s="6">
        <v>1209</v>
      </c>
      <c r="T856" s="6">
        <v>1456</v>
      </c>
      <c r="U856" s="6">
        <v>1308</v>
      </c>
      <c r="V856" s="6">
        <v>1295</v>
      </c>
      <c r="W856" s="6">
        <v>1374</v>
      </c>
      <c r="X856">
        <v>961</v>
      </c>
      <c r="Y856">
        <v>982</v>
      </c>
      <c r="Z856">
        <v>884</v>
      </c>
      <c r="AA856">
        <v>848</v>
      </c>
      <c r="AB856">
        <v>825</v>
      </c>
      <c r="AC856">
        <v>816</v>
      </c>
    </row>
    <row r="857" spans="1:29" x14ac:dyDescent="0.35">
      <c r="A857" t="s">
        <v>1242</v>
      </c>
      <c r="B857" s="3">
        <v>0.38300000000000001</v>
      </c>
      <c r="C857" s="3">
        <v>0.45100000000000001</v>
      </c>
      <c r="D857" s="3">
        <v>0.44700000000000001</v>
      </c>
      <c r="E857" s="3">
        <v>0.498</v>
      </c>
      <c r="F857" s="3">
        <v>0.56200000000000006</v>
      </c>
      <c r="G857" s="3">
        <v>0.49099999999999999</v>
      </c>
      <c r="H857" s="3">
        <v>0.71699999999999997</v>
      </c>
      <c r="I857" s="3">
        <v>0.69399999999999995</v>
      </c>
      <c r="J857" s="3">
        <v>0.40300000000000002</v>
      </c>
      <c r="K857" s="85">
        <v>0.41199999999999998</v>
      </c>
      <c r="L857" s="85">
        <v>0.187</v>
      </c>
      <c r="M857" s="85">
        <v>0.41499999999999998</v>
      </c>
      <c r="N857" s="85">
        <v>0.371</v>
      </c>
      <c r="O857" s="3">
        <v>0.36</v>
      </c>
      <c r="P857" s="3">
        <v>2.1999999999999999E-2</v>
      </c>
      <c r="Q857" s="3">
        <v>0</v>
      </c>
      <c r="R857" s="3">
        <v>0</v>
      </c>
      <c r="S857" s="3">
        <v>0</v>
      </c>
      <c r="T857" s="3">
        <v>0.30099999999999999</v>
      </c>
      <c r="U857" s="3">
        <v>0</v>
      </c>
      <c r="V857" s="3">
        <v>0.36099999999999999</v>
      </c>
      <c r="W857" s="3">
        <v>0.35699999999999998</v>
      </c>
      <c r="X857" s="3">
        <v>9.4E-2</v>
      </c>
      <c r="Y857" s="3">
        <v>0</v>
      </c>
      <c r="Z857" s="3">
        <v>0</v>
      </c>
      <c r="AA857" s="3">
        <v>0</v>
      </c>
      <c r="AB857" s="3">
        <v>0</v>
      </c>
      <c r="AC857" s="3">
        <v>1.2999999999999999E-2</v>
      </c>
    </row>
    <row r="858" spans="1:29" x14ac:dyDescent="0.35">
      <c r="A858" t="s">
        <v>1243</v>
      </c>
      <c r="B858">
        <v>312</v>
      </c>
      <c r="C858">
        <v>574</v>
      </c>
      <c r="D858">
        <v>696</v>
      </c>
      <c r="E858">
        <v>625</v>
      </c>
      <c r="F858">
        <v>681</v>
      </c>
      <c r="G858">
        <v>621</v>
      </c>
      <c r="H858">
        <v>853</v>
      </c>
      <c r="I858">
        <v>746</v>
      </c>
      <c r="J858">
        <v>488</v>
      </c>
      <c r="K858">
        <v>524</v>
      </c>
      <c r="L858">
        <v>295</v>
      </c>
      <c r="M858">
        <v>522</v>
      </c>
      <c r="N858">
        <v>442</v>
      </c>
      <c r="O858">
        <v>432</v>
      </c>
      <c r="P858">
        <v>27</v>
      </c>
      <c r="Q858">
        <v>0</v>
      </c>
      <c r="R858">
        <v>0</v>
      </c>
      <c r="S858">
        <v>0</v>
      </c>
      <c r="T858">
        <v>337</v>
      </c>
      <c r="U858">
        <v>0</v>
      </c>
      <c r="V858">
        <v>343</v>
      </c>
      <c r="W858">
        <v>361</v>
      </c>
      <c r="X858">
        <v>82</v>
      </c>
      <c r="Y858">
        <v>0</v>
      </c>
      <c r="Z858">
        <v>0</v>
      </c>
      <c r="AA858">
        <v>0</v>
      </c>
      <c r="AB858">
        <v>0</v>
      </c>
      <c r="AC858">
        <v>10</v>
      </c>
    </row>
    <row r="859" spans="1:29" x14ac:dyDescent="0.35">
      <c r="A859" t="s">
        <v>1244</v>
      </c>
      <c r="B859">
        <v>816</v>
      </c>
      <c r="C859" s="6">
        <v>1274</v>
      </c>
      <c r="D859" s="6">
        <v>1557</v>
      </c>
      <c r="E859" s="6">
        <v>1255</v>
      </c>
      <c r="F859" s="6">
        <v>1212</v>
      </c>
      <c r="G859" s="6">
        <v>1264</v>
      </c>
      <c r="H859" s="6">
        <v>1191</v>
      </c>
      <c r="I859" s="6">
        <v>1074</v>
      </c>
      <c r="J859" s="6">
        <v>1210</v>
      </c>
      <c r="K859" s="6">
        <v>1272</v>
      </c>
      <c r="L859" s="6">
        <v>1576</v>
      </c>
      <c r="M859" s="6">
        <v>1259</v>
      </c>
      <c r="N859" s="6">
        <v>1189</v>
      </c>
      <c r="O859" s="6">
        <v>1200</v>
      </c>
      <c r="P859" s="6">
        <v>1221</v>
      </c>
      <c r="Q859" s="6">
        <v>1109</v>
      </c>
      <c r="R859" s="6">
        <v>1230</v>
      </c>
      <c r="S859" s="6">
        <v>1209</v>
      </c>
      <c r="T859" s="6">
        <v>1120</v>
      </c>
      <c r="U859" s="6">
        <v>1308</v>
      </c>
      <c r="V859">
        <v>952</v>
      </c>
      <c r="W859" s="6">
        <v>1013</v>
      </c>
      <c r="X859">
        <v>879</v>
      </c>
      <c r="Y859">
        <v>982</v>
      </c>
      <c r="Z859">
        <v>884</v>
      </c>
      <c r="AA859">
        <v>848</v>
      </c>
      <c r="AB859">
        <v>825</v>
      </c>
      <c r="AC859">
        <v>806</v>
      </c>
    </row>
    <row r="860" spans="1:29" x14ac:dyDescent="0.35">
      <c r="A860" t="s">
        <v>1245</v>
      </c>
      <c r="B860" s="7">
        <v>2.66</v>
      </c>
      <c r="C860" s="7">
        <v>2.65</v>
      </c>
      <c r="D860" s="7">
        <v>2.67</v>
      </c>
      <c r="E860" s="7">
        <v>2.64</v>
      </c>
      <c r="F860" s="7">
        <v>2.61</v>
      </c>
      <c r="G860" s="7">
        <v>2.82</v>
      </c>
      <c r="H860" s="7">
        <v>2.72</v>
      </c>
      <c r="I860" s="7">
        <v>2.7</v>
      </c>
      <c r="J860" s="7">
        <v>2.8</v>
      </c>
      <c r="K860" s="7">
        <v>2.5499999999999998</v>
      </c>
      <c r="L860" s="7">
        <v>2.83</v>
      </c>
      <c r="M860" s="7">
        <v>2.5099999999999998</v>
      </c>
      <c r="N860" s="7">
        <v>2.5099999999999998</v>
      </c>
      <c r="O860" s="7">
        <v>2.5099999999999998</v>
      </c>
      <c r="P860" s="7">
        <v>3.13</v>
      </c>
      <c r="Q860" s="7">
        <v>3.29</v>
      </c>
      <c r="R860" s="7">
        <v>3.29</v>
      </c>
      <c r="S860" s="7">
        <v>3.29</v>
      </c>
      <c r="T860" s="7">
        <v>2.59</v>
      </c>
      <c r="U860" s="7">
        <v>3.01</v>
      </c>
      <c r="V860" s="7">
        <v>2.5</v>
      </c>
      <c r="W860" s="7">
        <v>2.5</v>
      </c>
      <c r="X860" s="7">
        <v>3.11</v>
      </c>
      <c r="Y860" s="7">
        <v>3.29</v>
      </c>
      <c r="Z860" s="7">
        <v>3.29</v>
      </c>
      <c r="AA860" s="7">
        <v>3.29</v>
      </c>
      <c r="AB860" s="7">
        <v>3.29</v>
      </c>
      <c r="AC860" s="7">
        <v>3.29</v>
      </c>
    </row>
    <row r="861" spans="1:29" x14ac:dyDescent="0.35">
      <c r="B861">
        <f>SUM(B859:F859)</f>
        <v>6114</v>
      </c>
      <c r="C861">
        <f>SUM(B858:F858)</f>
        <v>2888</v>
      </c>
      <c r="K861" s="6">
        <f>SUM(K859:N859)</f>
        <v>5296</v>
      </c>
      <c r="L861">
        <f>SUM(K858:N858)</f>
        <v>1783</v>
      </c>
      <c r="T861" s="6">
        <f>SUM(T859:W859)</f>
        <v>4393</v>
      </c>
      <c r="U861">
        <f>SUM(T858:W858)</f>
        <v>1041</v>
      </c>
    </row>
    <row r="862" spans="1:29" x14ac:dyDescent="0.35">
      <c r="A862" t="s">
        <v>1240</v>
      </c>
      <c r="B862" s="5">
        <v>46026</v>
      </c>
      <c r="C862" s="5">
        <v>46033</v>
      </c>
      <c r="D862" s="5">
        <v>46040</v>
      </c>
      <c r="E862" s="5">
        <v>46047</v>
      </c>
      <c r="F862" s="5">
        <v>46054</v>
      </c>
      <c r="G862" s="5">
        <v>46061</v>
      </c>
      <c r="H862" s="5">
        <v>46068</v>
      </c>
      <c r="I862" s="5">
        <v>46075</v>
      </c>
      <c r="J862" s="5">
        <v>46082</v>
      </c>
      <c r="K862" s="84">
        <v>46089</v>
      </c>
      <c r="L862" s="84">
        <v>46096</v>
      </c>
      <c r="M862" s="84">
        <v>46103</v>
      </c>
      <c r="N862" s="84">
        <v>46110</v>
      </c>
      <c r="O862" s="5">
        <v>46117</v>
      </c>
      <c r="P862" s="5">
        <v>46124</v>
      </c>
      <c r="Q862" s="5">
        <v>46131</v>
      </c>
      <c r="R862" s="5">
        <v>46138</v>
      </c>
      <c r="S862" s="5">
        <v>46145</v>
      </c>
      <c r="T862" s="84">
        <v>46152</v>
      </c>
      <c r="U862" s="84">
        <v>46159</v>
      </c>
      <c r="V862" s="84">
        <v>46166</v>
      </c>
      <c r="W862" s="84">
        <v>46173</v>
      </c>
      <c r="X862" s="5">
        <v>46180</v>
      </c>
      <c r="Y862" s="5">
        <v>46187</v>
      </c>
      <c r="Z862" s="5">
        <v>46194</v>
      </c>
      <c r="AA862" s="5">
        <v>46201</v>
      </c>
      <c r="AB862" s="5">
        <v>46208</v>
      </c>
      <c r="AC862" s="5">
        <v>46215</v>
      </c>
    </row>
    <row r="863" spans="1:29" x14ac:dyDescent="0.35">
      <c r="A863" t="s">
        <v>1242</v>
      </c>
      <c r="B863" s="3">
        <v>0.38300000000000001</v>
      </c>
      <c r="C863" s="3">
        <v>0.45100000000000001</v>
      </c>
      <c r="D863" s="3">
        <v>0.44700000000000001</v>
      </c>
      <c r="E863" s="3">
        <v>0.498</v>
      </c>
      <c r="F863" s="3">
        <v>0.56200000000000006</v>
      </c>
      <c r="G863" s="3">
        <v>0.49099999999999999</v>
      </c>
      <c r="H863" s="3">
        <v>0.71699999999999997</v>
      </c>
      <c r="I863" s="3">
        <v>0.69399999999999995</v>
      </c>
      <c r="J863" s="3">
        <v>0.40300000000000002</v>
      </c>
      <c r="K863" s="85">
        <v>0.41199999999999998</v>
      </c>
      <c r="L863" s="85">
        <v>0.187</v>
      </c>
      <c r="M863" s="85">
        <v>0.41499999999999998</v>
      </c>
      <c r="N863" s="85">
        <v>0.371</v>
      </c>
      <c r="O863" s="3">
        <v>0.36</v>
      </c>
      <c r="P863" s="3">
        <v>2.1999999999999999E-2</v>
      </c>
      <c r="Q863" s="3">
        <v>0</v>
      </c>
      <c r="R863" s="3">
        <v>0</v>
      </c>
      <c r="S863" s="3">
        <v>0</v>
      </c>
      <c r="T863" s="3">
        <v>0.30099999999999999</v>
      </c>
      <c r="U863" s="3">
        <v>0</v>
      </c>
      <c r="V863" s="3">
        <v>0.36099999999999999</v>
      </c>
      <c r="W863" s="3">
        <v>0.35699999999999998</v>
      </c>
      <c r="X863" s="3">
        <v>9.4E-2</v>
      </c>
      <c r="Y863" s="3">
        <v>0</v>
      </c>
      <c r="Z863" s="3">
        <v>0</v>
      </c>
      <c r="AA863" s="3">
        <v>0</v>
      </c>
      <c r="AB863" s="3">
        <v>0</v>
      </c>
      <c r="AC863" s="3">
        <v>1.2999999999999999E-2</v>
      </c>
    </row>
    <row r="864" spans="1:29" x14ac:dyDescent="0.35">
      <c r="A864" t="s">
        <v>1247</v>
      </c>
      <c r="B864" s="3">
        <v>0.125</v>
      </c>
      <c r="C864" s="3">
        <v>0.18099999999999999</v>
      </c>
      <c r="D864" s="3">
        <v>0.189</v>
      </c>
      <c r="E864" s="3">
        <v>0.186</v>
      </c>
      <c r="F864" s="3">
        <v>0.185</v>
      </c>
      <c r="G864" s="3">
        <v>0.11799999999999999</v>
      </c>
      <c r="H864" s="3">
        <v>0.127</v>
      </c>
      <c r="I864" s="3">
        <v>0.107</v>
      </c>
      <c r="J864" s="3">
        <v>5.8000000000000003E-2</v>
      </c>
      <c r="K864" s="85">
        <v>8.4000000000000005E-2</v>
      </c>
      <c r="L864" s="85">
        <v>8.7999999999999995E-2</v>
      </c>
      <c r="M864" s="85">
        <v>7.0000000000000007E-2</v>
      </c>
      <c r="N864" s="85">
        <v>7.0000000000000007E-2</v>
      </c>
      <c r="O864" s="3">
        <v>5.8999999999999997E-2</v>
      </c>
      <c r="P864" s="3">
        <v>0.13</v>
      </c>
      <c r="Q864" t="s">
        <v>1272</v>
      </c>
      <c r="R864" t="s">
        <v>1272</v>
      </c>
      <c r="S864" t="s">
        <v>1272</v>
      </c>
      <c r="T864" s="3">
        <v>9.0999999999999998E-2</v>
      </c>
      <c r="U864" t="s">
        <v>1272</v>
      </c>
      <c r="V864" s="3">
        <v>9.5000000000000001E-2</v>
      </c>
      <c r="W864" s="3">
        <v>0.112</v>
      </c>
      <c r="X864" s="3">
        <v>8.6999999999999994E-2</v>
      </c>
      <c r="Y864" t="s">
        <v>1272</v>
      </c>
      <c r="Z864" t="s">
        <v>1272</v>
      </c>
      <c r="AA864" t="s">
        <v>1272</v>
      </c>
      <c r="AB864" t="s">
        <v>1272</v>
      </c>
      <c r="AC864" s="3">
        <v>5.6000000000000001E-2</v>
      </c>
    </row>
    <row r="865" spans="1:33" x14ac:dyDescent="0.35">
      <c r="A865" t="s">
        <v>1248</v>
      </c>
      <c r="B865" s="7">
        <v>0.38</v>
      </c>
      <c r="C865" s="7">
        <v>0.55000000000000004</v>
      </c>
      <c r="D865" s="7">
        <v>0.57999999999999996</v>
      </c>
      <c r="E865" s="7">
        <v>0.56999999999999995</v>
      </c>
      <c r="F865" s="7">
        <v>0.56999999999999995</v>
      </c>
      <c r="G865" s="7">
        <v>0.37</v>
      </c>
      <c r="H865" s="7">
        <v>0.39</v>
      </c>
      <c r="I865" s="7">
        <v>0.32</v>
      </c>
      <c r="J865" s="7">
        <v>0.17</v>
      </c>
      <c r="K865" s="7">
        <v>0.23</v>
      </c>
      <c r="L865" s="7">
        <v>0.26</v>
      </c>
      <c r="M865" s="7">
        <v>0.19</v>
      </c>
      <c r="N865" s="7">
        <v>0.19</v>
      </c>
      <c r="O865" s="7">
        <v>0.16</v>
      </c>
      <c r="P865" s="7">
        <v>0.41</v>
      </c>
      <c r="Q865" t="s">
        <v>1272</v>
      </c>
      <c r="R865" t="s">
        <v>1272</v>
      </c>
      <c r="S865" t="s">
        <v>1272</v>
      </c>
      <c r="T865" s="7">
        <v>0.26</v>
      </c>
      <c r="U865" t="s">
        <v>1272</v>
      </c>
      <c r="V865" s="7">
        <v>0.26</v>
      </c>
      <c r="W865" s="7">
        <v>0.32</v>
      </c>
      <c r="X865" s="7">
        <v>0.28000000000000003</v>
      </c>
      <c r="Y865" t="s">
        <v>1272</v>
      </c>
      <c r="Z865" t="s">
        <v>1272</v>
      </c>
      <c r="AA865" t="s">
        <v>1272</v>
      </c>
      <c r="AB865" t="s">
        <v>1272</v>
      </c>
      <c r="AC865" s="7">
        <v>0.18</v>
      </c>
    </row>
    <row r="866" spans="1:33" x14ac:dyDescent="0.35">
      <c r="A866" t="s">
        <v>1249</v>
      </c>
      <c r="B866" s="87">
        <v>2.61</v>
      </c>
      <c r="C866" s="87">
        <v>2.5</v>
      </c>
      <c r="D866" s="87">
        <v>2.5</v>
      </c>
      <c r="E866" s="87">
        <v>2.5</v>
      </c>
      <c r="F866" s="87">
        <v>2.5</v>
      </c>
      <c r="G866" s="7">
        <v>2.75</v>
      </c>
      <c r="H866" s="7">
        <v>2.69</v>
      </c>
      <c r="I866" s="7">
        <v>2.69</v>
      </c>
      <c r="J866" s="7">
        <v>2.79</v>
      </c>
      <c r="K866" s="7">
        <v>2.5299999999999998</v>
      </c>
      <c r="L866" s="7">
        <v>2.66</v>
      </c>
      <c r="M866" s="7">
        <v>2.5</v>
      </c>
      <c r="N866" s="7">
        <v>2.5</v>
      </c>
      <c r="O866" s="7">
        <v>2.5</v>
      </c>
      <c r="P866" s="7">
        <v>2.74</v>
      </c>
      <c r="Q866" t="s">
        <v>1272</v>
      </c>
      <c r="R866" t="s">
        <v>1272</v>
      </c>
      <c r="S866" t="s">
        <v>1272</v>
      </c>
      <c r="T866" s="7">
        <v>2.56</v>
      </c>
      <c r="U866" t="s">
        <v>1272</v>
      </c>
      <c r="V866" s="7">
        <v>2.5</v>
      </c>
      <c r="W866" s="7">
        <v>2.5</v>
      </c>
      <c r="X866" s="7">
        <v>2.88</v>
      </c>
      <c r="Y866" t="s">
        <v>1272</v>
      </c>
      <c r="Z866" t="s">
        <v>1272</v>
      </c>
      <c r="AA866" t="s">
        <v>1272</v>
      </c>
      <c r="AB866" t="s">
        <v>1272</v>
      </c>
      <c r="AC866" s="7">
        <v>3.11</v>
      </c>
    </row>
    <row r="867" spans="1:33" x14ac:dyDescent="0.35">
      <c r="A867" t="s">
        <v>1250</v>
      </c>
      <c r="B867" s="7">
        <v>2.99</v>
      </c>
      <c r="C867" s="7">
        <v>3.05</v>
      </c>
      <c r="D867" s="7">
        <v>3.08</v>
      </c>
      <c r="E867" s="7">
        <v>3.07</v>
      </c>
      <c r="F867" s="7">
        <v>3.07</v>
      </c>
      <c r="G867" s="7">
        <v>3.11</v>
      </c>
      <c r="H867" s="7">
        <v>3.08</v>
      </c>
      <c r="I867" s="7">
        <v>3.02</v>
      </c>
      <c r="J867" s="7">
        <v>2.96</v>
      </c>
      <c r="K867" s="7">
        <v>2.76</v>
      </c>
      <c r="L867" s="7">
        <v>2.92</v>
      </c>
      <c r="M867" s="7">
        <v>2.69</v>
      </c>
      <c r="N867" s="7">
        <v>2.69</v>
      </c>
      <c r="O867" s="7">
        <v>2.66</v>
      </c>
      <c r="P867" s="7">
        <v>3.15</v>
      </c>
      <c r="Q867" s="7">
        <v>3.29</v>
      </c>
      <c r="R867" s="7">
        <v>3.29</v>
      </c>
      <c r="S867" s="7">
        <v>3.29</v>
      </c>
      <c r="T867" s="7">
        <v>2.81</v>
      </c>
      <c r="U867" s="7">
        <v>3.01</v>
      </c>
      <c r="V867" s="7">
        <v>2.76</v>
      </c>
      <c r="W867" s="7">
        <v>2.82</v>
      </c>
      <c r="X867" s="7">
        <v>3.15</v>
      </c>
      <c r="Y867" s="7">
        <v>3.29</v>
      </c>
      <c r="Z867" s="7">
        <v>3.29</v>
      </c>
      <c r="AA867" s="7">
        <v>3.29</v>
      </c>
      <c r="AB867" s="7">
        <v>3.29</v>
      </c>
      <c r="AC867" s="7">
        <v>3.29</v>
      </c>
    </row>
    <row r="868" spans="1:33" x14ac:dyDescent="0.35">
      <c r="A868" t="s">
        <v>1245</v>
      </c>
      <c r="B868" s="7">
        <v>2.66</v>
      </c>
      <c r="C868" s="7">
        <v>2.65</v>
      </c>
      <c r="D868" s="7">
        <v>2.67</v>
      </c>
      <c r="E868" s="7">
        <v>2.64</v>
      </c>
      <c r="F868" s="7">
        <v>2.61</v>
      </c>
      <c r="G868" s="7">
        <v>2.82</v>
      </c>
      <c r="H868" s="7">
        <v>2.72</v>
      </c>
      <c r="I868" s="7">
        <v>2.7</v>
      </c>
      <c r="J868" s="7">
        <v>2.8</v>
      </c>
      <c r="K868" s="7">
        <v>2.5499999999999998</v>
      </c>
      <c r="L868" s="7">
        <v>2.83</v>
      </c>
      <c r="M868" s="7">
        <v>2.5099999999999998</v>
      </c>
      <c r="N868" s="7">
        <v>2.5099999999999998</v>
      </c>
      <c r="O868" s="7">
        <v>2.5099999999999998</v>
      </c>
      <c r="P868" s="7">
        <v>3.13</v>
      </c>
      <c r="Q868" s="7">
        <v>3.29</v>
      </c>
      <c r="R868" s="7">
        <v>3.29</v>
      </c>
      <c r="S868" s="7">
        <v>3.29</v>
      </c>
      <c r="T868" s="7">
        <v>2.59</v>
      </c>
      <c r="U868" s="7">
        <v>3.01</v>
      </c>
      <c r="V868" s="7">
        <v>2.5</v>
      </c>
      <c r="W868" s="7">
        <v>2.5</v>
      </c>
      <c r="X868" s="7">
        <v>3.11</v>
      </c>
      <c r="Y868" s="7">
        <v>3.29</v>
      </c>
      <c r="Z868" s="7">
        <v>3.29</v>
      </c>
      <c r="AA868" s="7">
        <v>3.29</v>
      </c>
      <c r="AB868" s="7">
        <v>3.29</v>
      </c>
      <c r="AC868" s="7">
        <v>3.29</v>
      </c>
    </row>
    <row r="870" spans="1:33" s="79" customFormat="1" x14ac:dyDescent="0.35"/>
    <row r="872" spans="1:33" x14ac:dyDescent="0.35">
      <c r="A872" t="s">
        <v>1401</v>
      </c>
    </row>
    <row r="873" spans="1:33" x14ac:dyDescent="0.35">
      <c r="A873" t="s">
        <v>1240</v>
      </c>
      <c r="B873" s="72">
        <v>46026</v>
      </c>
      <c r="C873" s="72">
        <v>46033</v>
      </c>
      <c r="D873" s="72">
        <v>46040</v>
      </c>
      <c r="E873" s="72">
        <v>46047</v>
      </c>
      <c r="F873" s="72">
        <v>46054</v>
      </c>
      <c r="G873" s="5">
        <v>46061</v>
      </c>
      <c r="H873" s="5">
        <v>46068</v>
      </c>
      <c r="I873" s="5">
        <v>46075</v>
      </c>
      <c r="J873" s="5">
        <v>46082</v>
      </c>
      <c r="K873" s="5">
        <v>46089</v>
      </c>
      <c r="L873" s="5">
        <v>46096</v>
      </c>
      <c r="M873" s="5">
        <v>46103</v>
      </c>
      <c r="N873" s="5">
        <v>46110</v>
      </c>
      <c r="O873" s="5">
        <v>46117</v>
      </c>
      <c r="P873" s="72">
        <v>46124</v>
      </c>
      <c r="Q873" s="72">
        <v>46131</v>
      </c>
      <c r="R873" s="72">
        <v>46138</v>
      </c>
      <c r="S873" s="72">
        <v>46145</v>
      </c>
      <c r="T873" s="72">
        <v>46152</v>
      </c>
      <c r="U873" s="5">
        <v>46159</v>
      </c>
      <c r="V873" s="5">
        <v>46166</v>
      </c>
      <c r="W873" s="5">
        <v>46173</v>
      </c>
      <c r="X873" s="72">
        <v>46180</v>
      </c>
      <c r="Y873" s="5">
        <v>46187</v>
      </c>
      <c r="Z873" s="5">
        <v>46194</v>
      </c>
      <c r="AA873" s="5">
        <v>46201</v>
      </c>
      <c r="AB873" s="5">
        <v>46208</v>
      </c>
      <c r="AC873" s="5">
        <v>46215</v>
      </c>
      <c r="AD873" s="5">
        <v>46222</v>
      </c>
      <c r="AE873" s="5">
        <v>46229</v>
      </c>
      <c r="AF873" s="5">
        <v>46236</v>
      </c>
      <c r="AG873" s="5">
        <v>46243</v>
      </c>
    </row>
    <row r="874" spans="1:33" x14ac:dyDescent="0.35">
      <c r="A874" t="s">
        <v>1241</v>
      </c>
      <c r="B874" s="6">
        <v>7334</v>
      </c>
      <c r="C874" s="6">
        <v>8904</v>
      </c>
      <c r="D874" s="6">
        <v>9014</v>
      </c>
      <c r="E874" s="6">
        <v>9578</v>
      </c>
      <c r="F874" s="6">
        <v>7228</v>
      </c>
      <c r="G874" s="6">
        <v>6529</v>
      </c>
      <c r="H874" s="6">
        <v>5739</v>
      </c>
      <c r="I874" s="6">
        <v>6066</v>
      </c>
      <c r="J874" s="6">
        <v>6234</v>
      </c>
      <c r="K874" s="6">
        <v>7203</v>
      </c>
      <c r="L874" s="6">
        <v>6467</v>
      </c>
      <c r="M874" s="6">
        <v>6392</v>
      </c>
      <c r="N874" s="6">
        <v>6348</v>
      </c>
      <c r="O874" s="6">
        <v>6786</v>
      </c>
      <c r="P874" s="6">
        <v>8096</v>
      </c>
      <c r="Q874" s="6">
        <v>7716</v>
      </c>
      <c r="R874" s="6">
        <v>7843</v>
      </c>
      <c r="S874" s="6">
        <v>8087</v>
      </c>
      <c r="T874" s="6">
        <v>7262</v>
      </c>
      <c r="U874" s="6">
        <v>5043</v>
      </c>
      <c r="V874" s="6">
        <v>4530</v>
      </c>
      <c r="W874" s="6">
        <v>4161</v>
      </c>
      <c r="X874" s="58">
        <v>8193</v>
      </c>
      <c r="Y874" s="6">
        <v>4237</v>
      </c>
      <c r="Z874" s="6">
        <v>4037</v>
      </c>
      <c r="AA874" s="6">
        <v>3802</v>
      </c>
      <c r="AB874" s="6">
        <v>3550</v>
      </c>
      <c r="AC874" s="6">
        <v>3299</v>
      </c>
      <c r="AD874" s="6">
        <v>3637</v>
      </c>
      <c r="AE874" s="6">
        <v>6832</v>
      </c>
      <c r="AF874" s="6">
        <v>6201</v>
      </c>
      <c r="AG874" s="6">
        <v>5931</v>
      </c>
    </row>
    <row r="875" spans="1:33" x14ac:dyDescent="0.35">
      <c r="A875" t="s">
        <v>1242</v>
      </c>
      <c r="B875" s="3">
        <v>0.47499999999999998</v>
      </c>
      <c r="C875" s="3">
        <v>0.56499999999999995</v>
      </c>
      <c r="D875" s="3">
        <v>0.51300000000000001</v>
      </c>
      <c r="E875" s="3">
        <v>0.55400000000000005</v>
      </c>
      <c r="F875" s="3">
        <v>0.313</v>
      </c>
      <c r="G875" s="3">
        <v>3.3000000000000002E-2</v>
      </c>
      <c r="H875" s="3">
        <v>2E-3</v>
      </c>
      <c r="I875" s="3">
        <v>6.0000000000000001E-3</v>
      </c>
      <c r="J875" s="3">
        <v>5.0000000000000001E-3</v>
      </c>
      <c r="K875" s="3">
        <v>3.6999999999999998E-2</v>
      </c>
      <c r="L875" s="3">
        <v>2.7E-2</v>
      </c>
      <c r="M875" s="3">
        <v>0.05</v>
      </c>
      <c r="N875" s="3">
        <v>6.4000000000000001E-2</v>
      </c>
      <c r="O875" s="3">
        <v>9.0999999999999998E-2</v>
      </c>
      <c r="P875" s="60">
        <v>0.42399999999999999</v>
      </c>
      <c r="Q875" s="60">
        <v>0.4</v>
      </c>
      <c r="R875" s="60">
        <v>0.371</v>
      </c>
      <c r="S875" s="60">
        <v>0.40100000000000002</v>
      </c>
      <c r="T875" s="60">
        <v>0.32900000000000001</v>
      </c>
      <c r="U875" s="3">
        <v>1E-3</v>
      </c>
      <c r="V875" s="3">
        <v>1E-3</v>
      </c>
      <c r="W875" s="3">
        <v>0</v>
      </c>
      <c r="X875" s="60">
        <v>0.82399999999999995</v>
      </c>
      <c r="Y875" s="3">
        <v>7.0000000000000001E-3</v>
      </c>
      <c r="Z875" s="3">
        <v>1.4999999999999999E-2</v>
      </c>
      <c r="AA875" s="3">
        <v>1.7999999999999999E-2</v>
      </c>
      <c r="AB875" s="3">
        <v>0.02</v>
      </c>
      <c r="AC875" s="3">
        <v>2.5000000000000001E-2</v>
      </c>
      <c r="AD875" s="3">
        <v>8.9999999999999993E-3</v>
      </c>
      <c r="AE875" s="3">
        <v>0.97399999999999998</v>
      </c>
      <c r="AF875" s="3">
        <v>0.89100000000000001</v>
      </c>
      <c r="AG875" s="3">
        <v>0.85699999999999998</v>
      </c>
    </row>
    <row r="876" spans="1:33" x14ac:dyDescent="0.35">
      <c r="A876" t="s">
        <v>1243</v>
      </c>
      <c r="B876" s="6">
        <v>2361</v>
      </c>
      <c r="C876" s="6">
        <v>3216</v>
      </c>
      <c r="D876" s="6">
        <v>3056</v>
      </c>
      <c r="E876" s="6">
        <v>3414</v>
      </c>
      <c r="F876" s="6">
        <v>1725</v>
      </c>
      <c r="G876">
        <v>206</v>
      </c>
      <c r="H876">
        <v>14</v>
      </c>
      <c r="I876">
        <v>36</v>
      </c>
      <c r="J876">
        <v>31</v>
      </c>
      <c r="K876">
        <v>258</v>
      </c>
      <c r="L876">
        <v>170</v>
      </c>
      <c r="M876">
        <v>304</v>
      </c>
      <c r="N876">
        <v>384</v>
      </c>
      <c r="O876">
        <v>566</v>
      </c>
      <c r="P876" s="6">
        <v>2412</v>
      </c>
      <c r="Q876" s="6">
        <v>2205</v>
      </c>
      <c r="R876" s="6">
        <v>2123</v>
      </c>
      <c r="S876" s="6">
        <v>2313</v>
      </c>
      <c r="T876" s="6">
        <v>1799</v>
      </c>
      <c r="U876">
        <v>6</v>
      </c>
      <c r="V876">
        <v>6</v>
      </c>
      <c r="W876">
        <v>1</v>
      </c>
      <c r="X876" s="58">
        <v>3702</v>
      </c>
      <c r="Y876">
        <v>30</v>
      </c>
      <c r="Z876">
        <v>60</v>
      </c>
      <c r="AA876">
        <v>67</v>
      </c>
      <c r="AB876">
        <v>71</v>
      </c>
      <c r="AC876">
        <v>82</v>
      </c>
      <c r="AD876">
        <v>34</v>
      </c>
      <c r="AE876" s="6">
        <v>3371</v>
      </c>
      <c r="AF876" s="6">
        <v>2922</v>
      </c>
      <c r="AG876" s="6">
        <v>2737</v>
      </c>
    </row>
    <row r="877" spans="1:33" x14ac:dyDescent="0.35">
      <c r="A877" t="s">
        <v>1244</v>
      </c>
      <c r="B877" s="6">
        <v>4973</v>
      </c>
      <c r="C877" s="6">
        <v>5688</v>
      </c>
      <c r="D877" s="6">
        <v>5957</v>
      </c>
      <c r="E877" s="6">
        <v>6164</v>
      </c>
      <c r="F877" s="6">
        <v>5503</v>
      </c>
      <c r="G877" s="6">
        <v>6323</v>
      </c>
      <c r="H877" s="6">
        <v>5725</v>
      </c>
      <c r="I877" s="6">
        <v>6030</v>
      </c>
      <c r="J877" s="6">
        <v>6203</v>
      </c>
      <c r="K877" s="6">
        <v>6945</v>
      </c>
      <c r="L877" s="6">
        <v>6298</v>
      </c>
      <c r="M877" s="6">
        <v>6088</v>
      </c>
      <c r="N877" s="6">
        <v>5964</v>
      </c>
      <c r="O877" s="6">
        <v>6220</v>
      </c>
      <c r="P877" s="6">
        <v>5684</v>
      </c>
      <c r="Q877" s="6">
        <v>5512</v>
      </c>
      <c r="R877" s="6">
        <v>5720</v>
      </c>
      <c r="S877" s="6">
        <v>5774</v>
      </c>
      <c r="T877" s="6">
        <v>5463</v>
      </c>
      <c r="U877" s="6">
        <v>5037</v>
      </c>
      <c r="V877" s="6">
        <v>4524</v>
      </c>
      <c r="W877" s="6">
        <v>4160</v>
      </c>
      <c r="X877" s="58">
        <v>4491</v>
      </c>
      <c r="Y877" s="6">
        <v>4207</v>
      </c>
      <c r="Z877" s="6">
        <v>3977</v>
      </c>
      <c r="AA877" s="6">
        <v>3735</v>
      </c>
      <c r="AB877" s="6">
        <v>3479</v>
      </c>
      <c r="AC877" s="6">
        <v>3218</v>
      </c>
      <c r="AD877" s="6">
        <v>3603</v>
      </c>
      <c r="AE877" s="6">
        <v>3462</v>
      </c>
      <c r="AF877" s="6">
        <v>3279</v>
      </c>
      <c r="AG877" s="6">
        <v>3195</v>
      </c>
    </row>
    <row r="878" spans="1:33" x14ac:dyDescent="0.35">
      <c r="A878" t="s">
        <v>1245</v>
      </c>
      <c r="B878" s="7">
        <v>2.0699999999999998</v>
      </c>
      <c r="C878" s="7">
        <v>2.06</v>
      </c>
      <c r="D878" s="7">
        <v>2.06</v>
      </c>
      <c r="E878" s="7">
        <v>2.0699999999999998</v>
      </c>
      <c r="F878" s="7">
        <v>2.06</v>
      </c>
      <c r="G878" s="7">
        <v>2.98</v>
      </c>
      <c r="H878" s="7">
        <v>2.99</v>
      </c>
      <c r="I878" s="7">
        <v>2.99</v>
      </c>
      <c r="J878" s="7">
        <v>2.99</v>
      </c>
      <c r="K878" s="7">
        <v>2.99</v>
      </c>
      <c r="L878" s="7">
        <v>2.98</v>
      </c>
      <c r="M878" s="7">
        <v>2.99</v>
      </c>
      <c r="N878" s="7">
        <v>2.99</v>
      </c>
      <c r="O878" s="7">
        <v>2.98</v>
      </c>
      <c r="P878" s="7">
        <v>2.54</v>
      </c>
      <c r="Q878" s="7">
        <v>2.54</v>
      </c>
      <c r="R878" s="7">
        <v>2.54</v>
      </c>
      <c r="S878" s="7">
        <v>2.5299999999999998</v>
      </c>
      <c r="T878" s="7">
        <v>2.5299999999999998</v>
      </c>
      <c r="U878" s="7">
        <v>2.99</v>
      </c>
      <c r="V878" s="7">
        <v>2.99</v>
      </c>
      <c r="W878" s="7">
        <v>2.99</v>
      </c>
      <c r="X878" s="59">
        <v>2.36</v>
      </c>
      <c r="Y878" s="7">
        <v>2.98</v>
      </c>
      <c r="Z878" s="7">
        <v>2.98</v>
      </c>
      <c r="AA878" s="7">
        <v>2.99</v>
      </c>
      <c r="AB878" s="7">
        <v>2.98</v>
      </c>
      <c r="AC878" s="7">
        <v>2.98</v>
      </c>
      <c r="AD878" s="7">
        <v>2.99</v>
      </c>
      <c r="AE878" s="7">
        <v>2.06</v>
      </c>
      <c r="AF878" s="7">
        <v>2.06</v>
      </c>
      <c r="AG878" s="7">
        <v>2.06</v>
      </c>
    </row>
    <row r="879" spans="1:33" x14ac:dyDescent="0.35">
      <c r="B879" s="6">
        <f>SUM(B877:F877)</f>
        <v>28285</v>
      </c>
      <c r="C879" s="6">
        <f>SUM(B876:F876)</f>
        <v>13772</v>
      </c>
      <c r="P879" s="6">
        <f>SUM(P877:T877)</f>
        <v>28153</v>
      </c>
      <c r="Q879" s="6">
        <f>SUM(P876:T876)</f>
        <v>10852</v>
      </c>
    </row>
    <row r="881" spans="1:33" x14ac:dyDescent="0.35">
      <c r="A881" t="s">
        <v>1240</v>
      </c>
      <c r="B881" s="5">
        <v>46026</v>
      </c>
      <c r="C881" s="5">
        <v>46033</v>
      </c>
      <c r="D881" s="5">
        <v>46040</v>
      </c>
      <c r="E881" s="5">
        <v>46047</v>
      </c>
      <c r="F881" s="5">
        <v>46054</v>
      </c>
      <c r="G881" s="5">
        <v>46061</v>
      </c>
      <c r="H881" s="5">
        <v>46068</v>
      </c>
      <c r="I881" s="5">
        <v>46075</v>
      </c>
      <c r="J881" s="5">
        <v>46082</v>
      </c>
      <c r="K881" s="5">
        <v>46089</v>
      </c>
      <c r="L881" s="5">
        <v>46096</v>
      </c>
      <c r="M881" s="5">
        <v>46103</v>
      </c>
      <c r="N881" s="5">
        <v>46110</v>
      </c>
      <c r="O881" s="5">
        <v>46117</v>
      </c>
      <c r="P881" s="72">
        <v>46124</v>
      </c>
      <c r="Q881" s="72">
        <v>46131</v>
      </c>
      <c r="R881" s="72">
        <v>46138</v>
      </c>
      <c r="S881" s="72">
        <v>46145</v>
      </c>
      <c r="T881" s="72">
        <v>46152</v>
      </c>
      <c r="U881" s="5">
        <v>46159</v>
      </c>
      <c r="V881" s="5">
        <v>46166</v>
      </c>
      <c r="W881" s="5">
        <v>46173</v>
      </c>
      <c r="X881" s="72">
        <v>46180</v>
      </c>
      <c r="Y881" s="5">
        <v>46187</v>
      </c>
      <c r="Z881" s="5">
        <v>46194</v>
      </c>
      <c r="AA881" s="5">
        <v>46201</v>
      </c>
      <c r="AB881" s="5">
        <v>46208</v>
      </c>
      <c r="AC881" s="5">
        <v>46215</v>
      </c>
      <c r="AD881" s="5">
        <v>46222</v>
      </c>
      <c r="AE881" s="5">
        <v>46229</v>
      </c>
      <c r="AF881" s="5">
        <v>46236</v>
      </c>
      <c r="AG881" s="5">
        <v>46243</v>
      </c>
    </row>
    <row r="882" spans="1:33" x14ac:dyDescent="0.35">
      <c r="A882" t="s">
        <v>1242</v>
      </c>
      <c r="B882" s="3">
        <v>0.47499999999999998</v>
      </c>
      <c r="C882" s="3">
        <v>0.56499999999999995</v>
      </c>
      <c r="D882" s="3">
        <v>0.51300000000000001</v>
      </c>
      <c r="E882" s="3">
        <v>0.55400000000000005</v>
      </c>
      <c r="F882" s="3">
        <v>0.313</v>
      </c>
      <c r="G882" s="3">
        <v>3.3000000000000002E-2</v>
      </c>
      <c r="H882" s="3">
        <v>2E-3</v>
      </c>
      <c r="I882" s="3">
        <v>6.0000000000000001E-3</v>
      </c>
      <c r="J882" s="3">
        <v>5.0000000000000001E-3</v>
      </c>
      <c r="K882" s="3">
        <v>3.6999999999999998E-2</v>
      </c>
      <c r="L882" s="3">
        <v>2.7E-2</v>
      </c>
      <c r="M882" s="3">
        <v>0.05</v>
      </c>
      <c r="N882" s="3">
        <v>6.4000000000000001E-2</v>
      </c>
      <c r="O882" s="3">
        <v>9.0999999999999998E-2</v>
      </c>
      <c r="P882" s="60">
        <v>0.42399999999999999</v>
      </c>
      <c r="Q882" s="60">
        <v>0.4</v>
      </c>
      <c r="R882" s="60">
        <v>0.371</v>
      </c>
      <c r="S882" s="60">
        <v>0.40100000000000002</v>
      </c>
      <c r="T882" s="60">
        <v>0.32900000000000001</v>
      </c>
      <c r="U882" s="3">
        <v>1E-3</v>
      </c>
      <c r="V882" s="3">
        <v>1E-3</v>
      </c>
      <c r="W882" s="3">
        <v>0</v>
      </c>
      <c r="X882" s="60">
        <v>0.82399999999999995</v>
      </c>
      <c r="Y882" s="3">
        <v>7.0000000000000001E-3</v>
      </c>
      <c r="Z882" s="3">
        <v>1.4999999999999999E-2</v>
      </c>
      <c r="AA882" s="3">
        <v>1.7999999999999999E-2</v>
      </c>
      <c r="AB882" s="3">
        <v>0.02</v>
      </c>
      <c r="AC882" s="3">
        <v>2.5000000000000001E-2</v>
      </c>
      <c r="AD882" s="3">
        <v>8.9999999999999993E-3</v>
      </c>
      <c r="AE882" s="3">
        <v>0.97399999999999998</v>
      </c>
      <c r="AF882" s="3">
        <v>0.89100000000000001</v>
      </c>
      <c r="AG882" s="3">
        <v>0.85699999999999998</v>
      </c>
    </row>
    <row r="883" spans="1:33" x14ac:dyDescent="0.35">
      <c r="A883" t="s">
        <v>1247</v>
      </c>
      <c r="B883" s="3">
        <v>0.218</v>
      </c>
      <c r="C883" s="3">
        <v>0.22600000000000001</v>
      </c>
      <c r="D883" s="3">
        <v>0.219</v>
      </c>
      <c r="E883" s="3">
        <v>0.22600000000000001</v>
      </c>
      <c r="F883" s="3">
        <v>0.17199999999999999</v>
      </c>
      <c r="G883" s="3">
        <v>1.4E-2</v>
      </c>
      <c r="H883" s="3">
        <v>8.0000000000000002E-3</v>
      </c>
      <c r="I883" s="3">
        <v>3.6999999999999998E-2</v>
      </c>
      <c r="J883" s="3">
        <v>4.0000000000000001E-3</v>
      </c>
      <c r="K883" s="3">
        <v>5.0000000000000001E-3</v>
      </c>
      <c r="L883" s="3">
        <v>4.3999999999999997E-2</v>
      </c>
      <c r="M883" s="3">
        <v>0</v>
      </c>
      <c r="N883" s="3">
        <v>4.0000000000000001E-3</v>
      </c>
      <c r="O883" s="3">
        <v>8.0000000000000002E-3</v>
      </c>
      <c r="P883" s="60">
        <v>9.7000000000000003E-2</v>
      </c>
      <c r="Q883" s="60">
        <v>9.6000000000000002E-2</v>
      </c>
      <c r="R883" s="60">
        <v>9.1999999999999998E-2</v>
      </c>
      <c r="S883" s="60">
        <v>8.7999999999999995E-2</v>
      </c>
      <c r="T883" s="60">
        <v>7.9000000000000001E-2</v>
      </c>
      <c r="U883" s="3">
        <v>5.0999999999999997E-2</v>
      </c>
      <c r="V883" s="3">
        <v>0</v>
      </c>
      <c r="W883" s="3">
        <v>3.3000000000000002E-2</v>
      </c>
      <c r="X883" s="60">
        <v>0.17100000000000001</v>
      </c>
      <c r="Y883" s="3">
        <v>2.8000000000000001E-2</v>
      </c>
      <c r="Z883" s="3">
        <v>9.1999999999999998E-2</v>
      </c>
      <c r="AA883" s="3">
        <v>2E-3</v>
      </c>
      <c r="AB883" s="3">
        <v>5.0999999999999997E-2</v>
      </c>
      <c r="AC883" s="3">
        <v>7.5999999999999998E-2</v>
      </c>
      <c r="AD883" s="3">
        <v>8.5999999999999993E-2</v>
      </c>
      <c r="AE883" s="3">
        <v>0.26</v>
      </c>
      <c r="AF883" s="3">
        <v>0.246</v>
      </c>
      <c r="AG883" s="3">
        <v>0.23100000000000001</v>
      </c>
    </row>
    <row r="884" spans="1:33" x14ac:dyDescent="0.35">
      <c r="A884" t="s">
        <v>1248</v>
      </c>
      <c r="B884" s="7">
        <v>0.57999999999999996</v>
      </c>
      <c r="C884" s="7">
        <v>0.6</v>
      </c>
      <c r="D884" s="7">
        <v>0.57999999999999996</v>
      </c>
      <c r="E884" s="7">
        <v>0.6</v>
      </c>
      <c r="F884" s="7">
        <v>0.43</v>
      </c>
      <c r="G884" s="7">
        <v>0.04</v>
      </c>
      <c r="H884" s="7">
        <v>0.02</v>
      </c>
      <c r="I884" s="7">
        <v>0.11</v>
      </c>
      <c r="J884" s="7">
        <v>0.01</v>
      </c>
      <c r="K884" s="7">
        <v>0.02</v>
      </c>
      <c r="L884" s="7">
        <v>0.13</v>
      </c>
      <c r="M884" s="7">
        <v>0</v>
      </c>
      <c r="N884" s="7">
        <v>0.01</v>
      </c>
      <c r="O884" s="7">
        <v>0.02</v>
      </c>
      <c r="P884" s="7">
        <v>0.27</v>
      </c>
      <c r="Q884" s="7">
        <v>0.27</v>
      </c>
      <c r="R884" s="7">
        <v>0.26</v>
      </c>
      <c r="S884" s="7">
        <v>0.24</v>
      </c>
      <c r="T884" s="7">
        <v>0.22</v>
      </c>
      <c r="U884" s="7">
        <v>0.15</v>
      </c>
      <c r="V884" s="7">
        <v>0</v>
      </c>
      <c r="W884" s="7">
        <v>0.1</v>
      </c>
      <c r="X884" s="59">
        <v>0.49</v>
      </c>
      <c r="Y884" s="7">
        <v>0.08</v>
      </c>
      <c r="Z884" s="7">
        <v>0.28000000000000003</v>
      </c>
      <c r="AA884" s="7">
        <v>0.01</v>
      </c>
      <c r="AB884" s="7">
        <v>0.15</v>
      </c>
      <c r="AC884" s="7">
        <v>0.23</v>
      </c>
      <c r="AD884" s="7">
        <v>0.26</v>
      </c>
      <c r="AE884" s="7">
        <v>0.72</v>
      </c>
      <c r="AF884" s="7">
        <v>0.67</v>
      </c>
      <c r="AG884" s="7">
        <v>0.62</v>
      </c>
    </row>
    <row r="885" spans="1:33" x14ac:dyDescent="0.35">
      <c r="A885" t="s">
        <v>1249</v>
      </c>
      <c r="B885" s="59">
        <v>2.0699999999999998</v>
      </c>
      <c r="C885" s="59">
        <v>2.06</v>
      </c>
      <c r="D885" s="59">
        <v>2.06</v>
      </c>
      <c r="E885" s="59">
        <v>2.06</v>
      </c>
      <c r="F885" s="59">
        <v>2.06</v>
      </c>
      <c r="G885" s="7">
        <v>2.94</v>
      </c>
      <c r="H885" s="7">
        <v>2.97</v>
      </c>
      <c r="I885" s="7">
        <v>2.88</v>
      </c>
      <c r="J885" s="7">
        <v>2.98</v>
      </c>
      <c r="K885" s="7">
        <v>2.97</v>
      </c>
      <c r="L885" s="7">
        <v>2.86</v>
      </c>
      <c r="M885" s="7">
        <v>2.99</v>
      </c>
      <c r="N885" s="7">
        <v>2.98</v>
      </c>
      <c r="O885" s="7">
        <v>2.96</v>
      </c>
      <c r="P885" s="7">
        <v>2.54</v>
      </c>
      <c r="Q885" s="7">
        <v>2.54</v>
      </c>
      <c r="R885" s="7">
        <v>2.54</v>
      </c>
      <c r="S885" s="7">
        <v>2.5299999999999998</v>
      </c>
      <c r="T885" s="7">
        <v>2.5299999999999998</v>
      </c>
      <c r="U885" s="7">
        <v>2.83</v>
      </c>
      <c r="V885" s="7">
        <v>2.99</v>
      </c>
      <c r="W885" s="7">
        <v>2.89</v>
      </c>
      <c r="X885" s="59">
        <v>2.36</v>
      </c>
      <c r="Y885" s="7">
        <v>2.9</v>
      </c>
      <c r="Z885" s="7">
        <v>2.71</v>
      </c>
      <c r="AA885" s="7">
        <v>2.98</v>
      </c>
      <c r="AB885" s="7">
        <v>2.84</v>
      </c>
      <c r="AC885" s="7">
        <v>2.76</v>
      </c>
      <c r="AD885" s="7">
        <v>2.73</v>
      </c>
      <c r="AE885" s="7">
        <v>2.0499999999999998</v>
      </c>
      <c r="AF885" s="7">
        <v>2.06</v>
      </c>
      <c r="AG885" s="7">
        <v>2.0499999999999998</v>
      </c>
    </row>
    <row r="886" spans="1:33" x14ac:dyDescent="0.35">
      <c r="A886" t="s">
        <v>1250</v>
      </c>
      <c r="B886" s="7">
        <v>2.64</v>
      </c>
      <c r="C886" s="7">
        <v>2.66</v>
      </c>
      <c r="D886" s="7">
        <v>2.64</v>
      </c>
      <c r="E886" s="7">
        <v>2.66</v>
      </c>
      <c r="F886" s="7">
        <v>2.48</v>
      </c>
      <c r="G886" s="7">
        <v>2.98</v>
      </c>
      <c r="H886" s="7">
        <v>2.99</v>
      </c>
      <c r="I886" s="7">
        <v>2.99</v>
      </c>
      <c r="J886" s="7">
        <v>2.99</v>
      </c>
      <c r="K886" s="7">
        <v>2.99</v>
      </c>
      <c r="L886" s="7">
        <v>2.99</v>
      </c>
      <c r="M886" s="7">
        <v>2.99</v>
      </c>
      <c r="N886" s="7">
        <v>2.99</v>
      </c>
      <c r="O886" s="7">
        <v>2.99</v>
      </c>
      <c r="P886" s="7">
        <v>2.81</v>
      </c>
      <c r="Q886" s="7">
        <v>2.81</v>
      </c>
      <c r="R886" s="7">
        <v>2.79</v>
      </c>
      <c r="S886" s="7">
        <v>2.77</v>
      </c>
      <c r="T886" s="7">
        <v>2.75</v>
      </c>
      <c r="U886" s="7">
        <v>2.99</v>
      </c>
      <c r="V886" s="7">
        <v>2.99</v>
      </c>
      <c r="W886" s="7">
        <v>2.99</v>
      </c>
      <c r="X886" s="59">
        <v>2.84</v>
      </c>
      <c r="Y886" s="7">
        <v>2.99</v>
      </c>
      <c r="Z886" s="7">
        <v>2.99</v>
      </c>
      <c r="AA886" s="7">
        <v>2.99</v>
      </c>
      <c r="AB886" s="7">
        <v>2.99</v>
      </c>
      <c r="AC886" s="7">
        <v>2.99</v>
      </c>
      <c r="AD886" s="7">
        <v>2.99</v>
      </c>
      <c r="AE886" s="7">
        <v>2.77</v>
      </c>
      <c r="AF886" s="7">
        <v>2.73</v>
      </c>
      <c r="AG886" s="7">
        <v>2.67</v>
      </c>
    </row>
    <row r="887" spans="1:33" x14ac:dyDescent="0.35">
      <c r="A887" t="s">
        <v>1245</v>
      </c>
      <c r="B887" s="7">
        <v>2.0699999999999998</v>
      </c>
      <c r="C887" s="7">
        <v>2.06</v>
      </c>
      <c r="D887" s="7">
        <v>2.06</v>
      </c>
      <c r="E887" s="7">
        <v>2.0699999999999998</v>
      </c>
      <c r="F887" s="7">
        <v>2.06</v>
      </c>
      <c r="G887" s="7">
        <v>2.98</v>
      </c>
      <c r="H887" s="7">
        <v>2.99</v>
      </c>
      <c r="I887" s="7">
        <v>2.99</v>
      </c>
      <c r="J887" s="7">
        <v>2.99</v>
      </c>
      <c r="K887" s="7">
        <v>2.99</v>
      </c>
      <c r="L887" s="7">
        <v>2.98</v>
      </c>
      <c r="M887" s="7">
        <v>2.99</v>
      </c>
      <c r="N887" s="7">
        <v>2.99</v>
      </c>
      <c r="O887" s="7">
        <v>2.98</v>
      </c>
      <c r="P887" s="7">
        <v>2.54</v>
      </c>
      <c r="Q887" s="7">
        <v>2.54</v>
      </c>
      <c r="R887" s="7">
        <v>2.54</v>
      </c>
      <c r="S887" s="7">
        <v>2.5299999999999998</v>
      </c>
      <c r="T887" s="7">
        <v>2.5299999999999998</v>
      </c>
      <c r="U887" s="7">
        <v>2.99</v>
      </c>
      <c r="V887" s="7">
        <v>2.99</v>
      </c>
      <c r="W887" s="7">
        <v>2.99</v>
      </c>
      <c r="X887" s="59">
        <v>2.36</v>
      </c>
      <c r="Y887" s="7">
        <v>2.98</v>
      </c>
      <c r="Z887" s="7">
        <v>2.98</v>
      </c>
      <c r="AA887" s="7">
        <v>2.99</v>
      </c>
      <c r="AB887" s="7">
        <v>2.98</v>
      </c>
      <c r="AC887" s="7">
        <v>2.98</v>
      </c>
      <c r="AD887" s="7">
        <v>2.99</v>
      </c>
      <c r="AE887" s="7">
        <v>2.06</v>
      </c>
      <c r="AF887" s="7">
        <v>2.06</v>
      </c>
      <c r="AG887" s="7">
        <v>2.06</v>
      </c>
    </row>
    <row r="889" spans="1:33" x14ac:dyDescent="0.35">
      <c r="A889" t="s">
        <v>1254</v>
      </c>
      <c r="B889" s="5">
        <v>46026</v>
      </c>
      <c r="C889" s="5">
        <v>46033</v>
      </c>
      <c r="D889" s="5">
        <v>46040</v>
      </c>
      <c r="E889" s="5">
        <v>46047</v>
      </c>
      <c r="F889" s="5">
        <v>46054</v>
      </c>
      <c r="G889" s="72">
        <v>46061</v>
      </c>
      <c r="H889" s="72">
        <v>46068</v>
      </c>
      <c r="I889" s="72">
        <v>46075</v>
      </c>
      <c r="J889" s="72">
        <v>46082</v>
      </c>
      <c r="K889" s="72">
        <v>46089</v>
      </c>
      <c r="L889" s="5">
        <v>46096</v>
      </c>
      <c r="M889" s="5">
        <v>46103</v>
      </c>
      <c r="N889" s="5">
        <v>46110</v>
      </c>
      <c r="O889" s="5">
        <v>46117</v>
      </c>
      <c r="P889" s="5">
        <v>46124</v>
      </c>
      <c r="Q889" s="5">
        <v>46131</v>
      </c>
      <c r="R889" s="5">
        <v>46138</v>
      </c>
      <c r="S889" s="5">
        <v>46145</v>
      </c>
      <c r="T889" s="5">
        <v>46152</v>
      </c>
      <c r="U889" s="5">
        <v>46159</v>
      </c>
      <c r="V889" s="5">
        <v>46166</v>
      </c>
      <c r="W889" s="5">
        <v>46173</v>
      </c>
      <c r="X889" s="5">
        <v>46180</v>
      </c>
      <c r="Y889" s="5">
        <v>46187</v>
      </c>
      <c r="Z889" s="5">
        <v>46194</v>
      </c>
      <c r="AA889" s="5">
        <v>46201</v>
      </c>
      <c r="AB889" s="5">
        <v>46208</v>
      </c>
      <c r="AC889" s="5">
        <v>46215</v>
      </c>
      <c r="AD889" s="5">
        <v>46222</v>
      </c>
      <c r="AE889" s="5">
        <v>46229</v>
      </c>
      <c r="AF889" s="5">
        <v>46236</v>
      </c>
      <c r="AG889" s="5">
        <v>46243</v>
      </c>
    </row>
    <row r="890" spans="1:33" x14ac:dyDescent="0.35">
      <c r="A890" t="s">
        <v>1241</v>
      </c>
      <c r="B890">
        <v>302</v>
      </c>
      <c r="C890">
        <v>566</v>
      </c>
      <c r="D890">
        <v>667</v>
      </c>
      <c r="E890">
        <v>734</v>
      </c>
      <c r="F890">
        <v>558</v>
      </c>
      <c r="G890" s="6">
        <v>1232</v>
      </c>
      <c r="H890" s="6">
        <v>1089</v>
      </c>
      <c r="I890" s="6">
        <v>1163</v>
      </c>
      <c r="J890" s="6">
        <v>1195</v>
      </c>
      <c r="K890" s="6">
        <v>1202</v>
      </c>
      <c r="L890">
        <v>876</v>
      </c>
      <c r="M890">
        <v>812</v>
      </c>
      <c r="N890">
        <v>891</v>
      </c>
      <c r="O890">
        <v>836</v>
      </c>
      <c r="P890">
        <v>792</v>
      </c>
      <c r="Q890">
        <v>851</v>
      </c>
      <c r="R890">
        <v>966</v>
      </c>
      <c r="S890">
        <v>973</v>
      </c>
      <c r="T890">
        <v>956</v>
      </c>
      <c r="U890" s="6">
        <v>1289</v>
      </c>
      <c r="V890" s="6">
        <v>1392</v>
      </c>
      <c r="W890" s="6">
        <v>1303</v>
      </c>
      <c r="X890" s="6">
        <v>1141</v>
      </c>
      <c r="Y890" s="6">
        <v>1243</v>
      </c>
      <c r="Z890">
        <v>958</v>
      </c>
      <c r="AA890">
        <v>841</v>
      </c>
      <c r="AB890">
        <v>881</v>
      </c>
      <c r="AC890">
        <v>812</v>
      </c>
      <c r="AD890">
        <v>916</v>
      </c>
      <c r="AE890">
        <v>821</v>
      </c>
      <c r="AF890">
        <v>765</v>
      </c>
      <c r="AG890">
        <v>587</v>
      </c>
    </row>
    <row r="891" spans="1:33" x14ac:dyDescent="0.35">
      <c r="A891" t="s">
        <v>1242</v>
      </c>
      <c r="B891" s="3">
        <v>0</v>
      </c>
      <c r="C891" s="3">
        <v>1E-3</v>
      </c>
      <c r="D891" s="3">
        <v>0</v>
      </c>
      <c r="E891" s="3">
        <v>2E-3</v>
      </c>
      <c r="F891" s="3">
        <v>0</v>
      </c>
      <c r="G891" s="60">
        <v>0.79900000000000004</v>
      </c>
      <c r="H891" s="60">
        <v>0.59199999999999997</v>
      </c>
      <c r="I891" s="60">
        <v>0.67900000000000005</v>
      </c>
      <c r="J891" s="60">
        <v>0.67400000000000004</v>
      </c>
      <c r="K891" s="60">
        <v>0.65800000000000003</v>
      </c>
      <c r="L891" s="3">
        <v>6.0000000000000001E-3</v>
      </c>
      <c r="M891" s="3">
        <v>0</v>
      </c>
      <c r="N891" s="3">
        <v>3.0000000000000001E-3</v>
      </c>
      <c r="O891" s="3">
        <v>0</v>
      </c>
      <c r="P891" s="3">
        <v>0</v>
      </c>
      <c r="Q891" s="3">
        <v>0</v>
      </c>
      <c r="R891" s="3">
        <v>0</v>
      </c>
      <c r="S891" s="3">
        <v>1E-3</v>
      </c>
      <c r="T891" s="3">
        <v>0</v>
      </c>
      <c r="U891" s="60">
        <v>0.41899999999999998</v>
      </c>
      <c r="V891" s="60">
        <v>0.42699999999999999</v>
      </c>
      <c r="W891" s="60">
        <v>0.437</v>
      </c>
      <c r="X891" s="60">
        <v>0.44600000000000001</v>
      </c>
      <c r="Y891" s="60">
        <v>0.47499999999999998</v>
      </c>
      <c r="Z891" s="3">
        <v>3.0000000000000001E-3</v>
      </c>
      <c r="AA891" s="3">
        <v>1E-3</v>
      </c>
      <c r="AB891" s="3">
        <v>1.6E-2</v>
      </c>
      <c r="AC891" s="3">
        <v>1.9E-2</v>
      </c>
      <c r="AD891" s="3">
        <v>4.0000000000000001E-3</v>
      </c>
      <c r="AE891" s="3">
        <v>6.3E-2</v>
      </c>
      <c r="AF891" s="3">
        <v>3.4000000000000002E-2</v>
      </c>
      <c r="AG891" s="3">
        <v>2.1999999999999999E-2</v>
      </c>
    </row>
    <row r="892" spans="1:33" x14ac:dyDescent="0.35">
      <c r="A892" t="s">
        <v>1243</v>
      </c>
      <c r="B892">
        <v>0</v>
      </c>
      <c r="C892">
        <v>1</v>
      </c>
      <c r="D892">
        <v>0</v>
      </c>
      <c r="E892">
        <v>2</v>
      </c>
      <c r="F892">
        <v>0</v>
      </c>
      <c r="G892">
        <v>547</v>
      </c>
      <c r="H892">
        <v>405</v>
      </c>
      <c r="I892">
        <v>470</v>
      </c>
      <c r="J892">
        <v>481</v>
      </c>
      <c r="K892">
        <v>477</v>
      </c>
      <c r="L892">
        <v>6</v>
      </c>
      <c r="M892">
        <v>0</v>
      </c>
      <c r="N892">
        <v>3</v>
      </c>
      <c r="O892">
        <v>0</v>
      </c>
      <c r="P892">
        <v>0</v>
      </c>
      <c r="Q892">
        <v>0</v>
      </c>
      <c r="R892">
        <v>0</v>
      </c>
      <c r="S892">
        <v>1</v>
      </c>
      <c r="T892">
        <v>0</v>
      </c>
      <c r="U892">
        <v>381</v>
      </c>
      <c r="V892">
        <v>417</v>
      </c>
      <c r="W892">
        <v>396</v>
      </c>
      <c r="X892">
        <v>352</v>
      </c>
      <c r="Y892">
        <v>401</v>
      </c>
      <c r="Z892">
        <v>3</v>
      </c>
      <c r="AA892">
        <v>1</v>
      </c>
      <c r="AB892">
        <v>14</v>
      </c>
      <c r="AC892">
        <v>15</v>
      </c>
      <c r="AD892">
        <v>4</v>
      </c>
      <c r="AE892">
        <v>49</v>
      </c>
      <c r="AF892">
        <v>25</v>
      </c>
      <c r="AG892">
        <v>13</v>
      </c>
    </row>
    <row r="893" spans="1:33" x14ac:dyDescent="0.35">
      <c r="A893" t="s">
        <v>1244</v>
      </c>
      <c r="B893">
        <v>302</v>
      </c>
      <c r="C893">
        <v>565</v>
      </c>
      <c r="D893">
        <v>667</v>
      </c>
      <c r="E893">
        <v>732</v>
      </c>
      <c r="F893">
        <v>558</v>
      </c>
      <c r="G893">
        <v>685</v>
      </c>
      <c r="H893">
        <v>684</v>
      </c>
      <c r="I893">
        <v>693</v>
      </c>
      <c r="J893">
        <v>714</v>
      </c>
      <c r="K893">
        <v>725</v>
      </c>
      <c r="L893">
        <v>871</v>
      </c>
      <c r="M893">
        <v>812</v>
      </c>
      <c r="N893">
        <v>888</v>
      </c>
      <c r="O893">
        <v>836</v>
      </c>
      <c r="P893">
        <v>792</v>
      </c>
      <c r="Q893">
        <v>851</v>
      </c>
      <c r="R893">
        <v>966</v>
      </c>
      <c r="S893">
        <v>972</v>
      </c>
      <c r="T893">
        <v>956</v>
      </c>
      <c r="U893">
        <v>908</v>
      </c>
      <c r="V893">
        <v>975</v>
      </c>
      <c r="W893">
        <v>907</v>
      </c>
      <c r="X893">
        <v>789</v>
      </c>
      <c r="Y893">
        <v>843</v>
      </c>
      <c r="Z893">
        <v>955</v>
      </c>
      <c r="AA893">
        <v>840</v>
      </c>
      <c r="AB893">
        <v>867</v>
      </c>
      <c r="AC893">
        <v>797</v>
      </c>
      <c r="AD893">
        <v>912</v>
      </c>
      <c r="AE893">
        <v>773</v>
      </c>
      <c r="AF893">
        <v>740</v>
      </c>
      <c r="AG893">
        <v>574</v>
      </c>
    </row>
    <row r="894" spans="1:33" x14ac:dyDescent="0.35">
      <c r="A894" t="s">
        <v>1245</v>
      </c>
      <c r="B894" s="7">
        <v>9.99</v>
      </c>
      <c r="C894" s="7">
        <v>9.98</v>
      </c>
      <c r="D894" s="7">
        <v>9.98</v>
      </c>
      <c r="E894" s="7">
        <v>9.9600000000000009</v>
      </c>
      <c r="F894" s="7">
        <v>9.99</v>
      </c>
      <c r="G894" s="7">
        <v>9.06</v>
      </c>
      <c r="H894" s="7">
        <v>9.0500000000000007</v>
      </c>
      <c r="I894" s="7">
        <v>9.07</v>
      </c>
      <c r="J894" s="7">
        <v>9.07</v>
      </c>
      <c r="K894" s="7">
        <v>9.0299999999999994</v>
      </c>
      <c r="L894" s="7">
        <v>9.9700000000000006</v>
      </c>
      <c r="M894" s="7">
        <v>9.9700000000000006</v>
      </c>
      <c r="N894" s="7">
        <v>9.9600000000000009</v>
      </c>
      <c r="O894" s="7">
        <v>9.98</v>
      </c>
      <c r="P894" s="7">
        <v>9.99</v>
      </c>
      <c r="Q894" s="7">
        <v>9.99</v>
      </c>
      <c r="R894" s="7">
        <v>9.98</v>
      </c>
      <c r="S894" s="7">
        <v>9.9600000000000009</v>
      </c>
      <c r="T894" s="7">
        <v>9.98</v>
      </c>
      <c r="U894" s="7">
        <v>9.0399999999999991</v>
      </c>
      <c r="V894" s="7">
        <v>9.02</v>
      </c>
      <c r="W894" s="7">
        <v>9.0500000000000007</v>
      </c>
      <c r="X894" s="7">
        <v>9.0500000000000007</v>
      </c>
      <c r="Y894" s="7">
        <v>9.08</v>
      </c>
      <c r="Z894" s="7">
        <v>9.9700000000000006</v>
      </c>
      <c r="AA894" s="7">
        <v>9.94</v>
      </c>
      <c r="AB894" s="7">
        <v>9.98</v>
      </c>
      <c r="AC894" s="7">
        <v>9.9600000000000009</v>
      </c>
      <c r="AD894" s="7">
        <v>9.98</v>
      </c>
      <c r="AE894" s="7">
        <v>9.91</v>
      </c>
      <c r="AF894" s="7">
        <v>9.99</v>
      </c>
      <c r="AG894" s="7">
        <v>9.9499999999999993</v>
      </c>
    </row>
    <row r="895" spans="1:33" x14ac:dyDescent="0.35">
      <c r="G895">
        <f>SUM(G893:K893)</f>
        <v>3501</v>
      </c>
      <c r="H895">
        <f>SUM(G892:K892)</f>
        <v>2380</v>
      </c>
      <c r="U895">
        <f>SUM(U893:Y893)</f>
        <v>4422</v>
      </c>
      <c r="V895">
        <f>SUM(U892:Y892)</f>
        <v>1947</v>
      </c>
    </row>
    <row r="896" spans="1:33" x14ac:dyDescent="0.35">
      <c r="A896" t="s">
        <v>1254</v>
      </c>
      <c r="B896" s="5">
        <v>46026</v>
      </c>
      <c r="C896" s="5">
        <v>46033</v>
      </c>
      <c r="D896" s="5">
        <v>46040</v>
      </c>
      <c r="E896" s="5">
        <v>46047</v>
      </c>
      <c r="F896" s="5">
        <v>46054</v>
      </c>
      <c r="G896" s="5">
        <v>46061</v>
      </c>
      <c r="H896" s="5">
        <v>46068</v>
      </c>
      <c r="I896" s="5">
        <v>46075</v>
      </c>
      <c r="J896" s="5">
        <v>46082</v>
      </c>
      <c r="K896" s="5">
        <v>46089</v>
      </c>
      <c r="L896" s="5">
        <v>46096</v>
      </c>
      <c r="M896" s="5">
        <v>46103</v>
      </c>
      <c r="N896" s="5">
        <v>46110</v>
      </c>
      <c r="O896" s="5">
        <v>46117</v>
      </c>
      <c r="P896" s="5">
        <v>46124</v>
      </c>
      <c r="Q896" s="5">
        <v>46131</v>
      </c>
      <c r="R896" s="5">
        <v>46138</v>
      </c>
      <c r="S896" s="5">
        <v>46145</v>
      </c>
      <c r="T896" s="5">
        <v>46152</v>
      </c>
      <c r="U896" s="5">
        <v>46159</v>
      </c>
      <c r="V896" s="5">
        <v>46166</v>
      </c>
      <c r="W896" s="5">
        <v>46173</v>
      </c>
      <c r="X896" s="5">
        <v>46180</v>
      </c>
      <c r="Y896" s="5">
        <v>46187</v>
      </c>
      <c r="Z896" s="5">
        <v>46194</v>
      </c>
      <c r="AA896" s="5">
        <v>46201</v>
      </c>
      <c r="AB896" s="5">
        <v>46208</v>
      </c>
      <c r="AC896" s="5">
        <v>46215</v>
      </c>
      <c r="AD896" s="5">
        <v>46222</v>
      </c>
      <c r="AE896" s="5">
        <v>46229</v>
      </c>
      <c r="AF896" s="5">
        <v>46236</v>
      </c>
      <c r="AG896" s="5">
        <v>46243</v>
      </c>
    </row>
    <row r="897" spans="1:33" x14ac:dyDescent="0.35">
      <c r="A897" t="s">
        <v>1242</v>
      </c>
      <c r="B897" s="3">
        <v>0</v>
      </c>
      <c r="C897" s="3">
        <v>1E-3</v>
      </c>
      <c r="D897" s="3">
        <v>0</v>
      </c>
      <c r="E897" s="3">
        <v>2E-3</v>
      </c>
      <c r="F897" s="3">
        <v>0</v>
      </c>
      <c r="G897" s="3">
        <v>0.79900000000000004</v>
      </c>
      <c r="H897" s="3">
        <v>0.59199999999999997</v>
      </c>
      <c r="I897" s="3">
        <v>0.67900000000000005</v>
      </c>
      <c r="J897" s="3">
        <v>0.67400000000000004</v>
      </c>
      <c r="K897" s="3">
        <v>0.65800000000000003</v>
      </c>
      <c r="L897" s="3">
        <v>6.0000000000000001E-3</v>
      </c>
      <c r="M897" s="3">
        <v>0</v>
      </c>
      <c r="N897" s="3">
        <v>3.0000000000000001E-3</v>
      </c>
      <c r="O897" s="3">
        <v>0</v>
      </c>
      <c r="P897" s="3">
        <v>0</v>
      </c>
      <c r="Q897" s="3">
        <v>0</v>
      </c>
      <c r="R897" s="3">
        <v>0</v>
      </c>
      <c r="S897" s="3">
        <v>1E-3</v>
      </c>
      <c r="T897" s="3">
        <v>0</v>
      </c>
      <c r="U897" s="3">
        <v>0.41899999999999998</v>
      </c>
      <c r="V897" s="3">
        <v>0.42699999999999999</v>
      </c>
      <c r="W897" s="3">
        <v>0.437</v>
      </c>
      <c r="X897" s="3">
        <v>0.44600000000000001</v>
      </c>
      <c r="Y897" s="3">
        <v>0.47499999999999998</v>
      </c>
      <c r="Z897" s="3">
        <v>3.0000000000000001E-3</v>
      </c>
      <c r="AA897" s="3">
        <v>1E-3</v>
      </c>
      <c r="AB897" s="3">
        <v>1.6E-2</v>
      </c>
      <c r="AC897" s="3">
        <v>1.9E-2</v>
      </c>
      <c r="AD897" s="3">
        <v>4.0000000000000001E-3</v>
      </c>
      <c r="AE897" s="3">
        <v>6.3E-2</v>
      </c>
      <c r="AF897" s="3">
        <v>3.4000000000000002E-2</v>
      </c>
      <c r="AG897" s="3">
        <v>2.1999999999999999E-2</v>
      </c>
    </row>
    <row r="898" spans="1:33" x14ac:dyDescent="0.35">
      <c r="A898" t="s">
        <v>1247</v>
      </c>
      <c r="B898" t="s">
        <v>1272</v>
      </c>
      <c r="C898" s="3">
        <v>0.25</v>
      </c>
      <c r="D898" s="3">
        <v>0.5</v>
      </c>
      <c r="E898" s="3">
        <v>0.45</v>
      </c>
      <c r="F898" t="s">
        <v>1272</v>
      </c>
      <c r="G898" s="3">
        <v>7.0000000000000007E-2</v>
      </c>
      <c r="H898" s="3">
        <v>7.0000000000000007E-2</v>
      </c>
      <c r="I898" s="3">
        <v>6.2E-2</v>
      </c>
      <c r="J898" s="3">
        <v>6.5000000000000002E-2</v>
      </c>
      <c r="K898" s="3">
        <v>6.6000000000000003E-2</v>
      </c>
      <c r="L898" s="3">
        <v>8.2000000000000003E-2</v>
      </c>
      <c r="M898" s="3">
        <v>0.499</v>
      </c>
      <c r="N898" s="3">
        <v>0.28000000000000003</v>
      </c>
      <c r="O898" s="3">
        <v>0.25</v>
      </c>
      <c r="P898" t="s">
        <v>1272</v>
      </c>
      <c r="Q898" t="s">
        <v>1272</v>
      </c>
      <c r="R898" s="3">
        <v>0.25</v>
      </c>
      <c r="S898" s="3">
        <v>0.311</v>
      </c>
      <c r="T898" s="3">
        <v>0.5</v>
      </c>
      <c r="U898" s="3">
        <v>0.06</v>
      </c>
      <c r="V898" s="3">
        <v>6.8000000000000005E-2</v>
      </c>
      <c r="W898" s="3">
        <v>0.06</v>
      </c>
      <c r="X898" s="3">
        <v>5.8999999999999997E-2</v>
      </c>
      <c r="Y898" s="3">
        <v>6.2E-2</v>
      </c>
      <c r="Z898" s="3">
        <v>8.6999999999999994E-2</v>
      </c>
      <c r="AA898" s="3">
        <v>0.21199999999999999</v>
      </c>
      <c r="AB898" s="3">
        <v>1.2E-2</v>
      </c>
      <c r="AC898" s="3">
        <v>5.8000000000000003E-2</v>
      </c>
      <c r="AD898" s="3">
        <v>1.4E-2</v>
      </c>
      <c r="AE898" s="3">
        <v>1.2E-2</v>
      </c>
      <c r="AF898" s="3">
        <v>0</v>
      </c>
      <c r="AG898" s="3">
        <v>4.1000000000000002E-2</v>
      </c>
    </row>
    <row r="899" spans="1:33" x14ac:dyDescent="0.35">
      <c r="A899" t="s">
        <v>1248</v>
      </c>
      <c r="B899" t="s">
        <v>1272</v>
      </c>
      <c r="C899" s="7">
        <v>2.4900000000000002</v>
      </c>
      <c r="D899" s="7">
        <v>4.99</v>
      </c>
      <c r="E899" s="7">
        <v>4.49</v>
      </c>
      <c r="F899" t="s">
        <v>1272</v>
      </c>
      <c r="G899" s="7">
        <v>0.68</v>
      </c>
      <c r="H899" s="7">
        <v>0.68</v>
      </c>
      <c r="I899" s="7">
        <v>0.6</v>
      </c>
      <c r="J899" s="7">
        <v>0.63</v>
      </c>
      <c r="K899" s="7">
        <v>0.64</v>
      </c>
      <c r="L899" s="7">
        <v>0.82</v>
      </c>
      <c r="M899" s="7">
        <v>4.9800000000000004</v>
      </c>
      <c r="N899" s="7">
        <v>2.8</v>
      </c>
      <c r="O899" s="7">
        <v>2.4900000000000002</v>
      </c>
      <c r="P899" t="s">
        <v>1272</v>
      </c>
      <c r="Q899" t="s">
        <v>1272</v>
      </c>
      <c r="R899" s="7">
        <v>2.4900000000000002</v>
      </c>
      <c r="S899" s="7">
        <v>3.1</v>
      </c>
      <c r="T899" s="7">
        <v>4.99</v>
      </c>
      <c r="U899" s="7">
        <v>0.56999999999999995</v>
      </c>
      <c r="V899" s="7">
        <v>0.66</v>
      </c>
      <c r="W899" s="7">
        <v>0.56999999999999995</v>
      </c>
      <c r="X899" s="7">
        <v>0.56000000000000005</v>
      </c>
      <c r="Y899" s="7">
        <v>0.6</v>
      </c>
      <c r="Z899" s="7">
        <v>0.87</v>
      </c>
      <c r="AA899" s="7">
        <v>2.11</v>
      </c>
      <c r="AB899" s="7">
        <v>0.12</v>
      </c>
      <c r="AC899" s="7">
        <v>0.57999999999999996</v>
      </c>
      <c r="AD899" s="7">
        <v>0.14000000000000001</v>
      </c>
      <c r="AE899" s="7">
        <v>0.12</v>
      </c>
      <c r="AF899" s="7">
        <v>0</v>
      </c>
      <c r="AG899" s="7">
        <v>0.41</v>
      </c>
    </row>
    <row r="900" spans="1:33" x14ac:dyDescent="0.35">
      <c r="A900" t="s">
        <v>1249</v>
      </c>
      <c r="B900" t="s">
        <v>1272</v>
      </c>
      <c r="C900" s="7">
        <v>7.5</v>
      </c>
      <c r="D900" s="7">
        <v>4.99</v>
      </c>
      <c r="E900" s="7">
        <v>5.49</v>
      </c>
      <c r="F900" t="s">
        <v>1272</v>
      </c>
      <c r="G900" s="7">
        <v>9.06</v>
      </c>
      <c r="H900" s="7">
        <v>9.02</v>
      </c>
      <c r="I900" s="7">
        <v>9.07</v>
      </c>
      <c r="J900" s="7">
        <v>9.0500000000000007</v>
      </c>
      <c r="K900" s="7">
        <v>9.02</v>
      </c>
      <c r="L900" s="7">
        <v>9.16</v>
      </c>
      <c r="M900" s="7">
        <v>4.99</v>
      </c>
      <c r="N900" s="7">
        <v>7.18</v>
      </c>
      <c r="O900" s="7">
        <v>7.49</v>
      </c>
      <c r="P900" t="s">
        <v>1272</v>
      </c>
      <c r="Q900" t="s">
        <v>1272</v>
      </c>
      <c r="R900" s="7">
        <v>7.49</v>
      </c>
      <c r="S900" s="7">
        <v>6.87</v>
      </c>
      <c r="T900" s="7">
        <v>4.99</v>
      </c>
      <c r="U900" s="59">
        <v>9.02</v>
      </c>
      <c r="V900" s="59">
        <v>8.99</v>
      </c>
      <c r="W900" s="59">
        <v>9.02</v>
      </c>
      <c r="X900" s="59">
        <v>9.0500000000000007</v>
      </c>
      <c r="Y900" s="59">
        <v>9.0500000000000007</v>
      </c>
      <c r="Z900" s="7">
        <v>9.11</v>
      </c>
      <c r="AA900" s="7">
        <v>7.84</v>
      </c>
      <c r="AB900" s="7">
        <v>9.8699999999999992</v>
      </c>
      <c r="AC900" s="7">
        <v>9.4</v>
      </c>
      <c r="AD900" s="7">
        <v>9.85</v>
      </c>
      <c r="AE900" s="7">
        <v>9.83</v>
      </c>
      <c r="AF900" s="7">
        <v>9.99</v>
      </c>
      <c r="AG900" s="7">
        <v>9.59</v>
      </c>
    </row>
    <row r="901" spans="1:33" x14ac:dyDescent="0.35">
      <c r="A901" t="s">
        <v>1250</v>
      </c>
      <c r="B901" s="7">
        <v>9.99</v>
      </c>
      <c r="C901" s="7">
        <v>9.99</v>
      </c>
      <c r="D901" s="7">
        <v>9.98</v>
      </c>
      <c r="E901" s="7">
        <v>9.98</v>
      </c>
      <c r="F901" s="7">
        <v>9.99</v>
      </c>
      <c r="G901" s="7">
        <v>9.74</v>
      </c>
      <c r="H901" s="7">
        <v>9.6999999999999993</v>
      </c>
      <c r="I901" s="7">
        <v>9.67</v>
      </c>
      <c r="J901" s="7">
        <v>9.68</v>
      </c>
      <c r="K901" s="7">
        <v>9.66</v>
      </c>
      <c r="L901" s="7">
        <v>9.98</v>
      </c>
      <c r="M901" s="7">
        <v>9.9700000000000006</v>
      </c>
      <c r="N901" s="7">
        <v>9.98</v>
      </c>
      <c r="O901" s="7">
        <v>9.98</v>
      </c>
      <c r="P901" s="7">
        <v>9.99</v>
      </c>
      <c r="Q901" s="7">
        <v>9.99</v>
      </c>
      <c r="R901" s="7">
        <v>9.98</v>
      </c>
      <c r="S901" s="7">
        <v>9.9700000000000006</v>
      </c>
      <c r="T901" s="7">
        <v>9.98</v>
      </c>
      <c r="U901" s="7">
        <v>9.6</v>
      </c>
      <c r="V901" s="7">
        <v>9.65</v>
      </c>
      <c r="W901" s="7">
        <v>9.6</v>
      </c>
      <c r="X901" s="7">
        <v>9.6199999999999992</v>
      </c>
      <c r="Y901" s="7">
        <v>9.65</v>
      </c>
      <c r="Z901" s="7">
        <v>9.98</v>
      </c>
      <c r="AA901" s="7">
        <v>9.9499999999999993</v>
      </c>
      <c r="AB901" s="7">
        <v>9.99</v>
      </c>
      <c r="AC901" s="7">
        <v>9.99</v>
      </c>
      <c r="AD901" s="7">
        <v>9.99</v>
      </c>
      <c r="AE901" s="7">
        <v>9.9499999999999993</v>
      </c>
      <c r="AF901" s="7">
        <v>9.99</v>
      </c>
      <c r="AG901" s="7">
        <v>9.99</v>
      </c>
    </row>
    <row r="902" spans="1:33" x14ac:dyDescent="0.35">
      <c r="A902" t="s">
        <v>1245</v>
      </c>
      <c r="B902" s="7">
        <v>9.99</v>
      </c>
      <c r="C902" s="7">
        <v>9.98</v>
      </c>
      <c r="D902" s="7">
        <v>9.98</v>
      </c>
      <c r="E902" s="7">
        <v>9.9600000000000009</v>
      </c>
      <c r="F902" s="7">
        <v>9.99</v>
      </c>
      <c r="G902" s="7">
        <v>9.06</v>
      </c>
      <c r="H902" s="7">
        <v>9.0500000000000007</v>
      </c>
      <c r="I902" s="7">
        <v>9.07</v>
      </c>
      <c r="J902" s="7">
        <v>9.07</v>
      </c>
      <c r="K902" s="7">
        <v>9.0299999999999994</v>
      </c>
      <c r="L902" s="7">
        <v>9.9700000000000006</v>
      </c>
      <c r="M902" s="7">
        <v>9.9700000000000006</v>
      </c>
      <c r="N902" s="7">
        <v>9.9600000000000009</v>
      </c>
      <c r="O902" s="7">
        <v>9.98</v>
      </c>
      <c r="P902" s="7">
        <v>9.99</v>
      </c>
      <c r="Q902" s="7">
        <v>9.99</v>
      </c>
      <c r="R902" s="7">
        <v>9.98</v>
      </c>
      <c r="S902" s="7">
        <v>9.9600000000000009</v>
      </c>
      <c r="T902" s="7">
        <v>9.98</v>
      </c>
      <c r="U902" s="7">
        <v>9.0399999999999991</v>
      </c>
      <c r="V902" s="7">
        <v>9.02</v>
      </c>
      <c r="W902" s="7">
        <v>9.0500000000000007</v>
      </c>
      <c r="X902" s="7">
        <v>9.0500000000000007</v>
      </c>
      <c r="Y902" s="7">
        <v>9.08</v>
      </c>
      <c r="Z902" s="7">
        <v>9.9700000000000006</v>
      </c>
      <c r="AA902" s="7">
        <v>9.94</v>
      </c>
      <c r="AB902" s="7">
        <v>9.98</v>
      </c>
      <c r="AC902" s="7">
        <v>9.9600000000000009</v>
      </c>
      <c r="AD902" s="7">
        <v>9.98</v>
      </c>
      <c r="AE902" s="7">
        <v>9.91</v>
      </c>
      <c r="AF902" s="7">
        <v>9.99</v>
      </c>
      <c r="AG902" s="7">
        <v>9.9499999999999993</v>
      </c>
    </row>
    <row r="904" spans="1:33" s="121" customFormat="1" x14ac:dyDescent="0.35"/>
    <row r="905" spans="1:33" s="51" customFormat="1" x14ac:dyDescent="0.35">
      <c r="A905" s="51" t="s">
        <v>1407</v>
      </c>
    </row>
    <row r="906" spans="1:33" x14ac:dyDescent="0.35">
      <c r="A906" t="s">
        <v>1240</v>
      </c>
      <c r="B906" s="5">
        <v>46026</v>
      </c>
      <c r="C906" s="128">
        <v>46033</v>
      </c>
      <c r="D906" s="128">
        <v>46040</v>
      </c>
      <c r="E906" s="128">
        <v>46047</v>
      </c>
      <c r="F906" s="5">
        <v>46054</v>
      </c>
      <c r="G906" s="5">
        <v>46061</v>
      </c>
      <c r="H906" s="5">
        <v>46068</v>
      </c>
      <c r="I906" s="5">
        <v>46075</v>
      </c>
      <c r="J906" s="5">
        <v>46082</v>
      </c>
      <c r="K906" s="5">
        <v>46089</v>
      </c>
      <c r="L906" s="5">
        <v>46096</v>
      </c>
      <c r="M906" s="5">
        <v>46103</v>
      </c>
      <c r="N906" s="5">
        <v>46110</v>
      </c>
      <c r="O906" s="5">
        <v>46117</v>
      </c>
      <c r="P906" s="5">
        <v>46124</v>
      </c>
      <c r="Q906" s="5">
        <v>46131</v>
      </c>
      <c r="R906" s="5">
        <v>46138</v>
      </c>
      <c r="S906" s="5">
        <v>46145</v>
      </c>
      <c r="T906" s="5">
        <v>46152</v>
      </c>
      <c r="U906" s="5">
        <v>46159</v>
      </c>
      <c r="V906" s="5">
        <v>46166</v>
      </c>
      <c r="W906" s="5">
        <v>46173</v>
      </c>
      <c r="X906" s="5">
        <v>46180</v>
      </c>
      <c r="Y906" s="5">
        <v>46187</v>
      </c>
      <c r="Z906" s="5">
        <v>46194</v>
      </c>
      <c r="AA906" s="5">
        <v>46201</v>
      </c>
      <c r="AB906" s="5">
        <v>46208</v>
      </c>
      <c r="AC906" s="5">
        <v>46215</v>
      </c>
      <c r="AD906" s="5">
        <v>46222</v>
      </c>
      <c r="AE906" s="5">
        <v>46229</v>
      </c>
      <c r="AF906" s="5">
        <v>46236</v>
      </c>
      <c r="AG906" s="5">
        <v>46243</v>
      </c>
    </row>
    <row r="907" spans="1:33" x14ac:dyDescent="0.35">
      <c r="A907" t="s">
        <v>1241</v>
      </c>
      <c r="B907">
        <v>507</v>
      </c>
      <c r="C907">
        <v>865</v>
      </c>
      <c r="D907">
        <v>758</v>
      </c>
      <c r="E907" s="6">
        <v>1034</v>
      </c>
      <c r="F907">
        <v>688</v>
      </c>
      <c r="G907">
        <v>677</v>
      </c>
      <c r="H907">
        <v>719</v>
      </c>
      <c r="I907">
        <v>704</v>
      </c>
      <c r="J907">
        <v>688</v>
      </c>
      <c r="K907">
        <v>691</v>
      </c>
      <c r="L907">
        <v>708</v>
      </c>
      <c r="M907">
        <v>700</v>
      </c>
      <c r="N907">
        <v>685</v>
      </c>
      <c r="O907">
        <v>707</v>
      </c>
      <c r="P907">
        <v>655</v>
      </c>
      <c r="Q907">
        <v>642</v>
      </c>
      <c r="R907">
        <v>660</v>
      </c>
      <c r="S907">
        <v>632</v>
      </c>
      <c r="T907">
        <v>617</v>
      </c>
      <c r="U907">
        <v>545</v>
      </c>
      <c r="V907">
        <v>538</v>
      </c>
      <c r="W907">
        <v>460</v>
      </c>
      <c r="X907">
        <v>493</v>
      </c>
      <c r="Y907">
        <v>468</v>
      </c>
      <c r="Z907">
        <v>479</v>
      </c>
      <c r="AA907">
        <v>490</v>
      </c>
      <c r="AB907">
        <v>481</v>
      </c>
      <c r="AC907">
        <v>413</v>
      </c>
      <c r="AD907">
        <v>485</v>
      </c>
      <c r="AE907">
        <v>595</v>
      </c>
      <c r="AF907">
        <v>578</v>
      </c>
      <c r="AG907">
        <v>552</v>
      </c>
    </row>
    <row r="908" spans="1:33" x14ac:dyDescent="0.35">
      <c r="A908" t="s">
        <v>1242</v>
      </c>
      <c r="B908" s="3">
        <v>3.3000000000000002E-2</v>
      </c>
      <c r="C908" s="130">
        <v>0.33900000000000002</v>
      </c>
      <c r="D908" s="130">
        <v>0.32900000000000001</v>
      </c>
      <c r="E908" s="130">
        <v>0.438</v>
      </c>
      <c r="F908" s="3">
        <v>0.152</v>
      </c>
      <c r="G908" s="3">
        <v>0</v>
      </c>
      <c r="H908" s="3">
        <v>0</v>
      </c>
      <c r="I908" s="3">
        <v>0</v>
      </c>
      <c r="J908" s="3">
        <v>0</v>
      </c>
      <c r="K908" s="3">
        <v>0</v>
      </c>
      <c r="L908" s="3">
        <v>0</v>
      </c>
      <c r="M908" s="3">
        <v>0</v>
      </c>
      <c r="N908" s="3">
        <v>0</v>
      </c>
      <c r="O908" s="3">
        <v>0</v>
      </c>
      <c r="P908" s="3">
        <v>0</v>
      </c>
      <c r="Q908" s="3">
        <v>0</v>
      </c>
      <c r="R908" s="3">
        <v>0</v>
      </c>
      <c r="S908" s="3">
        <v>3.0000000000000001E-3</v>
      </c>
      <c r="T908" s="3">
        <v>0</v>
      </c>
      <c r="U908" s="3">
        <v>0</v>
      </c>
      <c r="V908" s="3">
        <v>0</v>
      </c>
      <c r="W908" s="3">
        <v>3.0000000000000001E-3</v>
      </c>
      <c r="X908" s="3">
        <v>0</v>
      </c>
      <c r="Y908" s="3">
        <v>3.0000000000000001E-3</v>
      </c>
      <c r="Z908" s="3">
        <v>1E-3</v>
      </c>
      <c r="AA908" s="3">
        <v>0</v>
      </c>
      <c r="AB908" s="3">
        <v>0</v>
      </c>
      <c r="AC908" s="3">
        <v>0</v>
      </c>
      <c r="AD908" s="3">
        <v>8.6999999999999994E-2</v>
      </c>
      <c r="AE908" s="3">
        <v>0.26800000000000002</v>
      </c>
      <c r="AF908" s="3">
        <v>0.33800000000000002</v>
      </c>
      <c r="AG908" s="3">
        <v>0.316</v>
      </c>
    </row>
    <row r="909" spans="1:33" x14ac:dyDescent="0.35">
      <c r="A909" t="s">
        <v>1243</v>
      </c>
      <c r="B909">
        <v>16</v>
      </c>
      <c r="C909">
        <v>219</v>
      </c>
      <c r="D909">
        <v>188</v>
      </c>
      <c r="E909">
        <v>315</v>
      </c>
      <c r="F909">
        <v>91</v>
      </c>
      <c r="G909">
        <v>0</v>
      </c>
      <c r="H909">
        <v>0</v>
      </c>
      <c r="I909">
        <v>0</v>
      </c>
      <c r="J909">
        <v>0</v>
      </c>
      <c r="K909">
        <v>0</v>
      </c>
      <c r="L909">
        <v>0</v>
      </c>
      <c r="M909">
        <v>0</v>
      </c>
      <c r="N909">
        <v>0</v>
      </c>
      <c r="O909">
        <v>0</v>
      </c>
      <c r="P909">
        <v>0</v>
      </c>
      <c r="Q909">
        <v>0</v>
      </c>
      <c r="R909">
        <v>0</v>
      </c>
      <c r="S909">
        <v>2</v>
      </c>
      <c r="T909">
        <v>0</v>
      </c>
      <c r="U909">
        <v>0</v>
      </c>
      <c r="V909">
        <v>0</v>
      </c>
      <c r="W909">
        <v>2</v>
      </c>
      <c r="X909">
        <v>0</v>
      </c>
      <c r="Y909">
        <v>1</v>
      </c>
      <c r="Z909">
        <v>1</v>
      </c>
      <c r="AA909">
        <v>0</v>
      </c>
      <c r="AB909">
        <v>0</v>
      </c>
      <c r="AC909">
        <v>0</v>
      </c>
      <c r="AD909">
        <v>39</v>
      </c>
      <c r="AE909">
        <v>126</v>
      </c>
      <c r="AF909">
        <v>146</v>
      </c>
      <c r="AG909">
        <v>133</v>
      </c>
    </row>
    <row r="910" spans="1:33" x14ac:dyDescent="0.35">
      <c r="A910" t="s">
        <v>1244</v>
      </c>
      <c r="B910">
        <v>491</v>
      </c>
      <c r="C910">
        <v>646</v>
      </c>
      <c r="D910">
        <v>570</v>
      </c>
      <c r="E910">
        <v>719</v>
      </c>
      <c r="F910">
        <v>597</v>
      </c>
      <c r="G910">
        <v>677</v>
      </c>
      <c r="H910">
        <v>719</v>
      </c>
      <c r="I910">
        <v>704</v>
      </c>
      <c r="J910">
        <v>688</v>
      </c>
      <c r="K910">
        <v>691</v>
      </c>
      <c r="L910">
        <v>708</v>
      </c>
      <c r="M910">
        <v>700</v>
      </c>
      <c r="N910">
        <v>685</v>
      </c>
      <c r="O910">
        <v>707</v>
      </c>
      <c r="P910">
        <v>655</v>
      </c>
      <c r="Q910">
        <v>642</v>
      </c>
      <c r="R910">
        <v>660</v>
      </c>
      <c r="S910">
        <v>630</v>
      </c>
      <c r="T910">
        <v>617</v>
      </c>
      <c r="U910">
        <v>545</v>
      </c>
      <c r="V910">
        <v>538</v>
      </c>
      <c r="W910">
        <v>458</v>
      </c>
      <c r="X910">
        <v>493</v>
      </c>
      <c r="Y910">
        <v>467</v>
      </c>
      <c r="Z910">
        <v>478</v>
      </c>
      <c r="AA910">
        <v>490</v>
      </c>
      <c r="AB910">
        <v>481</v>
      </c>
      <c r="AC910">
        <v>413</v>
      </c>
      <c r="AD910">
        <v>446</v>
      </c>
      <c r="AE910">
        <v>469</v>
      </c>
      <c r="AF910">
        <v>432</v>
      </c>
      <c r="AG910">
        <v>420</v>
      </c>
    </row>
    <row r="911" spans="1:33" x14ac:dyDescent="0.35">
      <c r="A911" t="s">
        <v>1245</v>
      </c>
      <c r="B911" s="7">
        <v>2.63</v>
      </c>
      <c r="C911" s="7">
        <v>2.52</v>
      </c>
      <c r="D911" s="7">
        <v>2.5099999999999998</v>
      </c>
      <c r="E911" s="7">
        <v>2.52</v>
      </c>
      <c r="F911" s="7">
        <v>2.59</v>
      </c>
      <c r="G911" s="7">
        <v>2.69</v>
      </c>
      <c r="H911" s="7">
        <v>2.69</v>
      </c>
      <c r="I911" s="7">
        <v>2.69</v>
      </c>
      <c r="J911" s="7">
        <v>2.69</v>
      </c>
      <c r="K911" s="7">
        <v>2.69</v>
      </c>
      <c r="L911" s="7">
        <v>2.69</v>
      </c>
      <c r="M911" s="7">
        <v>2.69</v>
      </c>
      <c r="N911" s="7">
        <v>2.69</v>
      </c>
      <c r="O911" s="7">
        <v>2.69</v>
      </c>
      <c r="P911" s="7">
        <v>2.69</v>
      </c>
      <c r="Q911" s="7">
        <v>2.69</v>
      </c>
      <c r="R911" s="7">
        <v>2.69</v>
      </c>
      <c r="S911" s="7">
        <v>2.69</v>
      </c>
      <c r="T911" s="7">
        <v>2.69</v>
      </c>
      <c r="U911" s="7">
        <v>2.69</v>
      </c>
      <c r="V911" s="7">
        <v>2.69</v>
      </c>
      <c r="W911" s="7">
        <v>2.69</v>
      </c>
      <c r="X911" s="7">
        <v>2.69</v>
      </c>
      <c r="Y911" s="7">
        <v>2.68</v>
      </c>
      <c r="Z911" s="7">
        <v>2.68</v>
      </c>
      <c r="AA911" s="7">
        <v>2.69</v>
      </c>
      <c r="AB911" s="7">
        <v>2.69</v>
      </c>
      <c r="AC911" s="7">
        <v>2.69</v>
      </c>
      <c r="AD911" s="7">
        <v>2.62</v>
      </c>
      <c r="AE911" s="7">
        <v>2.5299999999999998</v>
      </c>
      <c r="AF911" s="7">
        <v>2.54</v>
      </c>
      <c r="AG911" s="7">
        <v>2.52</v>
      </c>
    </row>
    <row r="912" spans="1:33" x14ac:dyDescent="0.35">
      <c r="C912">
        <f>SUM(C910:E910)</f>
        <v>1935</v>
      </c>
      <c r="D912">
        <f>SUM(C909:E909)</f>
        <v>722</v>
      </c>
    </row>
    <row r="913" spans="1:33" x14ac:dyDescent="0.35">
      <c r="A913" t="s">
        <v>1240</v>
      </c>
      <c r="B913" s="5">
        <v>46026</v>
      </c>
      <c r="C913" s="5">
        <v>46033</v>
      </c>
      <c r="D913" s="5">
        <v>46040</v>
      </c>
      <c r="E913" s="5">
        <v>46047</v>
      </c>
      <c r="F913" s="5">
        <v>46054</v>
      </c>
      <c r="G913" s="5">
        <v>46061</v>
      </c>
      <c r="H913" s="5">
        <v>46068</v>
      </c>
      <c r="I913" s="5">
        <v>46075</v>
      </c>
      <c r="J913" s="5">
        <v>46082</v>
      </c>
      <c r="K913" s="5">
        <v>46089</v>
      </c>
      <c r="L913" s="5">
        <v>46096</v>
      </c>
      <c r="M913" s="5">
        <v>46103</v>
      </c>
      <c r="N913" s="5">
        <v>46110</v>
      </c>
      <c r="O913" s="5">
        <v>46117</v>
      </c>
      <c r="P913" s="5">
        <v>46124</v>
      </c>
      <c r="Q913" s="5">
        <v>46131</v>
      </c>
      <c r="R913" s="5">
        <v>46138</v>
      </c>
      <c r="S913" s="5">
        <v>46145</v>
      </c>
      <c r="T913" s="5">
        <v>46152</v>
      </c>
      <c r="U913" s="5">
        <v>46159</v>
      </c>
      <c r="V913" s="5">
        <v>46166</v>
      </c>
      <c r="W913" s="5">
        <v>46173</v>
      </c>
      <c r="X913" s="5">
        <v>46180</v>
      </c>
      <c r="Y913" s="5">
        <v>46187</v>
      </c>
      <c r="Z913" s="5">
        <v>46194</v>
      </c>
      <c r="AA913" s="5">
        <v>46201</v>
      </c>
      <c r="AB913" s="5">
        <v>46208</v>
      </c>
      <c r="AC913" s="5">
        <v>46215</v>
      </c>
      <c r="AD913" s="5">
        <v>46222</v>
      </c>
      <c r="AE913" s="5">
        <v>46229</v>
      </c>
      <c r="AF913" s="5">
        <v>46236</v>
      </c>
      <c r="AG913" s="5">
        <v>46243</v>
      </c>
    </row>
    <row r="914" spans="1:33" x14ac:dyDescent="0.35">
      <c r="A914" t="s">
        <v>1242</v>
      </c>
      <c r="B914" s="3">
        <v>3.3000000000000002E-2</v>
      </c>
      <c r="C914" s="3">
        <v>0.33900000000000002</v>
      </c>
      <c r="D914" s="3">
        <v>0.32900000000000001</v>
      </c>
      <c r="E914" s="3">
        <v>0.438</v>
      </c>
      <c r="F914" s="3">
        <v>0.152</v>
      </c>
      <c r="G914" s="3">
        <v>0</v>
      </c>
      <c r="H914" s="3">
        <v>0</v>
      </c>
      <c r="I914" s="3">
        <v>0</v>
      </c>
      <c r="J914" s="3">
        <v>0</v>
      </c>
      <c r="K914" s="3">
        <v>0</v>
      </c>
      <c r="L914" s="3">
        <v>0</v>
      </c>
      <c r="M914" s="3">
        <v>0</v>
      </c>
      <c r="N914" s="3">
        <v>0</v>
      </c>
      <c r="O914" s="3">
        <v>0</v>
      </c>
      <c r="P914" s="3">
        <v>0</v>
      </c>
      <c r="Q914" s="3">
        <v>0</v>
      </c>
      <c r="R914" s="3">
        <v>0</v>
      </c>
      <c r="S914" s="3">
        <v>3.0000000000000001E-3</v>
      </c>
      <c r="T914" s="3">
        <v>0</v>
      </c>
      <c r="U914" s="3">
        <v>0</v>
      </c>
      <c r="V914" s="3">
        <v>0</v>
      </c>
      <c r="W914" s="3">
        <v>3.0000000000000001E-3</v>
      </c>
      <c r="X914" s="3">
        <v>0</v>
      </c>
      <c r="Y914" s="3">
        <v>3.0000000000000001E-3</v>
      </c>
      <c r="Z914" s="3">
        <v>1E-3</v>
      </c>
      <c r="AA914" s="3">
        <v>0</v>
      </c>
      <c r="AB914" s="3">
        <v>0</v>
      </c>
      <c r="AC914" s="3">
        <v>0</v>
      </c>
      <c r="AD914" s="3">
        <v>8.6999999999999994E-2</v>
      </c>
      <c r="AE914" s="3">
        <v>0.26800000000000002</v>
      </c>
      <c r="AF914" s="3">
        <v>0.33800000000000002</v>
      </c>
      <c r="AG914" s="3">
        <v>0.316</v>
      </c>
    </row>
    <row r="915" spans="1:33" x14ac:dyDescent="0.35">
      <c r="A915" t="s">
        <v>1247</v>
      </c>
      <c r="B915" s="3">
        <v>5.3999999999999999E-2</v>
      </c>
      <c r="C915" s="3">
        <v>4.2000000000000003E-2</v>
      </c>
      <c r="D915" s="3">
        <v>4.2999999999999997E-2</v>
      </c>
      <c r="E915" s="3">
        <v>3.9E-2</v>
      </c>
      <c r="F915" s="3">
        <v>4.3999999999999997E-2</v>
      </c>
      <c r="G915" s="3">
        <v>9.2999999999999999E-2</v>
      </c>
      <c r="H915" s="3">
        <v>9.2999999999999999E-2</v>
      </c>
      <c r="I915" t="s">
        <v>1272</v>
      </c>
      <c r="J915" t="s">
        <v>1272</v>
      </c>
      <c r="K915" s="3">
        <v>6.0999999999999999E-2</v>
      </c>
      <c r="L915" s="3">
        <v>0.185</v>
      </c>
      <c r="M915" s="3">
        <v>0.186</v>
      </c>
      <c r="N915" t="s">
        <v>1272</v>
      </c>
      <c r="O915" s="3">
        <v>0.186</v>
      </c>
      <c r="P915" s="3">
        <v>0.111</v>
      </c>
      <c r="Q915" s="3">
        <v>9.2999999999999999E-2</v>
      </c>
      <c r="R915" t="s">
        <v>1272</v>
      </c>
      <c r="S915" s="3">
        <v>7.3999999999999996E-2</v>
      </c>
      <c r="T915" s="3">
        <v>9.2999999999999999E-2</v>
      </c>
      <c r="U915" t="s">
        <v>1272</v>
      </c>
      <c r="V915" s="3">
        <v>0.501</v>
      </c>
      <c r="W915" s="3">
        <v>0.1</v>
      </c>
      <c r="X915" s="3">
        <v>0.186</v>
      </c>
      <c r="Y915" s="3">
        <v>0.502</v>
      </c>
      <c r="Z915" s="3">
        <v>0.17499999999999999</v>
      </c>
      <c r="AA915" s="3">
        <v>7.3999999999999996E-2</v>
      </c>
      <c r="AB915" t="s">
        <v>1272</v>
      </c>
      <c r="AC915" t="s">
        <v>1272</v>
      </c>
      <c r="AD915" s="3">
        <v>5.3999999999999999E-2</v>
      </c>
      <c r="AE915" s="3">
        <v>4.2000000000000003E-2</v>
      </c>
      <c r="AF915" s="3">
        <v>4.4999999999999998E-2</v>
      </c>
      <c r="AG915" s="3">
        <v>3.9E-2</v>
      </c>
    </row>
    <row r="916" spans="1:33" x14ac:dyDescent="0.35">
      <c r="A916" t="s">
        <v>1248</v>
      </c>
      <c r="B916" s="7">
        <v>0.14000000000000001</v>
      </c>
      <c r="C916" s="7">
        <v>0.11</v>
      </c>
      <c r="D916" s="7">
        <v>0.11</v>
      </c>
      <c r="E916" s="7">
        <v>0.1</v>
      </c>
      <c r="F916" s="7">
        <v>0.12</v>
      </c>
      <c r="G916" s="7">
        <v>0.25</v>
      </c>
      <c r="H916" s="7">
        <v>0.25</v>
      </c>
      <c r="I916" t="s">
        <v>1272</v>
      </c>
      <c r="J916" t="s">
        <v>1272</v>
      </c>
      <c r="K916" s="7">
        <v>0.16</v>
      </c>
      <c r="L916" s="7">
        <v>0.5</v>
      </c>
      <c r="M916" s="7">
        <v>0.5</v>
      </c>
      <c r="N916" t="s">
        <v>1272</v>
      </c>
      <c r="O916" s="7">
        <v>0.5</v>
      </c>
      <c r="P916" s="7">
        <v>0.3</v>
      </c>
      <c r="Q916" s="7">
        <v>0.25</v>
      </c>
      <c r="R916" t="s">
        <v>1272</v>
      </c>
      <c r="S916" s="7">
        <v>0.2</v>
      </c>
      <c r="T916" s="7">
        <v>0.25</v>
      </c>
      <c r="U916" t="s">
        <v>1272</v>
      </c>
      <c r="V916" s="7">
        <v>1.35</v>
      </c>
      <c r="W916" s="7">
        <v>0.27</v>
      </c>
      <c r="X916" s="7">
        <v>0.5</v>
      </c>
      <c r="Y916" s="7">
        <v>1.35</v>
      </c>
      <c r="Z916" s="7">
        <v>0.47</v>
      </c>
      <c r="AA916" s="7">
        <v>0.2</v>
      </c>
      <c r="AB916" t="s">
        <v>1272</v>
      </c>
      <c r="AC916" t="s">
        <v>1272</v>
      </c>
      <c r="AD916" s="7">
        <v>0.14000000000000001</v>
      </c>
      <c r="AE916" s="7">
        <v>0.11</v>
      </c>
      <c r="AF916" s="7">
        <v>0.12</v>
      </c>
      <c r="AG916" s="7">
        <v>0.1</v>
      </c>
    </row>
    <row r="917" spans="1:33" x14ac:dyDescent="0.35">
      <c r="A917" t="s">
        <v>1249</v>
      </c>
      <c r="B917" s="7">
        <v>2.5</v>
      </c>
      <c r="C917" s="129">
        <v>2.5</v>
      </c>
      <c r="D917" s="129">
        <v>2.5</v>
      </c>
      <c r="E917" s="129">
        <v>2.5099999999999998</v>
      </c>
      <c r="F917" s="7">
        <v>2.52</v>
      </c>
      <c r="G917" s="7">
        <v>2.44</v>
      </c>
      <c r="H917" s="7">
        <v>2.44</v>
      </c>
      <c r="I917" t="s">
        <v>1272</v>
      </c>
      <c r="J917" t="s">
        <v>1272</v>
      </c>
      <c r="K917" s="7">
        <v>2.52</v>
      </c>
      <c r="L917" s="7">
        <v>2.19</v>
      </c>
      <c r="M917" s="7">
        <v>2.19</v>
      </c>
      <c r="N917" t="s">
        <v>1272</v>
      </c>
      <c r="O917" s="7">
        <v>2.19</v>
      </c>
      <c r="P917" s="7">
        <v>2.39</v>
      </c>
      <c r="Q917" s="7">
        <v>2.44</v>
      </c>
      <c r="R917" t="s">
        <v>1272</v>
      </c>
      <c r="S917" s="7">
        <v>2.4900000000000002</v>
      </c>
      <c r="T917" s="7">
        <v>2.44</v>
      </c>
      <c r="U917" t="s">
        <v>1272</v>
      </c>
      <c r="V917" s="7">
        <v>1.34</v>
      </c>
      <c r="W917" s="7">
        <v>2.42</v>
      </c>
      <c r="X917" s="7">
        <v>2.19</v>
      </c>
      <c r="Y917" s="7">
        <v>1.34</v>
      </c>
      <c r="Z917" s="7">
        <v>2.2200000000000002</v>
      </c>
      <c r="AA917" s="7">
        <v>2.4900000000000002</v>
      </c>
      <c r="AB917" t="s">
        <v>1272</v>
      </c>
      <c r="AC917" t="s">
        <v>1272</v>
      </c>
      <c r="AD917" s="7">
        <v>2.5099999999999998</v>
      </c>
      <c r="AE917" s="7">
        <v>2.5</v>
      </c>
      <c r="AF917" s="7">
        <v>2.4900000000000002</v>
      </c>
      <c r="AG917" s="7">
        <v>2.5</v>
      </c>
    </row>
    <row r="918" spans="1:33" x14ac:dyDescent="0.35">
      <c r="A918" t="s">
        <v>1250</v>
      </c>
      <c r="B918" s="7">
        <v>2.65</v>
      </c>
      <c r="C918" s="7">
        <v>2.61</v>
      </c>
      <c r="D918" s="7">
        <v>2.61</v>
      </c>
      <c r="E918" s="7">
        <v>2.61</v>
      </c>
      <c r="F918" s="7">
        <v>2.63</v>
      </c>
      <c r="G918" s="7">
        <v>2.69</v>
      </c>
      <c r="H918" s="7">
        <v>2.69</v>
      </c>
      <c r="I918" s="7">
        <v>2.69</v>
      </c>
      <c r="J918" s="7">
        <v>2.69</v>
      </c>
      <c r="K918" s="7">
        <v>2.69</v>
      </c>
      <c r="L918" s="7">
        <v>2.69</v>
      </c>
      <c r="M918" s="7">
        <v>2.69</v>
      </c>
      <c r="N918" s="7">
        <v>2.69</v>
      </c>
      <c r="O918" s="7">
        <v>2.69</v>
      </c>
      <c r="P918" s="7">
        <v>2.69</v>
      </c>
      <c r="Q918" s="7">
        <v>2.69</v>
      </c>
      <c r="R918" s="7">
        <v>2.69</v>
      </c>
      <c r="S918" s="7">
        <v>2.69</v>
      </c>
      <c r="T918" s="7">
        <v>2.69</v>
      </c>
      <c r="U918" s="7">
        <v>2.69</v>
      </c>
      <c r="V918" s="7">
        <v>2.69</v>
      </c>
      <c r="W918" s="7">
        <v>2.69</v>
      </c>
      <c r="X918" s="7">
        <v>2.69</v>
      </c>
      <c r="Y918" s="7">
        <v>2.69</v>
      </c>
      <c r="Z918" s="7">
        <v>2.69</v>
      </c>
      <c r="AA918" s="7">
        <v>2.69</v>
      </c>
      <c r="AB918" s="7">
        <v>2.69</v>
      </c>
      <c r="AC918" s="7">
        <v>2.69</v>
      </c>
      <c r="AD918" s="7">
        <v>2.65</v>
      </c>
      <c r="AE918" s="7">
        <v>2.61</v>
      </c>
      <c r="AF918" s="7">
        <v>2.61</v>
      </c>
      <c r="AG918" s="7">
        <v>2.6</v>
      </c>
    </row>
    <row r="919" spans="1:33" x14ac:dyDescent="0.35">
      <c r="A919" t="s">
        <v>1245</v>
      </c>
      <c r="B919" s="7">
        <v>2.63</v>
      </c>
      <c r="C919" s="7">
        <v>2.52</v>
      </c>
      <c r="D919" s="7">
        <v>2.5099999999999998</v>
      </c>
      <c r="E919" s="7">
        <v>2.52</v>
      </c>
      <c r="F919" s="7">
        <v>2.59</v>
      </c>
      <c r="G919" s="7">
        <v>2.69</v>
      </c>
      <c r="H919" s="7">
        <v>2.69</v>
      </c>
      <c r="I919" s="7">
        <v>2.69</v>
      </c>
      <c r="J919" s="7">
        <v>2.69</v>
      </c>
      <c r="K919" s="7">
        <v>2.69</v>
      </c>
      <c r="L919" s="7">
        <v>2.69</v>
      </c>
      <c r="M919" s="7">
        <v>2.69</v>
      </c>
      <c r="N919" s="7">
        <v>2.69</v>
      </c>
      <c r="O919" s="7">
        <v>2.69</v>
      </c>
      <c r="P919" s="7">
        <v>2.69</v>
      </c>
      <c r="Q919" s="7">
        <v>2.69</v>
      </c>
      <c r="R919" s="7">
        <v>2.69</v>
      </c>
      <c r="S919" s="7">
        <v>2.69</v>
      </c>
      <c r="T919" s="7">
        <v>2.69</v>
      </c>
      <c r="U919" s="7">
        <v>2.69</v>
      </c>
      <c r="V919" s="7">
        <v>2.69</v>
      </c>
      <c r="W919" s="7">
        <v>2.69</v>
      </c>
      <c r="X919" s="7">
        <v>2.69</v>
      </c>
      <c r="Y919" s="7">
        <v>2.68</v>
      </c>
      <c r="Z919" s="7">
        <v>2.68</v>
      </c>
      <c r="AA919" s="7">
        <v>2.69</v>
      </c>
      <c r="AB919" s="7">
        <v>2.69</v>
      </c>
      <c r="AC919" s="7">
        <v>2.69</v>
      </c>
      <c r="AD919" s="7">
        <v>2.62</v>
      </c>
      <c r="AE919" s="7">
        <v>2.5299999999999998</v>
      </c>
      <c r="AF919" s="7">
        <v>2.54</v>
      </c>
      <c r="AG919" s="7">
        <v>2.52</v>
      </c>
    </row>
    <row r="922" spans="1:33" x14ac:dyDescent="0.35">
      <c r="A922" t="s">
        <v>1254</v>
      </c>
      <c r="B922" s="5">
        <v>46026</v>
      </c>
      <c r="C922" s="5">
        <v>46033</v>
      </c>
      <c r="D922" s="5">
        <v>46040</v>
      </c>
      <c r="E922" s="5">
        <v>46047</v>
      </c>
      <c r="F922" s="5">
        <v>46054</v>
      </c>
      <c r="G922" s="5">
        <v>46061</v>
      </c>
      <c r="H922" s="5">
        <v>46068</v>
      </c>
      <c r="I922" s="5">
        <v>46075</v>
      </c>
      <c r="J922" s="5">
        <v>46082</v>
      </c>
      <c r="K922" s="5">
        <v>46089</v>
      </c>
      <c r="L922" s="5">
        <v>46096</v>
      </c>
      <c r="M922" s="5">
        <v>46103</v>
      </c>
      <c r="N922" s="5">
        <v>46110</v>
      </c>
      <c r="O922" s="128">
        <v>46117</v>
      </c>
      <c r="P922" s="128">
        <v>46124</v>
      </c>
      <c r="Q922" s="128">
        <v>46131</v>
      </c>
      <c r="R922" s="128">
        <v>46138</v>
      </c>
      <c r="S922" s="5">
        <v>46145</v>
      </c>
      <c r="T922" s="5">
        <v>46152</v>
      </c>
      <c r="U922" s="5">
        <v>46159</v>
      </c>
      <c r="V922" s="5">
        <v>46166</v>
      </c>
      <c r="W922" s="5">
        <v>46173</v>
      </c>
      <c r="X922" s="5">
        <v>46180</v>
      </c>
      <c r="Y922" s="5">
        <v>46187</v>
      </c>
      <c r="Z922" s="5">
        <v>46194</v>
      </c>
      <c r="AA922" s="5">
        <v>46201</v>
      </c>
      <c r="AB922" s="5">
        <v>46208</v>
      </c>
      <c r="AC922" s="5">
        <v>46215</v>
      </c>
      <c r="AD922" s="5">
        <v>46222</v>
      </c>
      <c r="AE922" s="5">
        <v>46229</v>
      </c>
      <c r="AF922" s="5">
        <v>46236</v>
      </c>
      <c r="AG922" s="5">
        <v>46243</v>
      </c>
    </row>
    <row r="923" spans="1:33" x14ac:dyDescent="0.35">
      <c r="A923" t="s">
        <v>1241</v>
      </c>
      <c r="B923">
        <v>588</v>
      </c>
      <c r="C923">
        <v>710</v>
      </c>
      <c r="D923">
        <v>830</v>
      </c>
      <c r="E923" s="6">
        <v>1036</v>
      </c>
      <c r="F923">
        <v>670</v>
      </c>
      <c r="G923">
        <v>966</v>
      </c>
      <c r="H923">
        <v>921</v>
      </c>
      <c r="I923">
        <v>957</v>
      </c>
      <c r="J923">
        <v>916</v>
      </c>
      <c r="K923">
        <v>929</v>
      </c>
      <c r="L923">
        <v>971</v>
      </c>
      <c r="M923">
        <v>946</v>
      </c>
      <c r="N923" s="6">
        <v>1068</v>
      </c>
      <c r="O923" s="6">
        <v>1241</v>
      </c>
      <c r="P923" s="6">
        <v>1176</v>
      </c>
      <c r="Q923" s="6">
        <v>1208</v>
      </c>
      <c r="R923" s="6">
        <v>1080</v>
      </c>
      <c r="S923">
        <v>940</v>
      </c>
      <c r="T923">
        <v>945</v>
      </c>
      <c r="U923">
        <v>922</v>
      </c>
      <c r="V923">
        <v>872</v>
      </c>
      <c r="W923">
        <v>817</v>
      </c>
      <c r="X923">
        <v>865</v>
      </c>
      <c r="Y923">
        <v>895</v>
      </c>
      <c r="Z923">
        <v>918</v>
      </c>
      <c r="AA923">
        <v>911</v>
      </c>
      <c r="AB923">
        <v>920</v>
      </c>
      <c r="AC923">
        <v>950</v>
      </c>
      <c r="AD923">
        <v>930</v>
      </c>
      <c r="AE923">
        <v>838</v>
      </c>
      <c r="AF923">
        <v>825</v>
      </c>
      <c r="AG923">
        <v>824</v>
      </c>
    </row>
    <row r="924" spans="1:33" x14ac:dyDescent="0.35">
      <c r="A924" t="s">
        <v>1242</v>
      </c>
      <c r="B924" s="3">
        <v>6.0000000000000001E-3</v>
      </c>
      <c r="C924" s="3">
        <v>3.0000000000000001E-3</v>
      </c>
      <c r="D924" s="3">
        <v>0</v>
      </c>
      <c r="E924" s="3">
        <v>0</v>
      </c>
      <c r="F924" s="3">
        <v>0</v>
      </c>
      <c r="G924" s="3">
        <v>0</v>
      </c>
      <c r="H924" s="3">
        <v>1E-3</v>
      </c>
      <c r="I924" s="3">
        <v>0</v>
      </c>
      <c r="J924" s="3">
        <v>0</v>
      </c>
      <c r="K924" s="3">
        <v>1E-3</v>
      </c>
      <c r="L924" s="3">
        <v>2E-3</v>
      </c>
      <c r="M924" s="3">
        <v>3.0000000000000001E-3</v>
      </c>
      <c r="N924" s="3">
        <v>0.10100000000000001</v>
      </c>
      <c r="O924" s="130">
        <v>0.36199999999999999</v>
      </c>
      <c r="P924" s="130">
        <v>0.36699999999999999</v>
      </c>
      <c r="Q924" s="130">
        <v>0.39400000000000002</v>
      </c>
      <c r="R924" s="130">
        <v>0.24199999999999999</v>
      </c>
      <c r="S924" s="3">
        <v>0</v>
      </c>
      <c r="T924" s="3">
        <v>0</v>
      </c>
      <c r="U924" s="3">
        <v>1E-3</v>
      </c>
      <c r="V924" s="3">
        <v>0</v>
      </c>
      <c r="W924" s="3">
        <v>2E-3</v>
      </c>
      <c r="X924" s="3">
        <v>0</v>
      </c>
      <c r="Y924" s="3">
        <v>0</v>
      </c>
      <c r="Z924" s="3">
        <v>4.0000000000000001E-3</v>
      </c>
      <c r="AA924" s="3">
        <v>3.0000000000000001E-3</v>
      </c>
      <c r="AB924" s="3">
        <v>1E-3</v>
      </c>
      <c r="AC924" s="3">
        <v>2E-3</v>
      </c>
      <c r="AD924" s="3">
        <v>0</v>
      </c>
      <c r="AE924" s="3">
        <v>1E-3</v>
      </c>
      <c r="AF924" s="3">
        <v>0</v>
      </c>
      <c r="AG924" s="3">
        <v>6.0000000000000001E-3</v>
      </c>
    </row>
    <row r="925" spans="1:33" x14ac:dyDescent="0.35">
      <c r="A925" t="s">
        <v>1243</v>
      </c>
      <c r="B925">
        <v>4</v>
      </c>
      <c r="C925">
        <v>2</v>
      </c>
      <c r="D925">
        <v>0</v>
      </c>
      <c r="E925">
        <v>0</v>
      </c>
      <c r="F925">
        <v>0</v>
      </c>
      <c r="G925">
        <v>0</v>
      </c>
      <c r="H925">
        <v>1</v>
      </c>
      <c r="I925">
        <v>0</v>
      </c>
      <c r="J925">
        <v>0</v>
      </c>
      <c r="K925">
        <v>1</v>
      </c>
      <c r="L925">
        <v>2</v>
      </c>
      <c r="M925">
        <v>2</v>
      </c>
      <c r="N925">
        <v>98</v>
      </c>
      <c r="O925">
        <v>330</v>
      </c>
      <c r="P925">
        <v>316</v>
      </c>
      <c r="Q925">
        <v>341</v>
      </c>
      <c r="R925">
        <v>211</v>
      </c>
      <c r="S925">
        <v>0</v>
      </c>
      <c r="T925">
        <v>0</v>
      </c>
      <c r="U925">
        <v>1</v>
      </c>
      <c r="V925">
        <v>0</v>
      </c>
      <c r="W925">
        <v>2</v>
      </c>
      <c r="X925">
        <v>0</v>
      </c>
      <c r="Y925">
        <v>0</v>
      </c>
      <c r="Z925">
        <v>4</v>
      </c>
      <c r="AA925">
        <v>3</v>
      </c>
      <c r="AB925">
        <v>1</v>
      </c>
      <c r="AC925">
        <v>2</v>
      </c>
      <c r="AD925">
        <v>0</v>
      </c>
      <c r="AE925">
        <v>1</v>
      </c>
      <c r="AF925">
        <v>0</v>
      </c>
      <c r="AG925">
        <v>5</v>
      </c>
    </row>
    <row r="926" spans="1:33" x14ac:dyDescent="0.35">
      <c r="A926" t="s">
        <v>1244</v>
      </c>
      <c r="B926">
        <v>584</v>
      </c>
      <c r="C926">
        <v>708</v>
      </c>
      <c r="D926">
        <v>830</v>
      </c>
      <c r="E926" s="6">
        <v>1036</v>
      </c>
      <c r="F926">
        <v>670</v>
      </c>
      <c r="G926">
        <v>966</v>
      </c>
      <c r="H926">
        <v>921</v>
      </c>
      <c r="I926">
        <v>957</v>
      </c>
      <c r="J926">
        <v>916</v>
      </c>
      <c r="K926">
        <v>928</v>
      </c>
      <c r="L926">
        <v>970</v>
      </c>
      <c r="M926">
        <v>944</v>
      </c>
      <c r="N926">
        <v>970</v>
      </c>
      <c r="O926">
        <v>911</v>
      </c>
      <c r="P926">
        <v>861</v>
      </c>
      <c r="Q926">
        <v>867</v>
      </c>
      <c r="R926">
        <v>870</v>
      </c>
      <c r="S926">
        <v>940</v>
      </c>
      <c r="T926">
        <v>945</v>
      </c>
      <c r="U926">
        <v>922</v>
      </c>
      <c r="V926">
        <v>872</v>
      </c>
      <c r="W926">
        <v>815</v>
      </c>
      <c r="X926">
        <v>866</v>
      </c>
      <c r="Y926">
        <v>895</v>
      </c>
      <c r="Z926">
        <v>914</v>
      </c>
      <c r="AA926">
        <v>909</v>
      </c>
      <c r="AB926">
        <v>919</v>
      </c>
      <c r="AC926">
        <v>948</v>
      </c>
      <c r="AD926">
        <v>934</v>
      </c>
      <c r="AE926">
        <v>837</v>
      </c>
      <c r="AF926">
        <v>826</v>
      </c>
      <c r="AG926">
        <v>819</v>
      </c>
    </row>
    <row r="927" spans="1:33" x14ac:dyDescent="0.35">
      <c r="A927" t="s">
        <v>1245</v>
      </c>
      <c r="B927" s="7">
        <v>9.3000000000000007</v>
      </c>
      <c r="C927" s="7">
        <v>9.9700000000000006</v>
      </c>
      <c r="D927" s="7">
        <v>9.99</v>
      </c>
      <c r="E927" s="7">
        <v>9.99</v>
      </c>
      <c r="F927" s="7">
        <v>9.99</v>
      </c>
      <c r="G927" s="7">
        <v>9.99</v>
      </c>
      <c r="H927" s="7">
        <v>9.99</v>
      </c>
      <c r="I927" s="7">
        <v>9.99</v>
      </c>
      <c r="J927" s="7">
        <v>9.98</v>
      </c>
      <c r="K927" s="7">
        <v>9.98</v>
      </c>
      <c r="L927" s="7">
        <v>9.98</v>
      </c>
      <c r="M927" s="7">
        <v>9.98</v>
      </c>
      <c r="N927" s="7">
        <v>9.67</v>
      </c>
      <c r="O927" s="7">
        <v>9.08</v>
      </c>
      <c r="P927" s="7">
        <v>9.0500000000000007</v>
      </c>
      <c r="Q927" s="7">
        <v>9.07</v>
      </c>
      <c r="R927" s="7">
        <v>9.32</v>
      </c>
      <c r="S927" s="7">
        <v>9.98</v>
      </c>
      <c r="T927" s="7">
        <v>9.98</v>
      </c>
      <c r="U927" s="7">
        <v>9.98</v>
      </c>
      <c r="V927" s="7">
        <v>9.98</v>
      </c>
      <c r="W927" s="7">
        <v>9.9600000000000009</v>
      </c>
      <c r="X927" s="7">
        <v>9.99</v>
      </c>
      <c r="Y927" s="7">
        <v>9.99</v>
      </c>
      <c r="Z927" s="7">
        <v>9.9700000000000006</v>
      </c>
      <c r="AA927" s="7">
        <v>9.9600000000000009</v>
      </c>
      <c r="AB927" s="7">
        <v>9.98</v>
      </c>
      <c r="AC927" s="7">
        <v>9.98</v>
      </c>
      <c r="AD927" s="7">
        <v>9.98</v>
      </c>
      <c r="AE927" s="7">
        <v>9.94</v>
      </c>
      <c r="AF927" s="7">
        <v>10</v>
      </c>
      <c r="AG927" s="7">
        <v>9.98</v>
      </c>
    </row>
    <row r="928" spans="1:33" x14ac:dyDescent="0.35">
      <c r="O928">
        <f>SUM(O926:R926)</f>
        <v>3509</v>
      </c>
      <c r="P928">
        <f>SUM(O925:R925)</f>
        <v>1198</v>
      </c>
    </row>
    <row r="929" spans="1:33" x14ac:dyDescent="0.35">
      <c r="A929" t="s">
        <v>1254</v>
      </c>
      <c r="B929" s="5">
        <v>46026</v>
      </c>
      <c r="C929" s="5">
        <v>46033</v>
      </c>
      <c r="D929" s="5">
        <v>46040</v>
      </c>
      <c r="E929" s="5">
        <v>46047</v>
      </c>
      <c r="F929" s="5">
        <v>46054</v>
      </c>
      <c r="G929" s="5">
        <v>46061</v>
      </c>
      <c r="H929" s="5">
        <v>46068</v>
      </c>
      <c r="I929" s="5">
        <v>46075</v>
      </c>
      <c r="J929" s="5">
        <v>46082</v>
      </c>
      <c r="K929" s="5">
        <v>46089</v>
      </c>
      <c r="L929" s="5">
        <v>46096</v>
      </c>
      <c r="M929" s="5">
        <v>46103</v>
      </c>
      <c r="N929" s="5">
        <v>46110</v>
      </c>
      <c r="O929" s="5">
        <v>46117</v>
      </c>
      <c r="P929" s="128">
        <v>46124</v>
      </c>
      <c r="Q929" s="128">
        <v>46131</v>
      </c>
      <c r="R929" s="128">
        <v>46138</v>
      </c>
      <c r="S929" s="5">
        <v>46145</v>
      </c>
      <c r="T929" s="5">
        <v>46152</v>
      </c>
      <c r="U929" s="5">
        <v>46159</v>
      </c>
      <c r="V929" s="5">
        <v>46166</v>
      </c>
      <c r="W929" s="5">
        <v>46173</v>
      </c>
      <c r="X929" s="5">
        <v>46180</v>
      </c>
      <c r="Y929" s="5">
        <v>46187</v>
      </c>
      <c r="Z929" s="5">
        <v>46194</v>
      </c>
      <c r="AA929" s="5">
        <v>46201</v>
      </c>
      <c r="AB929" s="5">
        <v>46208</v>
      </c>
      <c r="AC929" s="5">
        <v>46215</v>
      </c>
      <c r="AD929" s="5">
        <v>46222</v>
      </c>
      <c r="AE929" s="5">
        <v>46229</v>
      </c>
      <c r="AF929" s="5">
        <v>46236</v>
      </c>
      <c r="AG929" s="5">
        <v>46243</v>
      </c>
    </row>
    <row r="930" spans="1:33" x14ac:dyDescent="0.35">
      <c r="A930" t="s">
        <v>1242</v>
      </c>
      <c r="B930" s="3">
        <v>6.0000000000000001E-3</v>
      </c>
      <c r="C930" s="3">
        <v>3.0000000000000001E-3</v>
      </c>
      <c r="D930" s="3">
        <v>0</v>
      </c>
      <c r="E930" s="3">
        <v>0</v>
      </c>
      <c r="F930" s="3">
        <v>0</v>
      </c>
      <c r="G930" s="3">
        <v>0</v>
      </c>
      <c r="H930" s="3">
        <v>1E-3</v>
      </c>
      <c r="I930" s="3">
        <v>0</v>
      </c>
      <c r="J930" s="3">
        <v>0</v>
      </c>
      <c r="K930" s="3">
        <v>1E-3</v>
      </c>
      <c r="L930" s="3">
        <v>2E-3</v>
      </c>
      <c r="M930" s="3">
        <v>3.0000000000000001E-3</v>
      </c>
      <c r="N930" s="3">
        <v>0.10100000000000001</v>
      </c>
      <c r="O930" s="130">
        <v>0.36199999999999999</v>
      </c>
      <c r="P930" s="130">
        <v>0.36699999999999999</v>
      </c>
      <c r="Q930" s="130">
        <v>0.39400000000000002</v>
      </c>
      <c r="R930" s="130">
        <v>0.24199999999999999</v>
      </c>
      <c r="S930" s="3">
        <v>0</v>
      </c>
      <c r="T930" s="3">
        <v>0</v>
      </c>
      <c r="U930" s="3">
        <v>1E-3</v>
      </c>
      <c r="V930" s="3">
        <v>0</v>
      </c>
      <c r="W930" s="3">
        <v>2E-3</v>
      </c>
      <c r="X930" s="3">
        <v>0</v>
      </c>
      <c r="Y930" s="3">
        <v>0</v>
      </c>
      <c r="Z930" s="3">
        <v>4.0000000000000001E-3</v>
      </c>
      <c r="AA930" s="3">
        <v>3.0000000000000001E-3</v>
      </c>
      <c r="AB930" s="3">
        <v>1E-3</v>
      </c>
      <c r="AC930" s="3">
        <v>2E-3</v>
      </c>
      <c r="AD930" s="3">
        <v>0</v>
      </c>
      <c r="AE930" s="3">
        <v>1E-3</v>
      </c>
      <c r="AF930" s="3">
        <v>0</v>
      </c>
      <c r="AG930" s="3">
        <v>6.0000000000000001E-3</v>
      </c>
    </row>
    <row r="931" spans="1:33" x14ac:dyDescent="0.35">
      <c r="A931" t="s">
        <v>1247</v>
      </c>
      <c r="B931" s="3">
        <v>7.9000000000000001E-2</v>
      </c>
      <c r="C931" s="3">
        <v>0.25</v>
      </c>
      <c r="D931" t="s">
        <v>1272</v>
      </c>
      <c r="E931" t="s">
        <v>1272</v>
      </c>
      <c r="F931" t="s">
        <v>1272</v>
      </c>
      <c r="G931" t="s">
        <v>1272</v>
      </c>
      <c r="H931" s="3">
        <v>7.4999999999999997E-2</v>
      </c>
      <c r="I931" t="s">
        <v>1272</v>
      </c>
      <c r="J931" s="3">
        <v>9.0999999999999998E-2</v>
      </c>
      <c r="K931" s="3">
        <v>7.4999999999999997E-2</v>
      </c>
      <c r="L931" s="3">
        <v>0.1</v>
      </c>
      <c r="M931" s="3">
        <v>0.08</v>
      </c>
      <c r="N931" s="3">
        <v>5.1999999999999998E-2</v>
      </c>
      <c r="O931" s="3">
        <v>0.06</v>
      </c>
      <c r="P931" s="3">
        <v>6.2E-2</v>
      </c>
      <c r="Q931" s="3">
        <v>5.5E-2</v>
      </c>
      <c r="R931" s="3">
        <v>5.0999999999999997E-2</v>
      </c>
      <c r="S931" s="3">
        <v>8.8999999999999996E-2</v>
      </c>
      <c r="T931" s="3">
        <v>0.14899999999999999</v>
      </c>
      <c r="U931" s="3">
        <v>0.16</v>
      </c>
      <c r="V931" s="3">
        <v>0.25</v>
      </c>
      <c r="W931" s="3">
        <v>0.5</v>
      </c>
      <c r="X931" s="3">
        <v>0.06</v>
      </c>
      <c r="Y931" s="3">
        <v>9.9000000000000005E-2</v>
      </c>
      <c r="Z931" s="3">
        <v>0.08</v>
      </c>
      <c r="AA931" s="3">
        <v>0.20399999999999999</v>
      </c>
      <c r="AB931" s="3">
        <v>0.11600000000000001</v>
      </c>
      <c r="AC931" s="3">
        <v>0.113</v>
      </c>
      <c r="AD931" s="3">
        <v>0.107</v>
      </c>
      <c r="AE931" s="3">
        <v>0.25800000000000001</v>
      </c>
      <c r="AF931" s="3">
        <v>0.05</v>
      </c>
      <c r="AG931" s="3">
        <v>9.8000000000000004E-2</v>
      </c>
    </row>
    <row r="932" spans="1:33" x14ac:dyDescent="0.35">
      <c r="A932" t="s">
        <v>1248</v>
      </c>
      <c r="B932" s="7">
        <v>0.74</v>
      </c>
      <c r="C932" s="7">
        <v>2.5</v>
      </c>
      <c r="D932" t="s">
        <v>1272</v>
      </c>
      <c r="E932" t="s">
        <v>1272</v>
      </c>
      <c r="F932" t="s">
        <v>1272</v>
      </c>
      <c r="G932" t="s">
        <v>1272</v>
      </c>
      <c r="H932" s="7">
        <v>0.75</v>
      </c>
      <c r="I932" t="s">
        <v>1272</v>
      </c>
      <c r="J932" s="7">
        <v>0.91</v>
      </c>
      <c r="K932" s="7">
        <v>0.75</v>
      </c>
      <c r="L932" s="7">
        <v>0.99</v>
      </c>
      <c r="M932" s="7">
        <v>0.8</v>
      </c>
      <c r="N932" s="7">
        <v>0.51</v>
      </c>
      <c r="O932" s="7">
        <v>0.57999999999999996</v>
      </c>
      <c r="P932" s="7">
        <v>0.6</v>
      </c>
      <c r="Q932" s="7">
        <v>0.53</v>
      </c>
      <c r="R932" s="7">
        <v>0.49</v>
      </c>
      <c r="S932" s="7">
        <v>0.89</v>
      </c>
      <c r="T932" s="7">
        <v>1.49</v>
      </c>
      <c r="U932" s="7">
        <v>1.6</v>
      </c>
      <c r="V932" s="7">
        <v>2.4900000000000002</v>
      </c>
      <c r="W932" s="7">
        <v>5</v>
      </c>
      <c r="X932" s="7">
        <v>0.6</v>
      </c>
      <c r="Y932" s="7">
        <v>0.99</v>
      </c>
      <c r="Z932" s="7">
        <v>0.8</v>
      </c>
      <c r="AA932" s="7">
        <v>2.04</v>
      </c>
      <c r="AB932" s="7">
        <v>1.1599999999999999</v>
      </c>
      <c r="AC932" s="7">
        <v>1.1299999999999999</v>
      </c>
      <c r="AD932" s="7">
        <v>1.07</v>
      </c>
      <c r="AE932" s="7">
        <v>2.57</v>
      </c>
      <c r="AF932" s="7">
        <v>0.5</v>
      </c>
      <c r="AG932" s="7">
        <v>0.97</v>
      </c>
    </row>
    <row r="933" spans="1:33" x14ac:dyDescent="0.35">
      <c r="A933" t="s">
        <v>1249</v>
      </c>
      <c r="B933" s="7">
        <v>8.59</v>
      </c>
      <c r="C933" s="7">
        <v>7.49</v>
      </c>
      <c r="D933" t="s">
        <v>1272</v>
      </c>
      <c r="E933" t="s">
        <v>1272</v>
      </c>
      <c r="F933" t="s">
        <v>1272</v>
      </c>
      <c r="G933" t="s">
        <v>1272</v>
      </c>
      <c r="H933" s="7">
        <v>9.24</v>
      </c>
      <c r="I933" t="s">
        <v>1272</v>
      </c>
      <c r="J933" s="7">
        <v>9.07</v>
      </c>
      <c r="K933" s="7">
        <v>9.24</v>
      </c>
      <c r="L933" s="7">
        <v>8.99</v>
      </c>
      <c r="M933" s="7">
        <v>9.19</v>
      </c>
      <c r="N933" s="7">
        <v>9.2899999999999991</v>
      </c>
      <c r="O933" s="7">
        <v>9.0399999999999991</v>
      </c>
      <c r="P933" s="7">
        <v>9.01</v>
      </c>
      <c r="Q933" s="7">
        <v>9.0500000000000007</v>
      </c>
      <c r="R933" s="7">
        <v>9.18</v>
      </c>
      <c r="S933" s="7">
        <v>9.09</v>
      </c>
      <c r="T933" s="7">
        <v>8.49</v>
      </c>
      <c r="U933" s="7">
        <v>8.39</v>
      </c>
      <c r="V933" s="7">
        <v>7.49</v>
      </c>
      <c r="W933" s="7">
        <v>4.99</v>
      </c>
      <c r="X933" s="7">
        <v>9.39</v>
      </c>
      <c r="Y933" s="7">
        <v>8.99</v>
      </c>
      <c r="Z933" s="7">
        <v>9.17</v>
      </c>
      <c r="AA933" s="7">
        <v>7.94</v>
      </c>
      <c r="AB933" s="7">
        <v>8.82</v>
      </c>
      <c r="AC933" s="7">
        <v>8.86</v>
      </c>
      <c r="AD933" s="7">
        <v>8.92</v>
      </c>
      <c r="AE933" s="7">
        <v>7.38</v>
      </c>
      <c r="AF933" s="7">
        <v>9.49</v>
      </c>
      <c r="AG933" s="7">
        <v>9.01</v>
      </c>
    </row>
    <row r="934" spans="1:33" x14ac:dyDescent="0.35">
      <c r="A934" t="s">
        <v>1250</v>
      </c>
      <c r="B934" s="7">
        <v>9.33</v>
      </c>
      <c r="C934" s="7">
        <v>9.99</v>
      </c>
      <c r="D934" s="7">
        <v>9.99</v>
      </c>
      <c r="E934" s="7">
        <v>9.99</v>
      </c>
      <c r="F934" s="7">
        <v>9.99</v>
      </c>
      <c r="G934" s="7">
        <v>9.99</v>
      </c>
      <c r="H934" s="7">
        <v>9.99</v>
      </c>
      <c r="I934" s="7">
        <v>9.99</v>
      </c>
      <c r="J934" s="7">
        <v>9.99</v>
      </c>
      <c r="K934" s="7">
        <v>9.99</v>
      </c>
      <c r="L934" s="7">
        <v>9.98</v>
      </c>
      <c r="M934" s="7">
        <v>9.99</v>
      </c>
      <c r="N934" s="7">
        <v>9.81</v>
      </c>
      <c r="O934" s="7">
        <v>9.6199999999999992</v>
      </c>
      <c r="P934" s="7">
        <v>9.61</v>
      </c>
      <c r="Q934" s="7">
        <v>9.58</v>
      </c>
      <c r="R934" s="7">
        <v>9.67</v>
      </c>
      <c r="S934" s="7">
        <v>9.98</v>
      </c>
      <c r="T934" s="7">
        <v>9.98</v>
      </c>
      <c r="U934" s="7">
        <v>9.99</v>
      </c>
      <c r="V934" s="7">
        <v>9.98</v>
      </c>
      <c r="W934" s="7">
        <v>9.99</v>
      </c>
      <c r="X934" s="7">
        <v>9.99</v>
      </c>
      <c r="Y934" s="7">
        <v>9.98</v>
      </c>
      <c r="Z934" s="7">
        <v>9.9700000000000006</v>
      </c>
      <c r="AA934" s="7">
        <v>9.98</v>
      </c>
      <c r="AB934" s="7">
        <v>9.98</v>
      </c>
      <c r="AC934" s="7">
        <v>9.98</v>
      </c>
      <c r="AD934" s="7">
        <v>9.98</v>
      </c>
      <c r="AE934" s="7">
        <v>9.9499999999999993</v>
      </c>
      <c r="AF934" s="7">
        <v>9.99</v>
      </c>
      <c r="AG934" s="7">
        <v>9.98</v>
      </c>
    </row>
    <row r="935" spans="1:33" x14ac:dyDescent="0.35">
      <c r="A935" t="s">
        <v>1245</v>
      </c>
      <c r="B935" s="7">
        <v>9.3000000000000007</v>
      </c>
      <c r="C935" s="7">
        <v>9.9700000000000006</v>
      </c>
      <c r="D935" s="7">
        <v>9.99</v>
      </c>
      <c r="E935" s="7">
        <v>9.99</v>
      </c>
      <c r="F935" s="7">
        <v>9.99</v>
      </c>
      <c r="G935" s="7">
        <v>9.99</v>
      </c>
      <c r="H935" s="7">
        <v>9.99</v>
      </c>
      <c r="I935" s="7">
        <v>9.99</v>
      </c>
      <c r="J935" s="7">
        <v>9.98</v>
      </c>
      <c r="K935" s="7">
        <v>9.98</v>
      </c>
      <c r="L935" s="7">
        <v>9.98</v>
      </c>
      <c r="M935" s="7">
        <v>9.98</v>
      </c>
      <c r="N935" s="7">
        <v>9.67</v>
      </c>
      <c r="O935" s="7">
        <v>9.08</v>
      </c>
      <c r="P935" s="7">
        <v>9.0500000000000007</v>
      </c>
      <c r="Q935" s="7">
        <v>9.07</v>
      </c>
      <c r="R935" s="7">
        <v>9.32</v>
      </c>
      <c r="S935" s="7">
        <v>9.98</v>
      </c>
      <c r="T935" s="7">
        <v>9.98</v>
      </c>
      <c r="U935" s="7">
        <v>9.98</v>
      </c>
      <c r="V935" s="7">
        <v>9.98</v>
      </c>
      <c r="W935" s="7">
        <v>9.9600000000000009</v>
      </c>
      <c r="X935" s="7">
        <v>9.99</v>
      </c>
      <c r="Y935" s="7">
        <v>9.99</v>
      </c>
      <c r="Z935" s="7">
        <v>9.9700000000000006</v>
      </c>
      <c r="AA935" s="7">
        <v>9.9600000000000009</v>
      </c>
      <c r="AB935" s="7">
        <v>9.98</v>
      </c>
      <c r="AC935" s="7">
        <v>9.98</v>
      </c>
      <c r="AD935" s="7">
        <v>9.98</v>
      </c>
      <c r="AE935" s="7">
        <v>9.94</v>
      </c>
      <c r="AF935" s="7">
        <v>10</v>
      </c>
      <c r="AG935" s="7">
        <v>9.98</v>
      </c>
    </row>
    <row r="939" spans="1:33" s="121" customFormat="1" x14ac:dyDescent="0.35"/>
    <row r="940" spans="1:33" x14ac:dyDescent="0.35">
      <c r="A940" t="s">
        <v>293</v>
      </c>
    </row>
    <row r="942" spans="1:33" x14ac:dyDescent="0.35">
      <c r="A942" t="s">
        <v>1240</v>
      </c>
      <c r="B942" s="5">
        <v>46026</v>
      </c>
      <c r="C942" s="5">
        <v>46033</v>
      </c>
      <c r="D942" s="5">
        <v>46040</v>
      </c>
      <c r="E942" s="5">
        <v>46047</v>
      </c>
      <c r="F942" s="128">
        <v>46054</v>
      </c>
      <c r="G942" s="128">
        <v>46061</v>
      </c>
      <c r="H942" s="128">
        <v>46068</v>
      </c>
      <c r="I942" s="128">
        <v>46075</v>
      </c>
      <c r="J942" s="5">
        <v>46082</v>
      </c>
      <c r="K942" s="5">
        <v>46089</v>
      </c>
      <c r="L942" s="5">
        <v>46096</v>
      </c>
      <c r="M942" s="5">
        <v>46103</v>
      </c>
      <c r="N942" s="5">
        <v>46110</v>
      </c>
      <c r="O942" s="132">
        <v>46117</v>
      </c>
      <c r="P942" s="132">
        <v>46124</v>
      </c>
      <c r="Q942" s="132">
        <v>46131</v>
      </c>
      <c r="R942" s="132">
        <v>46138</v>
      </c>
      <c r="S942" s="128">
        <v>46145</v>
      </c>
      <c r="T942" s="128">
        <v>46152</v>
      </c>
      <c r="U942" s="128">
        <v>46159</v>
      </c>
      <c r="V942" s="128">
        <v>46166</v>
      </c>
      <c r="W942" s="90">
        <v>46173</v>
      </c>
      <c r="X942" s="90">
        <v>46180</v>
      </c>
      <c r="Y942" s="90">
        <v>46187</v>
      </c>
      <c r="Z942" s="5">
        <v>46194</v>
      </c>
      <c r="AA942" s="5">
        <v>46201</v>
      </c>
      <c r="AB942" s="128">
        <v>46208</v>
      </c>
      <c r="AC942" s="128">
        <v>46215</v>
      </c>
      <c r="AD942" s="128">
        <v>46222</v>
      </c>
      <c r="AE942" s="128">
        <v>46229</v>
      </c>
      <c r="AF942" s="5">
        <v>46236</v>
      </c>
      <c r="AG942" s="5">
        <v>46243</v>
      </c>
    </row>
    <row r="943" spans="1:33" x14ac:dyDescent="0.35">
      <c r="A943" t="s">
        <v>1241</v>
      </c>
      <c r="B943">
        <v>291</v>
      </c>
      <c r="C943">
        <v>334</v>
      </c>
      <c r="D943">
        <v>428</v>
      </c>
      <c r="E943">
        <v>345</v>
      </c>
      <c r="F943">
        <v>471</v>
      </c>
      <c r="G943">
        <v>519</v>
      </c>
      <c r="H943">
        <v>514</v>
      </c>
      <c r="I943">
        <v>510</v>
      </c>
      <c r="J943">
        <v>382</v>
      </c>
      <c r="K943">
        <v>347</v>
      </c>
      <c r="L943">
        <v>438</v>
      </c>
      <c r="M943">
        <v>454</v>
      </c>
      <c r="N943">
        <v>534</v>
      </c>
      <c r="O943">
        <v>632</v>
      </c>
      <c r="P943">
        <v>581</v>
      </c>
      <c r="Q943">
        <v>583</v>
      </c>
      <c r="R943">
        <v>732</v>
      </c>
      <c r="S943">
        <v>720</v>
      </c>
      <c r="T943">
        <v>733</v>
      </c>
      <c r="U943">
        <v>863</v>
      </c>
      <c r="V943" s="6">
        <v>1002</v>
      </c>
      <c r="W943">
        <v>549</v>
      </c>
      <c r="X943">
        <v>597</v>
      </c>
      <c r="Y943">
        <v>411</v>
      </c>
      <c r="Z943">
        <v>401</v>
      </c>
      <c r="AA943">
        <v>581</v>
      </c>
      <c r="AB943">
        <v>824</v>
      </c>
      <c r="AC943">
        <v>810</v>
      </c>
      <c r="AD943">
        <v>853</v>
      </c>
      <c r="AE943">
        <v>827</v>
      </c>
      <c r="AF943">
        <v>485</v>
      </c>
      <c r="AG943">
        <v>516</v>
      </c>
    </row>
    <row r="944" spans="1:33" x14ac:dyDescent="0.35">
      <c r="A944" t="s">
        <v>1242</v>
      </c>
      <c r="B944" s="3">
        <v>0</v>
      </c>
      <c r="C944" s="3">
        <v>0</v>
      </c>
      <c r="D944" s="3">
        <v>0</v>
      </c>
      <c r="E944" s="3">
        <v>0</v>
      </c>
      <c r="F944" s="3">
        <v>0.41199999999999998</v>
      </c>
      <c r="G944" s="3">
        <v>0.47199999999999998</v>
      </c>
      <c r="H944" s="3">
        <v>0.47399999999999998</v>
      </c>
      <c r="I944" s="3">
        <v>0.39200000000000002</v>
      </c>
      <c r="J944" s="3">
        <v>0</v>
      </c>
      <c r="K944" s="3">
        <v>0</v>
      </c>
      <c r="L944" s="3">
        <v>0</v>
      </c>
      <c r="M944" s="3">
        <v>0.18</v>
      </c>
      <c r="N944" s="3">
        <v>0.28799999999999998</v>
      </c>
      <c r="O944" s="3">
        <v>0.61799999999999999</v>
      </c>
      <c r="P944" s="3">
        <v>0.44500000000000001</v>
      </c>
      <c r="Q944" s="3">
        <v>0.41099999999999998</v>
      </c>
      <c r="R944" s="3">
        <v>0.68600000000000005</v>
      </c>
      <c r="S944" s="3">
        <v>0.66200000000000003</v>
      </c>
      <c r="T944" s="3">
        <v>0.66600000000000004</v>
      </c>
      <c r="U944" s="3">
        <v>0.98899999999999999</v>
      </c>
      <c r="V944" s="3">
        <v>1.3089999999999999</v>
      </c>
      <c r="W944" s="3">
        <v>0.42199999999999999</v>
      </c>
      <c r="X944" s="3">
        <v>0.55500000000000005</v>
      </c>
      <c r="Y944" s="3">
        <v>4.4999999999999998E-2</v>
      </c>
      <c r="Z944" s="3">
        <v>0</v>
      </c>
      <c r="AA944" s="3">
        <v>0.502</v>
      </c>
      <c r="AB944" s="130">
        <v>1.1120000000000001</v>
      </c>
      <c r="AC944" s="130">
        <v>1.0780000000000001</v>
      </c>
      <c r="AD944" s="130">
        <v>1.204</v>
      </c>
      <c r="AE944" s="130">
        <v>1.2110000000000001</v>
      </c>
      <c r="AF944" s="3">
        <v>0.46500000000000002</v>
      </c>
      <c r="AG944" s="3">
        <v>9.4E-2</v>
      </c>
    </row>
    <row r="945" spans="1:33" x14ac:dyDescent="0.35">
      <c r="A945" t="s">
        <v>1243</v>
      </c>
      <c r="B945">
        <v>0</v>
      </c>
      <c r="C945">
        <v>0</v>
      </c>
      <c r="D945">
        <v>0</v>
      </c>
      <c r="E945">
        <v>0</v>
      </c>
      <c r="F945">
        <v>137</v>
      </c>
      <c r="G945">
        <v>166</v>
      </c>
      <c r="H945">
        <v>165</v>
      </c>
      <c r="I945">
        <v>144</v>
      </c>
      <c r="J945">
        <v>0</v>
      </c>
      <c r="K945">
        <v>0</v>
      </c>
      <c r="L945">
        <v>0</v>
      </c>
      <c r="M945">
        <v>69</v>
      </c>
      <c r="N945">
        <v>119</v>
      </c>
      <c r="O945">
        <v>242</v>
      </c>
      <c r="P945">
        <v>179</v>
      </c>
      <c r="Q945">
        <v>170</v>
      </c>
      <c r="R945">
        <v>298</v>
      </c>
      <c r="S945">
        <v>287</v>
      </c>
      <c r="T945">
        <v>293</v>
      </c>
      <c r="U945">
        <v>429</v>
      </c>
      <c r="V945">
        <v>568</v>
      </c>
      <c r="W945">
        <v>163</v>
      </c>
      <c r="X945">
        <v>213</v>
      </c>
      <c r="Y945">
        <v>18</v>
      </c>
      <c r="Z945">
        <v>0</v>
      </c>
      <c r="AA945">
        <v>194</v>
      </c>
      <c r="AB945">
        <v>434</v>
      </c>
      <c r="AC945">
        <v>420</v>
      </c>
      <c r="AD945">
        <v>466</v>
      </c>
      <c r="AE945">
        <v>453</v>
      </c>
      <c r="AF945">
        <v>154</v>
      </c>
      <c r="AG945">
        <v>44</v>
      </c>
    </row>
    <row r="946" spans="1:33" x14ac:dyDescent="0.35">
      <c r="A946" t="s">
        <v>1244</v>
      </c>
      <c r="B946">
        <v>291</v>
      </c>
      <c r="C946">
        <v>334</v>
      </c>
      <c r="D946">
        <v>428</v>
      </c>
      <c r="E946">
        <v>345</v>
      </c>
      <c r="F946">
        <v>334</v>
      </c>
      <c r="G946">
        <v>353</v>
      </c>
      <c r="H946">
        <v>349</v>
      </c>
      <c r="I946">
        <v>366</v>
      </c>
      <c r="J946">
        <v>382</v>
      </c>
      <c r="K946">
        <v>347</v>
      </c>
      <c r="L946">
        <v>438</v>
      </c>
      <c r="M946">
        <v>385</v>
      </c>
      <c r="N946">
        <v>415</v>
      </c>
      <c r="O946">
        <v>391</v>
      </c>
      <c r="P946">
        <v>402</v>
      </c>
      <c r="Q946">
        <v>413</v>
      </c>
      <c r="R946">
        <v>434</v>
      </c>
      <c r="S946">
        <v>433</v>
      </c>
      <c r="T946">
        <v>440</v>
      </c>
      <c r="U946">
        <v>434</v>
      </c>
      <c r="V946">
        <v>434</v>
      </c>
      <c r="W946">
        <v>386</v>
      </c>
      <c r="X946">
        <v>384</v>
      </c>
      <c r="Y946">
        <v>393</v>
      </c>
      <c r="Z946">
        <v>401</v>
      </c>
      <c r="AA946">
        <v>387</v>
      </c>
      <c r="AB946">
        <v>390</v>
      </c>
      <c r="AC946">
        <v>390</v>
      </c>
      <c r="AD946">
        <v>387</v>
      </c>
      <c r="AE946">
        <v>374</v>
      </c>
      <c r="AF946">
        <v>331</v>
      </c>
      <c r="AG946">
        <v>472</v>
      </c>
    </row>
    <row r="947" spans="1:33" x14ac:dyDescent="0.35">
      <c r="A947" t="s">
        <v>1245</v>
      </c>
      <c r="B947" s="7">
        <v>3.29</v>
      </c>
      <c r="C947" s="7">
        <v>3.29</v>
      </c>
      <c r="D947" s="7">
        <v>3.27</v>
      </c>
      <c r="E947" s="7">
        <v>3.29</v>
      </c>
      <c r="F947" s="7">
        <v>2.89</v>
      </c>
      <c r="G947" s="7">
        <v>2.89</v>
      </c>
      <c r="H947" s="7">
        <v>2.88</v>
      </c>
      <c r="I947" s="7">
        <v>2.89</v>
      </c>
      <c r="J947" s="7">
        <v>3.29</v>
      </c>
      <c r="K947" s="7">
        <v>3.29</v>
      </c>
      <c r="L947" s="7">
        <v>3.29</v>
      </c>
      <c r="M947" s="7">
        <v>3.29</v>
      </c>
      <c r="N947" s="7">
        <v>3.29</v>
      </c>
      <c r="O947" s="7">
        <v>2.5</v>
      </c>
      <c r="P947" s="7">
        <v>2.5</v>
      </c>
      <c r="Q947" s="7">
        <v>2.5</v>
      </c>
      <c r="R947" s="7">
        <v>2.5</v>
      </c>
      <c r="S947" s="7">
        <v>2.5</v>
      </c>
      <c r="T947" s="7">
        <v>2.5</v>
      </c>
      <c r="U947" s="7">
        <v>2.5</v>
      </c>
      <c r="V947" s="7">
        <v>2.5</v>
      </c>
      <c r="W947" s="7">
        <v>3.29</v>
      </c>
      <c r="X947" s="7">
        <v>3.27</v>
      </c>
      <c r="Y947" s="7">
        <v>3.29</v>
      </c>
      <c r="Z947" s="7">
        <v>3.29</v>
      </c>
      <c r="AA947" s="7">
        <v>3.29</v>
      </c>
      <c r="AB947" s="7">
        <v>2.5</v>
      </c>
      <c r="AC947" s="7">
        <v>2.5</v>
      </c>
      <c r="AD947" s="7">
        <v>2.5</v>
      </c>
      <c r="AE947" s="7">
        <v>2.4900000000000002</v>
      </c>
      <c r="AF947" s="7">
        <v>3.29</v>
      </c>
      <c r="AG947" s="7">
        <v>3.28</v>
      </c>
    </row>
    <row r="948" spans="1:33" x14ac:dyDescent="0.35">
      <c r="F948">
        <f>SUM(F946:I946)</f>
        <v>1402</v>
      </c>
      <c r="G948">
        <f>SUM(F945:I945)</f>
        <v>612</v>
      </c>
      <c r="O948">
        <f>SUM(O946:R946)</f>
        <v>1640</v>
      </c>
      <c r="P948">
        <f>SUM(O945:R945)</f>
        <v>889</v>
      </c>
      <c r="S948">
        <f>SUM(S946:V946)</f>
        <v>1741</v>
      </c>
      <c r="T948">
        <f>SUM(S945:V945)</f>
        <v>1577</v>
      </c>
      <c r="W948">
        <f>SUM(W946:Y946)</f>
        <v>1163</v>
      </c>
      <c r="X948">
        <f>SUM(W945:Y945)</f>
        <v>394</v>
      </c>
      <c r="AB948">
        <f>SUM(AB946:AE946)</f>
        <v>1541</v>
      </c>
      <c r="AC948">
        <f>SUM(AB945:AE945)</f>
        <v>1773</v>
      </c>
    </row>
    <row r="949" spans="1:33" x14ac:dyDescent="0.35">
      <c r="A949" t="s">
        <v>1240</v>
      </c>
      <c r="B949" s="5">
        <v>46026</v>
      </c>
      <c r="C949" s="5">
        <v>46033</v>
      </c>
      <c r="D949" s="5">
        <v>46040</v>
      </c>
      <c r="E949" s="5">
        <v>46047</v>
      </c>
      <c r="F949" s="5">
        <v>46054</v>
      </c>
      <c r="G949" s="5">
        <v>46061</v>
      </c>
      <c r="H949" s="5">
        <v>46068</v>
      </c>
      <c r="I949" s="5">
        <v>46075</v>
      </c>
      <c r="J949" s="5">
        <v>46082</v>
      </c>
      <c r="K949" s="5">
        <v>46089</v>
      </c>
      <c r="L949" s="5">
        <v>46096</v>
      </c>
      <c r="M949" s="5">
        <v>46103</v>
      </c>
      <c r="N949" s="5">
        <v>46110</v>
      </c>
      <c r="O949" s="5">
        <v>46117</v>
      </c>
      <c r="P949" s="5">
        <v>46124</v>
      </c>
      <c r="Q949" s="5">
        <v>46131</v>
      </c>
      <c r="R949" s="5">
        <v>46138</v>
      </c>
      <c r="S949" s="5">
        <v>46145</v>
      </c>
      <c r="T949" s="5">
        <v>46152</v>
      </c>
      <c r="U949" s="5">
        <v>46159</v>
      </c>
      <c r="V949" s="5">
        <v>46166</v>
      </c>
      <c r="W949" s="5">
        <v>46173</v>
      </c>
      <c r="X949" s="5">
        <v>46180</v>
      </c>
      <c r="Y949" s="5">
        <v>46187</v>
      </c>
      <c r="Z949" s="5">
        <v>46194</v>
      </c>
      <c r="AA949" s="5">
        <v>46201</v>
      </c>
      <c r="AB949" s="5">
        <v>46208</v>
      </c>
      <c r="AC949" s="5">
        <v>46215</v>
      </c>
      <c r="AD949" s="5">
        <v>46222</v>
      </c>
      <c r="AE949" s="5">
        <v>46229</v>
      </c>
      <c r="AF949" s="5">
        <v>46236</v>
      </c>
      <c r="AG949" s="5">
        <v>46243</v>
      </c>
    </row>
    <row r="950" spans="1:33" x14ac:dyDescent="0.35">
      <c r="A950" t="s">
        <v>1242</v>
      </c>
      <c r="B950" s="3">
        <v>0</v>
      </c>
      <c r="C950" s="3">
        <v>0</v>
      </c>
      <c r="D950" s="3">
        <v>0</v>
      </c>
      <c r="E950" s="3">
        <v>0</v>
      </c>
      <c r="F950" s="3">
        <v>0.41199999999999998</v>
      </c>
      <c r="G950" s="3">
        <v>0.47199999999999998</v>
      </c>
      <c r="H950" s="3">
        <v>0.47399999999999998</v>
      </c>
      <c r="I950" s="3">
        <v>0.39200000000000002</v>
      </c>
      <c r="J950" s="3">
        <v>0</v>
      </c>
      <c r="K950" s="3">
        <v>0</v>
      </c>
      <c r="L950" s="3">
        <v>0</v>
      </c>
      <c r="M950" s="3">
        <v>0.18</v>
      </c>
      <c r="N950" s="3">
        <v>0.28799999999999998</v>
      </c>
      <c r="O950" s="3">
        <v>0.61799999999999999</v>
      </c>
      <c r="P950" s="3">
        <v>0.44500000000000001</v>
      </c>
      <c r="Q950" s="3">
        <v>0.41099999999999998</v>
      </c>
      <c r="R950" s="3">
        <v>0.68600000000000005</v>
      </c>
      <c r="S950" s="3">
        <v>0.66200000000000003</v>
      </c>
      <c r="T950" s="3">
        <v>0.66600000000000004</v>
      </c>
      <c r="U950" s="3">
        <v>0.98899999999999999</v>
      </c>
      <c r="V950" s="3">
        <v>1.3089999999999999</v>
      </c>
      <c r="W950" s="3">
        <v>0.42199999999999999</v>
      </c>
      <c r="X950" s="3">
        <v>0.55500000000000005</v>
      </c>
      <c r="Y950" s="3">
        <v>4.4999999999999998E-2</v>
      </c>
      <c r="Z950" s="3">
        <v>0</v>
      </c>
      <c r="AA950" s="3">
        <v>0.502</v>
      </c>
      <c r="AB950" s="3">
        <v>1.1120000000000001</v>
      </c>
      <c r="AC950" s="3">
        <v>1.0780000000000001</v>
      </c>
      <c r="AD950" s="3">
        <v>1.204</v>
      </c>
      <c r="AE950" s="3">
        <v>1.2110000000000001</v>
      </c>
      <c r="AF950" s="3">
        <v>0.46500000000000002</v>
      </c>
      <c r="AG950" s="3">
        <v>9.4E-2</v>
      </c>
    </row>
    <row r="951" spans="1:33" x14ac:dyDescent="0.35">
      <c r="A951" t="s">
        <v>1247</v>
      </c>
      <c r="B951" t="s">
        <v>1272</v>
      </c>
      <c r="C951" t="s">
        <v>1272</v>
      </c>
      <c r="D951" s="3">
        <v>0.309</v>
      </c>
      <c r="E951" s="3">
        <v>0.13100000000000001</v>
      </c>
      <c r="F951" s="3">
        <v>0.09</v>
      </c>
      <c r="G951" s="3">
        <v>9.2999999999999999E-2</v>
      </c>
      <c r="H951" s="3">
        <v>8.8999999999999996E-2</v>
      </c>
      <c r="I951" s="3">
        <v>8.6999999999999994E-2</v>
      </c>
      <c r="J951" t="s">
        <v>1272</v>
      </c>
      <c r="K951" t="s">
        <v>1272</v>
      </c>
      <c r="L951" t="s">
        <v>1272</v>
      </c>
      <c r="M951" s="3">
        <v>-1E-3</v>
      </c>
      <c r="N951" s="3">
        <v>0</v>
      </c>
      <c r="O951" s="3">
        <v>0.17299999999999999</v>
      </c>
      <c r="P951" s="3">
        <v>0.191</v>
      </c>
      <c r="Q951" s="3">
        <v>0.17699999999999999</v>
      </c>
      <c r="R951" s="3">
        <v>0.20599999999999999</v>
      </c>
      <c r="S951" s="3">
        <v>0.2</v>
      </c>
      <c r="T951" s="3">
        <v>0.2</v>
      </c>
      <c r="U951" s="3">
        <v>0.218</v>
      </c>
      <c r="V951" s="3">
        <v>0.221</v>
      </c>
      <c r="W951" s="3">
        <v>2E-3</v>
      </c>
      <c r="X951" s="3">
        <v>8.0000000000000002E-3</v>
      </c>
      <c r="Y951" s="3">
        <v>2E-3</v>
      </c>
      <c r="Z951" s="3">
        <v>0</v>
      </c>
      <c r="AA951" s="3">
        <v>0</v>
      </c>
      <c r="AB951" s="3">
        <v>0.217</v>
      </c>
      <c r="AC951" s="3">
        <v>0.216</v>
      </c>
      <c r="AD951" s="3">
        <v>0.23300000000000001</v>
      </c>
      <c r="AE951" s="3">
        <v>0.21199999999999999</v>
      </c>
      <c r="AF951" s="3">
        <v>0</v>
      </c>
      <c r="AG951" s="3">
        <v>7.0000000000000001E-3</v>
      </c>
    </row>
    <row r="952" spans="1:33" x14ac:dyDescent="0.35">
      <c r="A952" t="s">
        <v>1248</v>
      </c>
      <c r="B952" t="s">
        <v>1272</v>
      </c>
      <c r="C952" t="s">
        <v>1272</v>
      </c>
      <c r="D952" s="7">
        <v>1.01</v>
      </c>
      <c r="E952" s="7">
        <v>0.43</v>
      </c>
      <c r="F952" s="7">
        <v>0.28999999999999998</v>
      </c>
      <c r="G952" s="7">
        <v>0.3</v>
      </c>
      <c r="H952" s="7">
        <v>0.28000000000000003</v>
      </c>
      <c r="I952" s="7">
        <v>0.28000000000000003</v>
      </c>
      <c r="J952" t="s">
        <v>1272</v>
      </c>
      <c r="K952" t="s">
        <v>1272</v>
      </c>
      <c r="L952" t="s">
        <v>1272</v>
      </c>
      <c r="M952" s="7">
        <v>0</v>
      </c>
      <c r="N952" s="7">
        <v>0</v>
      </c>
      <c r="O952" s="7">
        <v>0.52</v>
      </c>
      <c r="P952" s="7">
        <v>0.59</v>
      </c>
      <c r="Q952" s="7">
        <v>0.54</v>
      </c>
      <c r="R952" s="7">
        <v>0.65</v>
      </c>
      <c r="S952" s="7">
        <v>0.62</v>
      </c>
      <c r="T952" s="7">
        <v>0.63</v>
      </c>
      <c r="U952" s="7">
        <v>0.7</v>
      </c>
      <c r="V952" s="7">
        <v>0.71</v>
      </c>
      <c r="W952" s="7">
        <v>0.01</v>
      </c>
      <c r="X952" s="7">
        <v>0.03</v>
      </c>
      <c r="Y952" s="7">
        <v>0.01</v>
      </c>
      <c r="Z952" s="7">
        <v>0</v>
      </c>
      <c r="AA952" s="7">
        <v>0</v>
      </c>
      <c r="AB952" s="7">
        <v>0.69</v>
      </c>
      <c r="AC952" s="7">
        <v>0.69</v>
      </c>
      <c r="AD952" s="7">
        <v>0.76</v>
      </c>
      <c r="AE952" s="7">
        <v>0.67</v>
      </c>
      <c r="AF952" s="7">
        <v>0</v>
      </c>
      <c r="AG952" s="7">
        <v>0.02</v>
      </c>
    </row>
    <row r="953" spans="1:33" x14ac:dyDescent="0.35">
      <c r="A953" t="s">
        <v>1249</v>
      </c>
      <c r="B953" t="s">
        <v>1272</v>
      </c>
      <c r="C953" t="s">
        <v>1272</v>
      </c>
      <c r="D953" s="7">
        <v>2.2599999999999998</v>
      </c>
      <c r="E953" s="7">
        <v>2.86</v>
      </c>
      <c r="F953" s="129">
        <v>2.89</v>
      </c>
      <c r="G953" s="129">
        <v>2.89</v>
      </c>
      <c r="H953" s="129">
        <v>2.88</v>
      </c>
      <c r="I953" s="129">
        <v>2.89</v>
      </c>
      <c r="J953" t="s">
        <v>1272</v>
      </c>
      <c r="K953" t="s">
        <v>1272</v>
      </c>
      <c r="L953" t="s">
        <v>1272</v>
      </c>
      <c r="M953" s="7">
        <v>3.29</v>
      </c>
      <c r="N953" s="7">
        <v>3.29</v>
      </c>
      <c r="O953" s="7">
        <v>2.5</v>
      </c>
      <c r="P953" s="7">
        <v>2.5</v>
      </c>
      <c r="Q953" s="7">
        <v>2.5</v>
      </c>
      <c r="R953" s="7">
        <v>2.5</v>
      </c>
      <c r="S953" s="7">
        <v>2.5</v>
      </c>
      <c r="T953" s="7">
        <v>2.5</v>
      </c>
      <c r="U953" s="7">
        <v>2.5</v>
      </c>
      <c r="V953" s="7">
        <v>2.5</v>
      </c>
      <c r="W953" s="7">
        <v>3.28</v>
      </c>
      <c r="X953" s="7">
        <v>3.26</v>
      </c>
      <c r="Y953" s="7">
        <v>3.28</v>
      </c>
      <c r="Z953" s="7">
        <v>3.29</v>
      </c>
      <c r="AA953" s="7">
        <v>3.29</v>
      </c>
      <c r="AB953" s="129">
        <v>2.5</v>
      </c>
      <c r="AC953" s="129">
        <v>2.5</v>
      </c>
      <c r="AD953" s="129">
        <v>2.5</v>
      </c>
      <c r="AE953" s="129">
        <v>2.4900000000000002</v>
      </c>
      <c r="AF953" s="7">
        <v>3.29</v>
      </c>
      <c r="AG953" s="7">
        <v>3.26</v>
      </c>
    </row>
    <row r="954" spans="1:33" x14ac:dyDescent="0.35">
      <c r="A954" t="s">
        <v>1250</v>
      </c>
      <c r="B954" s="7">
        <v>3.29</v>
      </c>
      <c r="C954" s="7">
        <v>3.29</v>
      </c>
      <c r="D954" s="7">
        <v>3.27</v>
      </c>
      <c r="E954" s="7">
        <v>3.29</v>
      </c>
      <c r="F954" s="7">
        <v>3.18</v>
      </c>
      <c r="G954" s="7">
        <v>3.18</v>
      </c>
      <c r="H954" s="7">
        <v>3.16</v>
      </c>
      <c r="I954" s="7">
        <v>3.16</v>
      </c>
      <c r="J954" s="7">
        <v>3.29</v>
      </c>
      <c r="K954" s="7">
        <v>3.29</v>
      </c>
      <c r="L954" s="7">
        <v>3.29</v>
      </c>
      <c r="M954" s="7">
        <v>3.29</v>
      </c>
      <c r="N954" s="7">
        <v>3.29</v>
      </c>
      <c r="O954" s="7">
        <v>3.02</v>
      </c>
      <c r="P954" s="7">
        <v>3.09</v>
      </c>
      <c r="Q954" s="7">
        <v>3.04</v>
      </c>
      <c r="R954" s="7">
        <v>3.15</v>
      </c>
      <c r="S954" s="7">
        <v>3.12</v>
      </c>
      <c r="T954" s="7">
        <v>3.13</v>
      </c>
      <c r="U954" s="7">
        <v>3.2</v>
      </c>
      <c r="V954" s="7">
        <v>3.21</v>
      </c>
      <c r="W954" s="7">
        <v>3.29</v>
      </c>
      <c r="X954" s="7">
        <v>3.29</v>
      </c>
      <c r="Y954" s="7">
        <v>3.29</v>
      </c>
      <c r="Z954" s="7">
        <v>3.29</v>
      </c>
      <c r="AA954" s="7">
        <v>3.29</v>
      </c>
      <c r="AB954" s="7">
        <v>3.19</v>
      </c>
      <c r="AC954" s="7">
        <v>3.19</v>
      </c>
      <c r="AD954" s="7">
        <v>3.26</v>
      </c>
      <c r="AE954" s="7">
        <v>3.16</v>
      </c>
      <c r="AF954" s="7">
        <v>3.29</v>
      </c>
      <c r="AG954" s="7">
        <v>3.29</v>
      </c>
    </row>
    <row r="955" spans="1:33" x14ac:dyDescent="0.35">
      <c r="A955" t="s">
        <v>1245</v>
      </c>
      <c r="B955" s="7">
        <v>3.29</v>
      </c>
      <c r="C955" s="7">
        <v>3.29</v>
      </c>
      <c r="D955" s="7">
        <v>3.27</v>
      </c>
      <c r="E955" s="7">
        <v>3.29</v>
      </c>
      <c r="F955" s="7">
        <v>2.89</v>
      </c>
      <c r="G955" s="7">
        <v>2.89</v>
      </c>
      <c r="H955" s="7">
        <v>2.88</v>
      </c>
      <c r="I955" s="7">
        <v>2.89</v>
      </c>
      <c r="J955" s="7">
        <v>3.29</v>
      </c>
      <c r="K955" s="7">
        <v>3.29</v>
      </c>
      <c r="L955" s="7">
        <v>3.29</v>
      </c>
      <c r="M955" s="7">
        <v>3.29</v>
      </c>
      <c r="N955" s="7">
        <v>3.29</v>
      </c>
      <c r="O955" s="7">
        <v>2.5</v>
      </c>
      <c r="P955" s="7">
        <v>2.5</v>
      </c>
      <c r="Q955" s="7">
        <v>2.5</v>
      </c>
      <c r="R955" s="7">
        <v>2.5</v>
      </c>
      <c r="S955" s="7">
        <v>2.5</v>
      </c>
      <c r="T955" s="7">
        <v>2.5</v>
      </c>
      <c r="U955" s="7">
        <v>2.5</v>
      </c>
      <c r="V955" s="7">
        <v>2.5</v>
      </c>
      <c r="W955" s="7">
        <v>3.29</v>
      </c>
      <c r="X955" s="7">
        <v>3.27</v>
      </c>
      <c r="Y955" s="7">
        <v>3.29</v>
      </c>
      <c r="Z955" s="7">
        <v>3.29</v>
      </c>
      <c r="AA955" s="7">
        <v>3.29</v>
      </c>
      <c r="AB955" s="7">
        <v>2.5</v>
      </c>
      <c r="AC955" s="7">
        <v>2.5</v>
      </c>
      <c r="AD955" s="7">
        <v>2.5</v>
      </c>
      <c r="AE955" s="7">
        <v>2.4900000000000002</v>
      </c>
      <c r="AF955" s="7">
        <v>3.29</v>
      </c>
      <c r="AG955" s="7">
        <v>3.28</v>
      </c>
    </row>
    <row r="958" spans="1:33" s="121" customFormat="1" x14ac:dyDescent="0.35"/>
    <row r="959" spans="1:33" x14ac:dyDescent="0.35">
      <c r="A959" s="49" t="s">
        <v>1441</v>
      </c>
    </row>
    <row r="961" spans="1:33" x14ac:dyDescent="0.35">
      <c r="A961" t="s">
        <v>1240</v>
      </c>
      <c r="B961" s="5">
        <v>46026</v>
      </c>
      <c r="C961" s="5">
        <v>46033</v>
      </c>
      <c r="D961" s="5">
        <v>46040</v>
      </c>
      <c r="E961" s="128">
        <v>46047</v>
      </c>
      <c r="F961" s="5">
        <v>46054</v>
      </c>
      <c r="G961" s="5">
        <v>46061</v>
      </c>
      <c r="H961" s="5">
        <v>46068</v>
      </c>
      <c r="I961" s="5">
        <v>46075</v>
      </c>
      <c r="J961" s="5">
        <v>46082</v>
      </c>
      <c r="K961" s="5">
        <v>46089</v>
      </c>
      <c r="L961" s="5">
        <v>46096</v>
      </c>
      <c r="M961" s="5">
        <v>46103</v>
      </c>
      <c r="N961" s="5">
        <v>46110</v>
      </c>
      <c r="O961" s="5">
        <v>46117</v>
      </c>
      <c r="P961" s="5">
        <v>46124</v>
      </c>
      <c r="Q961" s="5">
        <v>46131</v>
      </c>
      <c r="R961" s="5">
        <v>46138</v>
      </c>
      <c r="S961" s="5">
        <v>46145</v>
      </c>
      <c r="T961" s="5">
        <v>46152</v>
      </c>
      <c r="U961" s="5">
        <v>46159</v>
      </c>
      <c r="V961" s="5">
        <v>46166</v>
      </c>
      <c r="W961" s="5">
        <v>46173</v>
      </c>
      <c r="X961" s="5">
        <v>46180</v>
      </c>
      <c r="Y961" s="5">
        <v>46187</v>
      </c>
      <c r="Z961" s="5">
        <v>46194</v>
      </c>
      <c r="AA961" s="5">
        <v>46201</v>
      </c>
      <c r="AB961" s="5">
        <v>46208</v>
      </c>
      <c r="AC961" s="5">
        <v>46215</v>
      </c>
      <c r="AD961" s="5">
        <v>46222</v>
      </c>
      <c r="AE961" s="5">
        <v>46229</v>
      </c>
      <c r="AF961" s="5">
        <v>46236</v>
      </c>
      <c r="AG961" s="5">
        <v>46243</v>
      </c>
    </row>
    <row r="962" spans="1:33" x14ac:dyDescent="0.35">
      <c r="A962" t="s">
        <v>1241</v>
      </c>
      <c r="B962" s="6">
        <v>36736</v>
      </c>
      <c r="C962" s="6">
        <v>29577</v>
      </c>
      <c r="D962" s="6">
        <v>32958</v>
      </c>
      <c r="E962" s="10">
        <v>367594</v>
      </c>
      <c r="F962" s="6">
        <v>36569</v>
      </c>
      <c r="G962" s="6">
        <v>34782</v>
      </c>
      <c r="H962" s="6">
        <v>32126</v>
      </c>
      <c r="I962" s="6">
        <v>33167</v>
      </c>
      <c r="J962" s="6">
        <v>32660</v>
      </c>
      <c r="K962" s="6">
        <v>27523</v>
      </c>
      <c r="L962" s="6">
        <v>29598</v>
      </c>
      <c r="M962" s="6">
        <v>28486</v>
      </c>
      <c r="N962" s="6">
        <v>28233</v>
      </c>
      <c r="O962" s="6">
        <v>24628</v>
      </c>
      <c r="P962" s="6">
        <v>26848</v>
      </c>
      <c r="Q962" s="6">
        <v>87263</v>
      </c>
      <c r="R962" s="6">
        <v>29337</v>
      </c>
      <c r="S962" s="6">
        <v>25719</v>
      </c>
      <c r="T962" s="6">
        <v>23656</v>
      </c>
      <c r="U962" s="6">
        <v>20643</v>
      </c>
      <c r="V962" s="6">
        <v>20411</v>
      </c>
      <c r="W962" s="6">
        <v>21212</v>
      </c>
      <c r="X962" s="6">
        <v>25807</v>
      </c>
      <c r="Y962" s="6">
        <v>75879</v>
      </c>
      <c r="Z962" s="6">
        <v>67500</v>
      </c>
      <c r="AA962" s="6">
        <v>62385</v>
      </c>
      <c r="AB962" s="6">
        <v>22073</v>
      </c>
      <c r="AC962" s="6">
        <v>22670</v>
      </c>
      <c r="AD962" s="6">
        <v>21046</v>
      </c>
      <c r="AE962" s="6">
        <v>18184</v>
      </c>
      <c r="AF962" s="6">
        <v>18273</v>
      </c>
      <c r="AG962" s="6">
        <v>18982</v>
      </c>
    </row>
    <row r="963" spans="1:33" x14ac:dyDescent="0.35">
      <c r="A963" t="s">
        <v>1242</v>
      </c>
      <c r="B963" s="3">
        <v>0.372</v>
      </c>
      <c r="C963" s="3">
        <v>0.105</v>
      </c>
      <c r="D963" s="3">
        <v>9.1999999999999998E-2</v>
      </c>
      <c r="E963" s="130">
        <v>8.157</v>
      </c>
      <c r="F963" s="3">
        <v>0.12</v>
      </c>
      <c r="G963" s="3">
        <v>0.127</v>
      </c>
      <c r="H963" s="3">
        <v>9.6000000000000002E-2</v>
      </c>
      <c r="I963" s="3">
        <v>0.109</v>
      </c>
      <c r="J963" s="3">
        <v>0.122</v>
      </c>
      <c r="K963" s="3">
        <v>8.4000000000000005E-2</v>
      </c>
      <c r="L963" s="3">
        <v>9.7000000000000003E-2</v>
      </c>
      <c r="M963" s="3">
        <v>9.8000000000000004E-2</v>
      </c>
      <c r="N963" s="3">
        <v>8.8999999999999996E-2</v>
      </c>
      <c r="O963" s="3">
        <v>8.3000000000000004E-2</v>
      </c>
      <c r="P963" s="3">
        <v>0.124</v>
      </c>
      <c r="Q963" s="3">
        <v>1.861</v>
      </c>
      <c r="R963" s="3">
        <v>9.9000000000000005E-2</v>
      </c>
      <c r="S963" s="3">
        <v>9.8000000000000004E-2</v>
      </c>
      <c r="T963" s="3">
        <v>8.5999999999999993E-2</v>
      </c>
      <c r="U963" s="3">
        <v>8.3000000000000004E-2</v>
      </c>
      <c r="V963" s="3">
        <v>9.6000000000000002E-2</v>
      </c>
      <c r="W963" s="3">
        <v>0.10199999999999999</v>
      </c>
      <c r="X963" s="3">
        <v>0.36099999999999999</v>
      </c>
      <c r="Y963" s="3">
        <v>1.252</v>
      </c>
      <c r="Z963" s="3">
        <v>1.391</v>
      </c>
      <c r="AA963" s="3">
        <v>1.512</v>
      </c>
      <c r="AB963" s="3">
        <v>0.16700000000000001</v>
      </c>
      <c r="AC963" s="3">
        <v>0.151</v>
      </c>
      <c r="AD963" s="3">
        <v>0.14099999999999999</v>
      </c>
      <c r="AE963" s="3">
        <v>7.8E-2</v>
      </c>
      <c r="AF963" s="3">
        <v>0.10199999999999999</v>
      </c>
      <c r="AG963" s="3">
        <v>0.14399999999999999</v>
      </c>
    </row>
    <row r="964" spans="1:33" x14ac:dyDescent="0.35">
      <c r="A964" t="s">
        <v>1243</v>
      </c>
      <c r="B964" s="6">
        <v>9957</v>
      </c>
      <c r="C964" s="6">
        <v>2821</v>
      </c>
      <c r="D964" s="6">
        <v>2777</v>
      </c>
      <c r="E964" s="10">
        <v>327451</v>
      </c>
      <c r="F964" s="6">
        <v>3906</v>
      </c>
      <c r="G964" s="6">
        <v>3922</v>
      </c>
      <c r="H964" s="6">
        <v>2813</v>
      </c>
      <c r="I964" s="6">
        <v>3256</v>
      </c>
      <c r="J964" s="6">
        <v>3547</v>
      </c>
      <c r="K964" s="6">
        <v>2140</v>
      </c>
      <c r="L964" s="6">
        <v>2622</v>
      </c>
      <c r="M964" s="6">
        <v>2548</v>
      </c>
      <c r="N964" s="6">
        <v>2314</v>
      </c>
      <c r="O964" s="6">
        <v>1890</v>
      </c>
      <c r="P964" s="6">
        <v>2956</v>
      </c>
      <c r="Q964" s="6">
        <v>56758</v>
      </c>
      <c r="R964" s="6">
        <v>2645</v>
      </c>
      <c r="S964" s="6">
        <v>2289</v>
      </c>
      <c r="T964" s="6">
        <v>1875</v>
      </c>
      <c r="U964" s="6">
        <v>1583</v>
      </c>
      <c r="V964" s="6">
        <v>1796</v>
      </c>
      <c r="W964" s="6">
        <v>1959</v>
      </c>
      <c r="X964" s="6">
        <v>6843</v>
      </c>
      <c r="Y964" s="6">
        <v>42178</v>
      </c>
      <c r="Z964" s="6">
        <v>39271</v>
      </c>
      <c r="AA964" s="6">
        <v>37550</v>
      </c>
      <c r="AB964" s="6">
        <v>3161</v>
      </c>
      <c r="AC964" s="6">
        <v>2975</v>
      </c>
      <c r="AD964" s="6">
        <v>2595</v>
      </c>
      <c r="AE964" s="6">
        <v>1311</v>
      </c>
      <c r="AF964" s="6">
        <v>1698</v>
      </c>
      <c r="AG964" s="6">
        <v>2394</v>
      </c>
    </row>
    <row r="965" spans="1:33" x14ac:dyDescent="0.35">
      <c r="A965" t="s">
        <v>1244</v>
      </c>
      <c r="B965" s="6">
        <v>26779</v>
      </c>
      <c r="C965" s="6">
        <v>26757</v>
      </c>
      <c r="D965" s="6">
        <v>30181</v>
      </c>
      <c r="E965" s="10">
        <v>40143</v>
      </c>
      <c r="F965" s="6">
        <v>32663</v>
      </c>
      <c r="G965" s="6">
        <v>30860</v>
      </c>
      <c r="H965" s="6">
        <v>29313</v>
      </c>
      <c r="I965" s="6">
        <v>29911</v>
      </c>
      <c r="J965" s="6">
        <v>29113</v>
      </c>
      <c r="K965" s="6">
        <v>25384</v>
      </c>
      <c r="L965" s="6">
        <v>26976</v>
      </c>
      <c r="M965" s="6">
        <v>25938</v>
      </c>
      <c r="N965" s="6">
        <v>25919</v>
      </c>
      <c r="O965" s="6">
        <v>22738</v>
      </c>
      <c r="P965" s="6">
        <v>23892</v>
      </c>
      <c r="Q965" s="6">
        <v>30505</v>
      </c>
      <c r="R965" s="6">
        <v>26692</v>
      </c>
      <c r="S965" s="6">
        <v>23430</v>
      </c>
      <c r="T965" s="6">
        <v>21781</v>
      </c>
      <c r="U965" s="6">
        <v>19060</v>
      </c>
      <c r="V965" s="6">
        <v>18616</v>
      </c>
      <c r="W965" s="6">
        <v>19253</v>
      </c>
      <c r="X965" s="6">
        <v>18964</v>
      </c>
      <c r="Y965" s="6">
        <v>33701</v>
      </c>
      <c r="Z965" s="6">
        <v>28230</v>
      </c>
      <c r="AA965" s="6">
        <v>24836</v>
      </c>
      <c r="AB965" s="6">
        <v>18912</v>
      </c>
      <c r="AC965" s="6">
        <v>19695</v>
      </c>
      <c r="AD965" s="6">
        <v>18451</v>
      </c>
      <c r="AE965" s="6">
        <v>16873</v>
      </c>
      <c r="AF965" s="6">
        <v>16575</v>
      </c>
      <c r="AG965" s="6">
        <v>16587</v>
      </c>
    </row>
    <row r="966" spans="1:33" x14ac:dyDescent="0.35">
      <c r="A966" t="s">
        <v>1245</v>
      </c>
      <c r="B966" s="7">
        <v>2.4500000000000002</v>
      </c>
      <c r="C966" s="7">
        <v>2.66</v>
      </c>
      <c r="D966" s="7">
        <v>2.67</v>
      </c>
      <c r="E966" s="129">
        <v>1.35</v>
      </c>
      <c r="F966" s="7">
        <v>2.62</v>
      </c>
      <c r="G966" s="7">
        <v>2.64</v>
      </c>
      <c r="H966" s="7">
        <v>2.71</v>
      </c>
      <c r="I966" s="7">
        <v>2.73</v>
      </c>
      <c r="J966" s="7">
        <v>2.75</v>
      </c>
      <c r="K966" s="7">
        <v>2.72</v>
      </c>
      <c r="L966" s="7">
        <v>2.64</v>
      </c>
      <c r="M966" s="7">
        <v>2.66</v>
      </c>
      <c r="N966" s="7">
        <v>2.67</v>
      </c>
      <c r="O966" s="7">
        <v>2.67</v>
      </c>
      <c r="P966" s="7">
        <v>2.65</v>
      </c>
      <c r="Q966" s="7">
        <v>1.99</v>
      </c>
      <c r="R966" s="7">
        <v>2.67</v>
      </c>
      <c r="S966" s="7">
        <v>2.68</v>
      </c>
      <c r="T966" s="7">
        <v>2.68</v>
      </c>
      <c r="U966" s="7">
        <v>2.68</v>
      </c>
      <c r="V966" s="7">
        <v>2.68</v>
      </c>
      <c r="W966" s="7">
        <v>2.69</v>
      </c>
      <c r="X966" s="7">
        <v>2.65</v>
      </c>
      <c r="Y966" s="7">
        <v>2</v>
      </c>
      <c r="Z966" s="7">
        <v>2</v>
      </c>
      <c r="AA966" s="7">
        <v>2</v>
      </c>
      <c r="AB966" s="7">
        <v>2.66</v>
      </c>
      <c r="AC966" s="7">
        <v>2.67</v>
      </c>
      <c r="AD966" s="7">
        <v>2.68</v>
      </c>
      <c r="AE966" s="7">
        <v>2.68</v>
      </c>
      <c r="AF966" s="7">
        <v>2.68</v>
      </c>
      <c r="AG966" s="7">
        <v>2.68</v>
      </c>
    </row>
    <row r="967" spans="1:33" x14ac:dyDescent="0.35">
      <c r="E967" s="6">
        <f>E965</f>
        <v>40143</v>
      </c>
      <c r="F967" s="6">
        <f>E964</f>
        <v>327451</v>
      </c>
    </row>
    <row r="968" spans="1:33" x14ac:dyDescent="0.35">
      <c r="A968" t="s">
        <v>1240</v>
      </c>
      <c r="B968" s="5">
        <v>46026</v>
      </c>
      <c r="C968" s="5">
        <v>46033</v>
      </c>
      <c r="D968" s="5">
        <v>46040</v>
      </c>
      <c r="E968" s="128">
        <v>46047</v>
      </c>
      <c r="F968" s="5">
        <v>46054</v>
      </c>
      <c r="G968" s="5">
        <v>46061</v>
      </c>
      <c r="H968" s="5">
        <v>46068</v>
      </c>
      <c r="I968" s="5">
        <v>46075</v>
      </c>
      <c r="J968" s="5">
        <v>46082</v>
      </c>
      <c r="K968" s="5">
        <v>46089</v>
      </c>
      <c r="L968" s="5">
        <v>46096</v>
      </c>
      <c r="M968" s="5">
        <v>46103</v>
      </c>
      <c r="N968" s="5">
        <v>46110</v>
      </c>
      <c r="O968" s="5">
        <v>46117</v>
      </c>
      <c r="P968" s="5">
        <v>46124</v>
      </c>
      <c r="Q968" s="5">
        <v>46131</v>
      </c>
      <c r="R968" s="5">
        <v>46138</v>
      </c>
      <c r="S968" s="5">
        <v>46145</v>
      </c>
      <c r="T968" s="5">
        <v>46152</v>
      </c>
      <c r="U968" s="5">
        <v>46159</v>
      </c>
      <c r="V968" s="5">
        <v>46166</v>
      </c>
      <c r="W968" s="5">
        <v>46173</v>
      </c>
      <c r="X968" s="5">
        <v>46180</v>
      </c>
      <c r="Y968" s="5">
        <v>46187</v>
      </c>
      <c r="Z968" s="5">
        <v>46194</v>
      </c>
      <c r="AA968" s="5">
        <v>46201</v>
      </c>
      <c r="AB968" s="5">
        <v>46208</v>
      </c>
      <c r="AC968" s="5">
        <v>46215</v>
      </c>
      <c r="AD968" s="5">
        <v>46222</v>
      </c>
      <c r="AE968" s="5">
        <v>46229</v>
      </c>
      <c r="AF968" s="5">
        <v>46236</v>
      </c>
      <c r="AG968" s="5">
        <v>46243</v>
      </c>
    </row>
    <row r="969" spans="1:33" x14ac:dyDescent="0.35">
      <c r="A969" t="s">
        <v>1242</v>
      </c>
      <c r="B969" s="3">
        <v>0.372</v>
      </c>
      <c r="C969" s="3">
        <v>0.105</v>
      </c>
      <c r="D969" s="3">
        <v>9.1999999999999998E-2</v>
      </c>
      <c r="E969" s="130">
        <v>8.157</v>
      </c>
      <c r="F969" s="3">
        <v>0.12</v>
      </c>
      <c r="G969" s="3">
        <v>0.127</v>
      </c>
      <c r="H969" s="3">
        <v>9.6000000000000002E-2</v>
      </c>
      <c r="I969" s="3">
        <v>0.109</v>
      </c>
      <c r="J969" s="3">
        <v>0.122</v>
      </c>
      <c r="K969" s="3">
        <v>8.4000000000000005E-2</v>
      </c>
      <c r="L969" s="3">
        <v>9.7000000000000003E-2</v>
      </c>
      <c r="M969" s="3">
        <v>9.8000000000000004E-2</v>
      </c>
      <c r="N969" s="3">
        <v>8.8999999999999996E-2</v>
      </c>
      <c r="O969" s="3">
        <v>8.3000000000000004E-2</v>
      </c>
      <c r="P969" s="3">
        <v>0.124</v>
      </c>
      <c r="Q969" s="3">
        <v>1.861</v>
      </c>
      <c r="R969" s="3">
        <v>9.9000000000000005E-2</v>
      </c>
      <c r="S969" s="3">
        <v>9.8000000000000004E-2</v>
      </c>
      <c r="T969" s="3">
        <v>8.5999999999999993E-2</v>
      </c>
      <c r="U969" s="3">
        <v>8.3000000000000004E-2</v>
      </c>
      <c r="V969" s="3">
        <v>9.6000000000000002E-2</v>
      </c>
      <c r="W969" s="3">
        <v>0.10199999999999999</v>
      </c>
      <c r="X969" s="3">
        <v>0.36099999999999999</v>
      </c>
      <c r="Y969" s="3">
        <v>1.252</v>
      </c>
      <c r="Z969" s="3">
        <v>1.391</v>
      </c>
      <c r="AA969" s="3">
        <v>1.512</v>
      </c>
      <c r="AB969" s="3">
        <v>0.16700000000000001</v>
      </c>
      <c r="AC969" s="3">
        <v>0.151</v>
      </c>
      <c r="AD969" s="3">
        <v>0.14099999999999999</v>
      </c>
      <c r="AE969" s="3">
        <v>7.8E-2</v>
      </c>
      <c r="AF969" s="3">
        <v>0.10199999999999999</v>
      </c>
      <c r="AG969" s="3">
        <v>0.14399999999999999</v>
      </c>
    </row>
    <row r="970" spans="1:33" x14ac:dyDescent="0.35">
      <c r="A970" t="s">
        <v>1247</v>
      </c>
      <c r="B970" s="3">
        <v>7.9000000000000001E-2</v>
      </c>
      <c r="C970" s="3">
        <v>2.3E-2</v>
      </c>
      <c r="D970" s="3">
        <v>1.2999999999999999E-2</v>
      </c>
      <c r="E970" s="130">
        <v>0.48899999999999999</v>
      </c>
      <c r="F970" s="3">
        <v>5.7000000000000002E-2</v>
      </c>
      <c r="G970" s="3">
        <v>3.3000000000000002E-2</v>
      </c>
      <c r="H970" s="3">
        <v>3.2000000000000001E-2</v>
      </c>
      <c r="I970" s="3">
        <v>4.1000000000000002E-2</v>
      </c>
      <c r="J970" s="3">
        <v>3.5000000000000003E-2</v>
      </c>
      <c r="K970" s="3">
        <v>0.01</v>
      </c>
      <c r="L970" s="3">
        <v>0.05</v>
      </c>
      <c r="M970" s="3">
        <v>3.6999999999999998E-2</v>
      </c>
      <c r="N970" s="3">
        <v>2.5999999999999999E-2</v>
      </c>
      <c r="O970" s="3">
        <v>2.8000000000000001E-2</v>
      </c>
      <c r="P970" s="3">
        <v>3.2000000000000001E-2</v>
      </c>
      <c r="Q970" s="3">
        <v>0.23599999999999999</v>
      </c>
      <c r="R970" s="3">
        <v>2.1000000000000001E-2</v>
      </c>
      <c r="S970" s="3">
        <v>8.0000000000000002E-3</v>
      </c>
      <c r="T970" s="3">
        <v>6.0000000000000001E-3</v>
      </c>
      <c r="U970" s="3">
        <v>0.01</v>
      </c>
      <c r="V970" s="3">
        <v>7.0000000000000001E-3</v>
      </c>
      <c r="W970" s="3">
        <v>1E-3</v>
      </c>
      <c r="X970" s="3">
        <v>1.6E-2</v>
      </c>
      <c r="Y970" s="3">
        <v>0.183</v>
      </c>
      <c r="Z970" s="3">
        <v>0.185</v>
      </c>
      <c r="AA970" s="3">
        <v>0.20100000000000001</v>
      </c>
      <c r="AB970" s="3">
        <v>1.9E-2</v>
      </c>
      <c r="AC970" s="3">
        <v>1.4E-2</v>
      </c>
      <c r="AD970" s="3">
        <v>8.9999999999999993E-3</v>
      </c>
      <c r="AE970" s="3">
        <v>8.0000000000000002E-3</v>
      </c>
      <c r="AF970" s="3">
        <v>1.2999999999999999E-2</v>
      </c>
      <c r="AG970" s="3">
        <v>7.0000000000000001E-3</v>
      </c>
    </row>
    <row r="971" spans="1:33" x14ac:dyDescent="0.35">
      <c r="A971" t="s">
        <v>1248</v>
      </c>
      <c r="B971" s="7">
        <v>0.21</v>
      </c>
      <c r="C971" s="7">
        <v>0.06</v>
      </c>
      <c r="D971" s="7">
        <v>0.04</v>
      </c>
      <c r="E971" s="129">
        <v>1.29</v>
      </c>
      <c r="F971" s="7">
        <v>0.15</v>
      </c>
      <c r="G971" s="7">
        <v>0.09</v>
      </c>
      <c r="H971" s="7">
        <v>0.09</v>
      </c>
      <c r="I971" s="7">
        <v>0.11</v>
      </c>
      <c r="J971" s="7">
        <v>0.1</v>
      </c>
      <c r="K971" s="7">
        <v>0.03</v>
      </c>
      <c r="L971" s="7">
        <v>0.14000000000000001</v>
      </c>
      <c r="M971" s="7">
        <v>0.1</v>
      </c>
      <c r="N971" s="7">
        <v>7.0000000000000007E-2</v>
      </c>
      <c r="O971" s="7">
        <v>0.08</v>
      </c>
      <c r="P971" s="7">
        <v>0.09</v>
      </c>
      <c r="Q971" s="7">
        <v>0.62</v>
      </c>
      <c r="R971" s="7">
        <v>0.06</v>
      </c>
      <c r="S971" s="7">
        <v>0.02</v>
      </c>
      <c r="T971" s="7">
        <v>0.02</v>
      </c>
      <c r="U971" s="7">
        <v>0.03</v>
      </c>
      <c r="V971" s="7">
        <v>0.02</v>
      </c>
      <c r="W971" s="7">
        <v>0</v>
      </c>
      <c r="X971" s="7">
        <v>0.04</v>
      </c>
      <c r="Y971" s="7">
        <v>0.45</v>
      </c>
      <c r="Z971" s="7">
        <v>0.45</v>
      </c>
      <c r="AA971" s="7">
        <v>0.5</v>
      </c>
      <c r="AB971" s="7">
        <v>0.05</v>
      </c>
      <c r="AC971" s="7">
        <v>0.04</v>
      </c>
      <c r="AD971" s="7">
        <v>0.02</v>
      </c>
      <c r="AE971" s="7">
        <v>0.02</v>
      </c>
      <c r="AF971" s="7">
        <v>0.04</v>
      </c>
      <c r="AG971" s="7">
        <v>0.02</v>
      </c>
    </row>
    <row r="972" spans="1:33" x14ac:dyDescent="0.35">
      <c r="A972" t="s">
        <v>1249</v>
      </c>
      <c r="B972" s="7">
        <v>2.4</v>
      </c>
      <c r="C972" s="7">
        <v>2.62</v>
      </c>
      <c r="D972" s="7">
        <v>2.65</v>
      </c>
      <c r="E972" s="129">
        <v>1.35</v>
      </c>
      <c r="F972" s="7">
        <v>2.52</v>
      </c>
      <c r="G972" s="7">
        <v>2.59</v>
      </c>
      <c r="H972" s="7">
        <v>2.65</v>
      </c>
      <c r="I972" s="7">
        <v>2.66</v>
      </c>
      <c r="J972" s="7">
        <v>2.71</v>
      </c>
      <c r="K972" s="7">
        <v>2.7</v>
      </c>
      <c r="L972" s="7">
        <v>2.5499999999999998</v>
      </c>
      <c r="M972" s="7">
        <v>2.59</v>
      </c>
      <c r="N972" s="7">
        <v>2.62</v>
      </c>
      <c r="O972" s="7">
        <v>2.61</v>
      </c>
      <c r="P972" s="7">
        <v>2.6</v>
      </c>
      <c r="Q972" s="7">
        <v>1.99</v>
      </c>
      <c r="R972" s="7">
        <v>2.63</v>
      </c>
      <c r="S972" s="7">
        <v>2.67</v>
      </c>
      <c r="T972" s="7">
        <v>2.67</v>
      </c>
      <c r="U972" s="7">
        <v>2.66</v>
      </c>
      <c r="V972" s="7">
        <v>2.67</v>
      </c>
      <c r="W972" s="7">
        <v>2.69</v>
      </c>
      <c r="X972" s="7">
        <v>2.65</v>
      </c>
      <c r="Y972" s="7">
        <v>2</v>
      </c>
      <c r="Z972" s="7">
        <v>2</v>
      </c>
      <c r="AA972" s="7">
        <v>2</v>
      </c>
      <c r="AB972" s="7">
        <v>2.63</v>
      </c>
      <c r="AC972" s="7">
        <v>2.65</v>
      </c>
      <c r="AD972" s="7">
        <v>2.66</v>
      </c>
      <c r="AE972" s="7">
        <v>2.67</v>
      </c>
      <c r="AF972" s="7">
        <v>2.65</v>
      </c>
      <c r="AG972" s="7">
        <v>2.67</v>
      </c>
    </row>
    <row r="973" spans="1:33" x14ac:dyDescent="0.35">
      <c r="A973" t="s">
        <v>1250</v>
      </c>
      <c r="B973" s="7">
        <v>2.61</v>
      </c>
      <c r="C973" s="7">
        <v>2.68</v>
      </c>
      <c r="D973" s="7">
        <v>2.68</v>
      </c>
      <c r="E973" s="129">
        <v>2.65</v>
      </c>
      <c r="F973" s="7">
        <v>2.67</v>
      </c>
      <c r="G973" s="7">
        <v>2.67</v>
      </c>
      <c r="H973" s="7">
        <v>2.74</v>
      </c>
      <c r="I973" s="7">
        <v>2.77</v>
      </c>
      <c r="J973" s="7">
        <v>2.8</v>
      </c>
      <c r="K973" s="7">
        <v>2.72</v>
      </c>
      <c r="L973" s="7">
        <v>2.68</v>
      </c>
      <c r="M973" s="7">
        <v>2.69</v>
      </c>
      <c r="N973" s="7">
        <v>2.69</v>
      </c>
      <c r="O973" s="7">
        <v>2.69</v>
      </c>
      <c r="P973" s="7">
        <v>2.68</v>
      </c>
      <c r="Q973" s="7">
        <v>2.61</v>
      </c>
      <c r="R973" s="7">
        <v>2.69</v>
      </c>
      <c r="S973" s="7">
        <v>2.69</v>
      </c>
      <c r="T973" s="7">
        <v>2.69</v>
      </c>
      <c r="U973" s="7">
        <v>2.69</v>
      </c>
      <c r="V973" s="7">
        <v>2.69</v>
      </c>
      <c r="W973" s="7">
        <v>2.69</v>
      </c>
      <c r="X973" s="7">
        <v>2.69</v>
      </c>
      <c r="Y973" s="7">
        <v>2.4500000000000002</v>
      </c>
      <c r="Z973" s="7">
        <v>2.4500000000000002</v>
      </c>
      <c r="AA973" s="7">
        <v>2.5</v>
      </c>
      <c r="AB973" s="7">
        <v>2.68</v>
      </c>
      <c r="AC973" s="7">
        <v>2.68</v>
      </c>
      <c r="AD973" s="7">
        <v>2.69</v>
      </c>
      <c r="AE973" s="7">
        <v>2.69</v>
      </c>
      <c r="AF973" s="7">
        <v>2.69</v>
      </c>
      <c r="AG973" s="7">
        <v>2.69</v>
      </c>
    </row>
    <row r="974" spans="1:33" x14ac:dyDescent="0.35">
      <c r="A974" t="s">
        <v>1245</v>
      </c>
      <c r="B974" s="7">
        <v>2.4500000000000002</v>
      </c>
      <c r="C974" s="7">
        <v>2.66</v>
      </c>
      <c r="D974" s="7">
        <v>2.67</v>
      </c>
      <c r="E974" s="129">
        <v>1.35</v>
      </c>
      <c r="F974" s="7">
        <v>2.62</v>
      </c>
      <c r="G974" s="7">
        <v>2.64</v>
      </c>
      <c r="H974" s="7">
        <v>2.71</v>
      </c>
      <c r="I974" s="7">
        <v>2.73</v>
      </c>
      <c r="J974" s="7">
        <v>2.75</v>
      </c>
      <c r="K974" s="7">
        <v>2.72</v>
      </c>
      <c r="L974" s="7">
        <v>2.64</v>
      </c>
      <c r="M974" s="7">
        <v>2.66</v>
      </c>
      <c r="N974" s="7">
        <v>2.67</v>
      </c>
      <c r="O974" s="7">
        <v>2.67</v>
      </c>
      <c r="P974" s="7">
        <v>2.65</v>
      </c>
      <c r="Q974" s="7">
        <v>1.99</v>
      </c>
      <c r="R974" s="7">
        <v>2.67</v>
      </c>
      <c r="S974" s="7">
        <v>2.68</v>
      </c>
      <c r="T974" s="7">
        <v>2.68</v>
      </c>
      <c r="U974" s="7">
        <v>2.68</v>
      </c>
      <c r="V974" s="7">
        <v>2.68</v>
      </c>
      <c r="W974" s="7">
        <v>2.69</v>
      </c>
      <c r="X974" s="7">
        <v>2.65</v>
      </c>
      <c r="Y974" s="7">
        <v>2</v>
      </c>
      <c r="Z974" s="7">
        <v>2</v>
      </c>
      <c r="AA974" s="7">
        <v>2</v>
      </c>
      <c r="AB974" s="7">
        <v>2.66</v>
      </c>
      <c r="AC974" s="7">
        <v>2.67</v>
      </c>
      <c r="AD974" s="7">
        <v>2.68</v>
      </c>
      <c r="AE974" s="7">
        <v>2.68</v>
      </c>
      <c r="AF974" s="7">
        <v>2.68</v>
      </c>
      <c r="AG974" s="7">
        <v>2.68</v>
      </c>
    </row>
    <row r="976" spans="1:33" x14ac:dyDescent="0.35">
      <c r="A976" t="s">
        <v>1254</v>
      </c>
      <c r="B976" s="5">
        <v>46026</v>
      </c>
      <c r="C976" s="128">
        <v>46033</v>
      </c>
      <c r="D976" s="5">
        <v>46040</v>
      </c>
      <c r="E976" s="5">
        <v>46047</v>
      </c>
      <c r="F976" s="5">
        <v>46054</v>
      </c>
      <c r="G976" s="5">
        <v>46061</v>
      </c>
      <c r="H976" s="5">
        <v>46068</v>
      </c>
      <c r="I976" s="5">
        <v>46075</v>
      </c>
      <c r="J976" s="5">
        <v>46082</v>
      </c>
      <c r="K976" s="5">
        <v>46089</v>
      </c>
      <c r="L976" s="5">
        <v>46096</v>
      </c>
      <c r="M976" s="5">
        <v>46103</v>
      </c>
      <c r="N976" s="5">
        <v>46110</v>
      </c>
      <c r="O976" s="5">
        <v>46117</v>
      </c>
      <c r="P976" s="5">
        <v>46124</v>
      </c>
      <c r="Q976" s="5">
        <v>46131</v>
      </c>
      <c r="R976" s="5">
        <v>46138</v>
      </c>
      <c r="S976" s="5">
        <v>46145</v>
      </c>
      <c r="T976" s="5">
        <v>46152</v>
      </c>
      <c r="U976" s="5">
        <v>46159</v>
      </c>
      <c r="V976" s="5">
        <v>46166</v>
      </c>
      <c r="W976" s="5">
        <v>46173</v>
      </c>
      <c r="X976" s="5">
        <v>46180</v>
      </c>
      <c r="Y976" s="5">
        <v>46187</v>
      </c>
      <c r="Z976" s="5">
        <v>46194</v>
      </c>
      <c r="AA976" s="5">
        <v>46201</v>
      </c>
      <c r="AB976" s="5">
        <v>46208</v>
      </c>
      <c r="AC976" s="5">
        <v>46215</v>
      </c>
      <c r="AD976" s="5">
        <v>46222</v>
      </c>
      <c r="AE976" s="5">
        <v>46229</v>
      </c>
      <c r="AF976" s="5">
        <v>46236</v>
      </c>
      <c r="AG976" s="5">
        <v>46243</v>
      </c>
    </row>
    <row r="977" spans="1:38" x14ac:dyDescent="0.35">
      <c r="A977" t="s">
        <v>1241</v>
      </c>
      <c r="B977" s="6">
        <v>12177</v>
      </c>
      <c r="C977" s="10">
        <v>31370</v>
      </c>
      <c r="D977" s="6">
        <v>16004</v>
      </c>
      <c r="E977" s="6">
        <v>14524</v>
      </c>
      <c r="F977" s="6">
        <v>15799</v>
      </c>
      <c r="G977" s="6">
        <v>15597</v>
      </c>
      <c r="H977" s="6">
        <v>15022</v>
      </c>
      <c r="I977" s="6">
        <v>16524</v>
      </c>
      <c r="J977" s="6">
        <v>16872</v>
      </c>
      <c r="K977" s="6">
        <v>40116</v>
      </c>
      <c r="L977" s="6">
        <v>14714</v>
      </c>
      <c r="M977" s="6">
        <v>15508</v>
      </c>
      <c r="N977" s="6">
        <v>16085</v>
      </c>
      <c r="O977" s="6">
        <v>14164</v>
      </c>
      <c r="P977" s="6">
        <v>15348</v>
      </c>
      <c r="Q977" s="6">
        <v>13720</v>
      </c>
      <c r="R977" s="6">
        <v>13900</v>
      </c>
      <c r="S977" s="6">
        <v>13686</v>
      </c>
      <c r="T977" s="6">
        <v>13330</v>
      </c>
      <c r="U977" s="6">
        <v>29087</v>
      </c>
      <c r="V977" s="6">
        <v>11862</v>
      </c>
      <c r="W977" s="6">
        <v>12203</v>
      </c>
      <c r="X977" s="6">
        <v>12071</v>
      </c>
      <c r="Y977" s="6">
        <v>10639</v>
      </c>
      <c r="Z977" s="6">
        <v>10317</v>
      </c>
      <c r="AA977" s="6">
        <v>9789</v>
      </c>
      <c r="AB977" s="6">
        <v>10374</v>
      </c>
      <c r="AC977" s="6">
        <v>11304</v>
      </c>
      <c r="AD977" s="6">
        <v>10767</v>
      </c>
      <c r="AE977" s="6">
        <v>22302</v>
      </c>
      <c r="AF977" s="6">
        <v>11895</v>
      </c>
      <c r="AG977" s="6">
        <v>11878</v>
      </c>
    </row>
    <row r="978" spans="1:38" x14ac:dyDescent="0.35">
      <c r="A978" t="s">
        <v>1242</v>
      </c>
      <c r="B978" s="3">
        <v>0.02</v>
      </c>
      <c r="C978" s="130">
        <v>1.4319999999999999</v>
      </c>
      <c r="D978" s="3">
        <v>4.1000000000000002E-2</v>
      </c>
      <c r="E978" s="3">
        <v>3.6999999999999998E-2</v>
      </c>
      <c r="F978" s="3">
        <v>3.3000000000000002E-2</v>
      </c>
      <c r="G978" s="3">
        <v>1.2E-2</v>
      </c>
      <c r="H978" s="3">
        <v>0.01</v>
      </c>
      <c r="I978" s="3">
        <v>5.5E-2</v>
      </c>
      <c r="J978" s="3">
        <v>2.5999999999999999E-2</v>
      </c>
      <c r="K978" s="3">
        <v>1.3129999999999999</v>
      </c>
      <c r="L978" s="3">
        <v>1.0999999999999999E-2</v>
      </c>
      <c r="M978" s="3">
        <v>7.0000000000000001E-3</v>
      </c>
      <c r="N978" s="3">
        <v>6.0000000000000001E-3</v>
      </c>
      <c r="O978" s="3">
        <v>2E-3</v>
      </c>
      <c r="P978" s="3">
        <v>2E-3</v>
      </c>
      <c r="Q978" s="3">
        <v>5.0000000000000001E-3</v>
      </c>
      <c r="R978" s="3">
        <v>2E-3</v>
      </c>
      <c r="S978" s="3">
        <v>2E-3</v>
      </c>
      <c r="T978" s="3">
        <v>4.0000000000000001E-3</v>
      </c>
      <c r="U978" s="3">
        <v>1.133</v>
      </c>
      <c r="V978" s="3">
        <v>5.0000000000000001E-3</v>
      </c>
      <c r="W978" s="3">
        <v>3.0000000000000001E-3</v>
      </c>
      <c r="X978" s="3">
        <v>3.0000000000000001E-3</v>
      </c>
      <c r="Y978" s="3">
        <v>6.0000000000000001E-3</v>
      </c>
      <c r="Z978" s="3">
        <v>7.0000000000000001E-3</v>
      </c>
      <c r="AA978" s="3">
        <v>7.0000000000000001E-3</v>
      </c>
      <c r="AB978" s="3">
        <v>4.0000000000000001E-3</v>
      </c>
      <c r="AC978" s="3">
        <v>8.9999999999999993E-3</v>
      </c>
      <c r="AD978" s="3">
        <v>5.0000000000000001E-3</v>
      </c>
      <c r="AE978" s="3">
        <v>1.127</v>
      </c>
      <c r="AF978" s="3">
        <v>6.0999999999999999E-2</v>
      </c>
      <c r="AG978" s="3">
        <v>6.3E-2</v>
      </c>
    </row>
    <row r="979" spans="1:38" x14ac:dyDescent="0.35">
      <c r="A979" t="s">
        <v>1243</v>
      </c>
      <c r="B979" s="6">
        <v>239</v>
      </c>
      <c r="C979" s="10">
        <v>18473</v>
      </c>
      <c r="D979" s="6">
        <v>634</v>
      </c>
      <c r="E979" s="6">
        <v>521</v>
      </c>
      <c r="F979" s="6">
        <v>506</v>
      </c>
      <c r="G979" s="6">
        <v>191</v>
      </c>
      <c r="H979" s="6">
        <v>145</v>
      </c>
      <c r="I979" s="6">
        <v>867</v>
      </c>
      <c r="J979" s="6">
        <v>425</v>
      </c>
      <c r="K979" s="6">
        <v>22771</v>
      </c>
      <c r="L979" s="6">
        <v>160</v>
      </c>
      <c r="M979" s="6">
        <v>101</v>
      </c>
      <c r="N979" s="6">
        <v>95</v>
      </c>
      <c r="O979" s="6">
        <v>34</v>
      </c>
      <c r="P979" s="6">
        <v>23</v>
      </c>
      <c r="Q979" s="6">
        <v>68</v>
      </c>
      <c r="R979" s="6">
        <v>25</v>
      </c>
      <c r="S979" s="6">
        <v>30</v>
      </c>
      <c r="T979" s="6">
        <v>59</v>
      </c>
      <c r="U979" s="6">
        <v>15451</v>
      </c>
      <c r="V979" s="6">
        <v>58</v>
      </c>
      <c r="W979" s="6">
        <v>39</v>
      </c>
      <c r="X979" s="6">
        <v>34</v>
      </c>
      <c r="Y979" s="6">
        <v>60</v>
      </c>
      <c r="Z979" s="6">
        <v>67</v>
      </c>
      <c r="AA979" s="6">
        <v>72</v>
      </c>
      <c r="AB979" s="6">
        <v>41</v>
      </c>
      <c r="AC979" s="6">
        <v>97</v>
      </c>
      <c r="AD979" s="6">
        <v>52</v>
      </c>
      <c r="AE979" s="6">
        <v>11818</v>
      </c>
      <c r="AF979" s="6">
        <v>687</v>
      </c>
      <c r="AG979" s="6">
        <v>706</v>
      </c>
    </row>
    <row r="980" spans="1:38" x14ac:dyDescent="0.35">
      <c r="A980" t="s">
        <v>1244</v>
      </c>
      <c r="B980" s="6">
        <v>11939</v>
      </c>
      <c r="C980" s="10">
        <v>12897</v>
      </c>
      <c r="D980" s="6">
        <v>15370</v>
      </c>
      <c r="E980" s="6">
        <v>14003</v>
      </c>
      <c r="F980" s="6">
        <v>15293</v>
      </c>
      <c r="G980" s="6">
        <v>15406</v>
      </c>
      <c r="H980" s="6">
        <v>14877</v>
      </c>
      <c r="I980" s="6">
        <v>15658</v>
      </c>
      <c r="J980" s="6">
        <v>16447</v>
      </c>
      <c r="K980" s="6">
        <v>17346</v>
      </c>
      <c r="L980" s="6">
        <v>14555</v>
      </c>
      <c r="M980" s="6">
        <v>15407</v>
      </c>
      <c r="N980" s="6">
        <v>15989</v>
      </c>
      <c r="O980" s="6">
        <v>14131</v>
      </c>
      <c r="P980" s="6">
        <v>15325</v>
      </c>
      <c r="Q980" s="6">
        <v>13652</v>
      </c>
      <c r="R980" s="6">
        <v>13875</v>
      </c>
      <c r="S980" s="6">
        <v>13656</v>
      </c>
      <c r="T980" s="6">
        <v>13272</v>
      </c>
      <c r="U980" s="6">
        <v>13636</v>
      </c>
      <c r="V980" s="6">
        <v>11804</v>
      </c>
      <c r="W980" s="6">
        <v>12164</v>
      </c>
      <c r="X980" s="6">
        <v>12037</v>
      </c>
      <c r="Y980" s="6">
        <v>10579</v>
      </c>
      <c r="Z980" s="6">
        <v>10250</v>
      </c>
      <c r="AA980" s="6">
        <v>9717</v>
      </c>
      <c r="AB980" s="6">
        <v>10333</v>
      </c>
      <c r="AC980" s="6">
        <v>11207</v>
      </c>
      <c r="AD980" s="6">
        <v>10715</v>
      </c>
      <c r="AE980" s="6">
        <v>10484</v>
      </c>
      <c r="AF980" s="6">
        <v>11208</v>
      </c>
      <c r="AG980" s="6">
        <v>11173</v>
      </c>
    </row>
    <row r="981" spans="1:38" x14ac:dyDescent="0.35">
      <c r="A981" t="s">
        <v>1245</v>
      </c>
      <c r="B981" s="7">
        <v>10.99</v>
      </c>
      <c r="C981" s="129">
        <v>8.98</v>
      </c>
      <c r="D981" s="7">
        <v>10.95</v>
      </c>
      <c r="E981" s="7">
        <v>10.94</v>
      </c>
      <c r="F981" s="7">
        <v>10.98</v>
      </c>
      <c r="G981" s="7">
        <v>10.98</v>
      </c>
      <c r="H981" s="7">
        <v>10.97</v>
      </c>
      <c r="I981" s="7">
        <v>10.53</v>
      </c>
      <c r="J981" s="7">
        <v>10.78</v>
      </c>
      <c r="K981" s="7">
        <v>7.98</v>
      </c>
      <c r="L981" s="7">
        <v>10.94</v>
      </c>
      <c r="M981" s="7">
        <v>10.96</v>
      </c>
      <c r="N981" s="7">
        <v>10.97</v>
      </c>
      <c r="O981" s="7">
        <v>10.98</v>
      </c>
      <c r="P981" s="7">
        <v>10.98</v>
      </c>
      <c r="Q981" s="7">
        <v>10.96</v>
      </c>
      <c r="R981" s="7">
        <v>10.99</v>
      </c>
      <c r="S981" s="7">
        <v>10.99</v>
      </c>
      <c r="T981" s="7">
        <v>10.99</v>
      </c>
      <c r="U981" s="7">
        <v>8.98</v>
      </c>
      <c r="V981" s="7">
        <v>10.98</v>
      </c>
      <c r="W981" s="7">
        <v>10.98</v>
      </c>
      <c r="X981" s="7">
        <v>10.98</v>
      </c>
      <c r="Y981" s="7">
        <v>10.62</v>
      </c>
      <c r="Z981" s="7">
        <v>10.47</v>
      </c>
      <c r="AA981" s="7">
        <v>10.47</v>
      </c>
      <c r="AB981" s="7">
        <v>10.48</v>
      </c>
      <c r="AC981" s="7">
        <v>10.48</v>
      </c>
      <c r="AD981" s="7">
        <v>10.48</v>
      </c>
      <c r="AE981" s="7">
        <v>8.98</v>
      </c>
      <c r="AF981" s="7">
        <v>10.48</v>
      </c>
      <c r="AG981" s="7">
        <v>10.49</v>
      </c>
    </row>
    <row r="982" spans="1:38" x14ac:dyDescent="0.35">
      <c r="C982" s="10">
        <f>C980</f>
        <v>12897</v>
      </c>
      <c r="D982" s="6">
        <f>C979</f>
        <v>18473</v>
      </c>
    </row>
    <row r="983" spans="1:38" x14ac:dyDescent="0.35">
      <c r="A983" s="49" t="s">
        <v>1254</v>
      </c>
      <c r="B983" s="5">
        <v>46026</v>
      </c>
      <c r="C983" s="128">
        <v>46033</v>
      </c>
      <c r="D983" s="5">
        <v>46040</v>
      </c>
      <c r="E983" s="5">
        <v>46047</v>
      </c>
      <c r="F983" s="5">
        <v>46054</v>
      </c>
      <c r="G983" s="5">
        <v>46061</v>
      </c>
      <c r="H983" s="5">
        <v>46068</v>
      </c>
      <c r="I983" s="5">
        <v>46075</v>
      </c>
      <c r="J983" s="5">
        <v>46082</v>
      </c>
      <c r="K983" s="5">
        <v>46089</v>
      </c>
      <c r="L983" s="5">
        <v>46096</v>
      </c>
      <c r="M983" s="5">
        <v>46103</v>
      </c>
      <c r="N983" s="5">
        <v>46110</v>
      </c>
      <c r="O983" s="5">
        <v>46117</v>
      </c>
      <c r="P983" s="5">
        <v>46124</v>
      </c>
      <c r="Q983" s="5">
        <v>46131</v>
      </c>
      <c r="R983" s="5">
        <v>46138</v>
      </c>
      <c r="S983" s="5">
        <v>46145</v>
      </c>
      <c r="T983" s="5">
        <v>46152</v>
      </c>
      <c r="U983" s="5">
        <v>46159</v>
      </c>
      <c r="V983" s="5">
        <v>46166</v>
      </c>
      <c r="W983" s="5">
        <v>46173</v>
      </c>
      <c r="X983" s="5">
        <v>46180</v>
      </c>
      <c r="Y983" s="5">
        <v>46187</v>
      </c>
      <c r="Z983" s="5">
        <v>46194</v>
      </c>
      <c r="AA983" s="5">
        <v>46201</v>
      </c>
      <c r="AB983" s="5">
        <v>46208</v>
      </c>
      <c r="AC983" s="5">
        <v>46215</v>
      </c>
      <c r="AD983" s="5">
        <v>46222</v>
      </c>
      <c r="AE983" s="5">
        <v>46229</v>
      </c>
      <c r="AF983" s="5">
        <v>46236</v>
      </c>
      <c r="AG983" s="5">
        <v>46243</v>
      </c>
    </row>
    <row r="984" spans="1:38" x14ac:dyDescent="0.35">
      <c r="A984" t="s">
        <v>1242</v>
      </c>
      <c r="B984" s="3">
        <v>0.02</v>
      </c>
      <c r="C984" s="130">
        <v>1.4319999999999999</v>
      </c>
      <c r="D984" s="3">
        <v>4.1000000000000002E-2</v>
      </c>
      <c r="E984" s="3">
        <v>3.6999999999999998E-2</v>
      </c>
      <c r="F984" s="3">
        <v>3.3000000000000002E-2</v>
      </c>
      <c r="G984" s="3">
        <v>1.2E-2</v>
      </c>
      <c r="H984" s="3">
        <v>0.01</v>
      </c>
      <c r="I984" s="3">
        <v>5.5E-2</v>
      </c>
      <c r="J984" s="3">
        <v>2.5999999999999999E-2</v>
      </c>
      <c r="K984" s="3">
        <v>1.3129999999999999</v>
      </c>
      <c r="L984" s="3">
        <v>1.0999999999999999E-2</v>
      </c>
      <c r="M984" s="3">
        <v>7.0000000000000001E-3</v>
      </c>
      <c r="N984" s="3">
        <v>6.0000000000000001E-3</v>
      </c>
      <c r="O984" s="3">
        <v>2E-3</v>
      </c>
      <c r="P984" s="3">
        <v>2E-3</v>
      </c>
      <c r="Q984" s="3">
        <v>5.0000000000000001E-3</v>
      </c>
      <c r="R984" s="3">
        <v>2E-3</v>
      </c>
      <c r="S984" s="3">
        <v>2E-3</v>
      </c>
      <c r="T984" s="3">
        <v>4.0000000000000001E-3</v>
      </c>
      <c r="U984" s="3">
        <v>1.133</v>
      </c>
      <c r="V984" s="3">
        <v>5.0000000000000001E-3</v>
      </c>
      <c r="W984" s="3">
        <v>3.0000000000000001E-3</v>
      </c>
      <c r="X984" s="3">
        <v>3.0000000000000001E-3</v>
      </c>
      <c r="Y984" s="3">
        <v>6.0000000000000001E-3</v>
      </c>
      <c r="Z984" s="3">
        <v>7.0000000000000001E-3</v>
      </c>
      <c r="AA984" s="3">
        <v>7.0000000000000001E-3</v>
      </c>
      <c r="AB984" s="3">
        <v>4.0000000000000001E-3</v>
      </c>
      <c r="AC984" s="3">
        <v>8.9999999999999993E-3</v>
      </c>
      <c r="AD984" s="3">
        <v>5.0000000000000001E-3</v>
      </c>
      <c r="AE984" s="3">
        <v>1.127</v>
      </c>
      <c r="AF984" s="3">
        <v>6.0999999999999999E-2</v>
      </c>
      <c r="AG984" s="3">
        <v>6.3E-2</v>
      </c>
    </row>
    <row r="985" spans="1:38" x14ac:dyDescent="0.35">
      <c r="A985" t="s">
        <v>1247</v>
      </c>
      <c r="B985" s="3">
        <v>5.0000000000000001E-3</v>
      </c>
      <c r="C985" s="130">
        <v>0.16</v>
      </c>
      <c r="D985" s="3">
        <v>2.9000000000000001E-2</v>
      </c>
      <c r="E985" s="3">
        <v>0.03</v>
      </c>
      <c r="F985" s="3">
        <v>8.0000000000000002E-3</v>
      </c>
      <c r="G985" s="3">
        <v>1.2999999999999999E-2</v>
      </c>
      <c r="H985" s="3">
        <v>2.8000000000000001E-2</v>
      </c>
      <c r="I985" s="3">
        <v>0.33400000000000002</v>
      </c>
      <c r="J985" s="3">
        <v>0.23300000000000001</v>
      </c>
      <c r="K985" s="3">
        <v>0.246</v>
      </c>
      <c r="L985" s="3">
        <v>8.5999999999999993E-2</v>
      </c>
      <c r="M985" s="3">
        <v>8.8999999999999996E-2</v>
      </c>
      <c r="N985" s="3">
        <v>3.6999999999999998E-2</v>
      </c>
      <c r="O985" s="3">
        <v>6.0999999999999999E-2</v>
      </c>
      <c r="P985" s="3">
        <v>7.0000000000000001E-3</v>
      </c>
      <c r="Q985" s="3">
        <v>0.111</v>
      </c>
      <c r="R985" s="3">
        <v>0.02</v>
      </c>
      <c r="S985" s="3">
        <v>1.2999999999999999E-2</v>
      </c>
      <c r="T985" s="3">
        <v>1.2E-2</v>
      </c>
      <c r="U985" s="3">
        <v>0.156</v>
      </c>
      <c r="V985" s="3">
        <v>4.7E-2</v>
      </c>
      <c r="W985" s="3">
        <v>2.1000000000000001E-2</v>
      </c>
      <c r="X985" s="3">
        <v>0.01</v>
      </c>
      <c r="Y985" s="3">
        <v>0.114</v>
      </c>
      <c r="Z985" s="3">
        <v>5.7000000000000002E-2</v>
      </c>
      <c r="AA985" s="3">
        <v>5.3999999999999999E-2</v>
      </c>
      <c r="AB985" s="3">
        <v>1.2E-2</v>
      </c>
      <c r="AC985" s="3">
        <v>5.0000000000000001E-3</v>
      </c>
      <c r="AD985" s="3">
        <v>5.1999999999999998E-2</v>
      </c>
      <c r="AE985" s="3">
        <v>0.121</v>
      </c>
      <c r="AF985" s="3">
        <v>5.0000000000000001E-3</v>
      </c>
      <c r="AG985" s="3">
        <v>1E-3</v>
      </c>
    </row>
    <row r="986" spans="1:38" x14ac:dyDescent="0.35">
      <c r="A986" t="s">
        <v>1248</v>
      </c>
      <c r="B986" s="7">
        <v>0.06</v>
      </c>
      <c r="C986" s="129">
        <v>1.7</v>
      </c>
      <c r="D986" s="7">
        <v>0.32</v>
      </c>
      <c r="E986" s="7">
        <v>0.33</v>
      </c>
      <c r="F986" s="7">
        <v>0.09</v>
      </c>
      <c r="G986" s="7">
        <v>0.14000000000000001</v>
      </c>
      <c r="H986" s="7">
        <v>0.3</v>
      </c>
      <c r="I986" s="7">
        <v>3.66</v>
      </c>
      <c r="J986" s="7">
        <v>2.5499999999999998</v>
      </c>
      <c r="K986" s="7">
        <v>2.6</v>
      </c>
      <c r="L986" s="7">
        <v>0.95</v>
      </c>
      <c r="M986" s="7">
        <v>0.98</v>
      </c>
      <c r="N986" s="7">
        <v>0.41</v>
      </c>
      <c r="O986" s="7">
        <v>0.67</v>
      </c>
      <c r="P986" s="7">
        <v>0.08</v>
      </c>
      <c r="Q986" s="7">
        <v>1.22</v>
      </c>
      <c r="R986" s="7">
        <v>0.22</v>
      </c>
      <c r="S986" s="7">
        <v>0.14000000000000001</v>
      </c>
      <c r="T986" s="7">
        <v>0.14000000000000001</v>
      </c>
      <c r="U986" s="7">
        <v>1.66</v>
      </c>
      <c r="V986" s="7">
        <v>0.52</v>
      </c>
      <c r="W986" s="7">
        <v>0.23</v>
      </c>
      <c r="X986" s="7">
        <v>0.11</v>
      </c>
      <c r="Y986" s="7">
        <v>1.21</v>
      </c>
      <c r="Z986" s="7">
        <v>0.6</v>
      </c>
      <c r="AA986" s="7">
        <v>0.56999999999999995</v>
      </c>
      <c r="AB986" s="7">
        <v>0.13</v>
      </c>
      <c r="AC986" s="7">
        <v>0.05</v>
      </c>
      <c r="AD986" s="7">
        <v>0.55000000000000004</v>
      </c>
      <c r="AE986" s="7">
        <v>1.23</v>
      </c>
      <c r="AF986" s="7">
        <v>0.05</v>
      </c>
      <c r="AG986" s="7">
        <v>0.01</v>
      </c>
    </row>
    <row r="987" spans="1:38" x14ac:dyDescent="0.35">
      <c r="A987" t="s">
        <v>1249</v>
      </c>
      <c r="B987" s="7">
        <v>10.93</v>
      </c>
      <c r="C987" s="129">
        <v>8.98</v>
      </c>
      <c r="D987" s="7">
        <v>10.67</v>
      </c>
      <c r="E987" s="7">
        <v>10.65</v>
      </c>
      <c r="F987" s="7">
        <v>10.9</v>
      </c>
      <c r="G987" s="7">
        <v>10.85</v>
      </c>
      <c r="H987" s="7">
        <v>10.68</v>
      </c>
      <c r="I987" s="7">
        <v>7.28</v>
      </c>
      <c r="J987" s="7">
        <v>8.4</v>
      </c>
      <c r="K987" s="7">
        <v>7.98</v>
      </c>
      <c r="L987" s="7">
        <v>10.029999999999999</v>
      </c>
      <c r="M987" s="7">
        <v>10</v>
      </c>
      <c r="N987" s="7">
        <v>10.57</v>
      </c>
      <c r="O987" s="7">
        <v>10.32</v>
      </c>
      <c r="P987" s="7">
        <v>10.9</v>
      </c>
      <c r="Q987" s="7">
        <v>9.76</v>
      </c>
      <c r="R987" s="7">
        <v>10.77</v>
      </c>
      <c r="S987" s="7">
        <v>10.85</v>
      </c>
      <c r="T987" s="7">
        <v>10.85</v>
      </c>
      <c r="U987" s="7">
        <v>8.98</v>
      </c>
      <c r="V987" s="7">
        <v>10.47</v>
      </c>
      <c r="W987" s="7">
        <v>10.76</v>
      </c>
      <c r="X987" s="7">
        <v>10.87</v>
      </c>
      <c r="Y987" s="7">
        <v>9.43</v>
      </c>
      <c r="Z987" s="7">
        <v>9.8800000000000008</v>
      </c>
      <c r="AA987" s="7">
        <v>9.92</v>
      </c>
      <c r="AB987" s="7">
        <v>10.36</v>
      </c>
      <c r="AC987" s="7">
        <v>10.43</v>
      </c>
      <c r="AD987" s="7">
        <v>9.94</v>
      </c>
      <c r="AE987" s="7">
        <v>8.98</v>
      </c>
      <c r="AF987" s="7">
        <v>10.44</v>
      </c>
      <c r="AG987" s="7">
        <v>10.48</v>
      </c>
    </row>
    <row r="988" spans="1:38" x14ac:dyDescent="0.35">
      <c r="A988" t="s">
        <v>1250</v>
      </c>
      <c r="B988" s="7">
        <v>10.99</v>
      </c>
      <c r="C988" s="129">
        <v>10.69</v>
      </c>
      <c r="D988" s="7">
        <v>10.99</v>
      </c>
      <c r="E988" s="7">
        <v>10.98</v>
      </c>
      <c r="F988" s="7">
        <v>10.99</v>
      </c>
      <c r="G988" s="7">
        <v>10.99</v>
      </c>
      <c r="H988" s="7">
        <v>10.98</v>
      </c>
      <c r="I988" s="7">
        <v>10.93</v>
      </c>
      <c r="J988" s="7">
        <v>10.95</v>
      </c>
      <c r="K988" s="7">
        <v>10.58</v>
      </c>
      <c r="L988" s="7">
        <v>10.98</v>
      </c>
      <c r="M988" s="7">
        <v>10.99</v>
      </c>
      <c r="N988" s="7">
        <v>10.98</v>
      </c>
      <c r="O988" s="7">
        <v>10.99</v>
      </c>
      <c r="P988" s="7">
        <v>10.98</v>
      </c>
      <c r="Q988" s="7">
        <v>10.98</v>
      </c>
      <c r="R988" s="7">
        <v>10.99</v>
      </c>
      <c r="S988" s="7">
        <v>10.99</v>
      </c>
      <c r="T988" s="7">
        <v>10.99</v>
      </c>
      <c r="U988" s="7">
        <v>10.64</v>
      </c>
      <c r="V988" s="7">
        <v>10.99</v>
      </c>
      <c r="W988" s="7">
        <v>10.99</v>
      </c>
      <c r="X988" s="7">
        <v>10.98</v>
      </c>
      <c r="Y988" s="7">
        <v>10.64</v>
      </c>
      <c r="Z988" s="7">
        <v>10.48</v>
      </c>
      <c r="AA988" s="7">
        <v>10.48</v>
      </c>
      <c r="AB988" s="7">
        <v>10.49</v>
      </c>
      <c r="AC988" s="7">
        <v>10.49</v>
      </c>
      <c r="AD988" s="7">
        <v>10.49</v>
      </c>
      <c r="AE988" s="7">
        <v>10.210000000000001</v>
      </c>
      <c r="AF988" s="7">
        <v>10.49</v>
      </c>
      <c r="AG988" s="7">
        <v>10.49</v>
      </c>
    </row>
    <row r="989" spans="1:38" x14ac:dyDescent="0.35">
      <c r="A989" t="s">
        <v>1245</v>
      </c>
      <c r="B989" s="7">
        <v>10.99</v>
      </c>
      <c r="C989" s="129">
        <v>8.98</v>
      </c>
      <c r="D989" s="7">
        <v>10.95</v>
      </c>
      <c r="E989" s="7">
        <v>10.94</v>
      </c>
      <c r="F989" s="7">
        <v>10.98</v>
      </c>
      <c r="G989" s="7">
        <v>10.98</v>
      </c>
      <c r="H989" s="7">
        <v>10.97</v>
      </c>
      <c r="I989" s="7">
        <v>10.53</v>
      </c>
      <c r="J989" s="7">
        <v>10.78</v>
      </c>
      <c r="K989" s="7">
        <v>7.98</v>
      </c>
      <c r="L989" s="7">
        <v>10.94</v>
      </c>
      <c r="M989" s="7">
        <v>10.96</v>
      </c>
      <c r="N989" s="7">
        <v>10.97</v>
      </c>
      <c r="O989" s="7">
        <v>10.98</v>
      </c>
      <c r="P989" s="7">
        <v>10.98</v>
      </c>
      <c r="Q989" s="7">
        <v>10.96</v>
      </c>
      <c r="R989" s="7">
        <v>10.99</v>
      </c>
      <c r="S989" s="7">
        <v>10.99</v>
      </c>
      <c r="T989" s="7">
        <v>10.99</v>
      </c>
      <c r="U989" s="7">
        <v>8.98</v>
      </c>
      <c r="V989" s="7">
        <v>10.98</v>
      </c>
      <c r="W989" s="7">
        <v>10.98</v>
      </c>
      <c r="X989" s="7">
        <v>10.98</v>
      </c>
      <c r="Y989" s="7">
        <v>10.62</v>
      </c>
      <c r="Z989" s="7">
        <v>10.47</v>
      </c>
      <c r="AA989" s="7">
        <v>10.47</v>
      </c>
      <c r="AB989" s="7">
        <v>10.48</v>
      </c>
      <c r="AC989" s="7">
        <v>10.48</v>
      </c>
      <c r="AD989" s="7">
        <v>10.48</v>
      </c>
      <c r="AE989" s="7">
        <v>8.98</v>
      </c>
      <c r="AF989" s="7">
        <v>10.48</v>
      </c>
      <c r="AG989" s="7">
        <v>10.49</v>
      </c>
    </row>
    <row r="991" spans="1:38" x14ac:dyDescent="0.35">
      <c r="A991" t="s">
        <v>1442</v>
      </c>
      <c r="B991" s="5">
        <v>46026</v>
      </c>
      <c r="C991" s="128">
        <v>46033</v>
      </c>
      <c r="D991" s="5">
        <v>46040</v>
      </c>
      <c r="E991" s="5">
        <v>46047</v>
      </c>
      <c r="F991" s="5">
        <v>46054</v>
      </c>
      <c r="G991" s="5">
        <v>46061</v>
      </c>
      <c r="H991" s="128">
        <v>46068</v>
      </c>
      <c r="I991" s="128">
        <v>46075</v>
      </c>
      <c r="J991" s="5">
        <v>46082</v>
      </c>
      <c r="K991" s="5">
        <v>46089</v>
      </c>
      <c r="L991" s="5">
        <v>46096</v>
      </c>
      <c r="M991" s="5">
        <v>46103</v>
      </c>
      <c r="N991" s="5">
        <v>46110</v>
      </c>
      <c r="O991" s="5">
        <v>46117</v>
      </c>
      <c r="P991" s="5">
        <v>46124</v>
      </c>
      <c r="Q991" s="128">
        <v>46131</v>
      </c>
      <c r="R991" s="5">
        <v>46138</v>
      </c>
      <c r="S991" s="5">
        <v>46145</v>
      </c>
      <c r="T991" s="5">
        <v>46152</v>
      </c>
      <c r="U991" s="5">
        <v>46159</v>
      </c>
      <c r="V991" s="5">
        <v>46166</v>
      </c>
      <c r="W991" s="5">
        <v>46173</v>
      </c>
      <c r="X991" s="5">
        <v>46180</v>
      </c>
      <c r="Y991" s="5">
        <v>46187</v>
      </c>
      <c r="Z991" s="5">
        <v>46194</v>
      </c>
      <c r="AA991" s="5">
        <v>46201</v>
      </c>
      <c r="AB991" s="5">
        <v>46208</v>
      </c>
      <c r="AC991" s="5">
        <v>46215</v>
      </c>
      <c r="AD991" s="5">
        <v>46222</v>
      </c>
      <c r="AE991" s="5">
        <v>46229</v>
      </c>
      <c r="AF991" s="5">
        <v>46236</v>
      </c>
      <c r="AG991" s="5">
        <v>46243</v>
      </c>
      <c r="AH991" s="5">
        <v>46215</v>
      </c>
      <c r="AI991" s="5">
        <v>46222</v>
      </c>
      <c r="AJ991" s="5">
        <v>46229</v>
      </c>
      <c r="AK991" s="5">
        <v>46236</v>
      </c>
      <c r="AL991" s="5">
        <v>46243</v>
      </c>
    </row>
    <row r="992" spans="1:38" x14ac:dyDescent="0.35">
      <c r="A992" t="s">
        <v>1241</v>
      </c>
      <c r="B992" s="112"/>
      <c r="C992" s="112"/>
      <c r="D992" s="112"/>
      <c r="E992" s="112"/>
      <c r="F992" s="112"/>
      <c r="G992" s="6">
        <v>731</v>
      </c>
      <c r="H992" s="10">
        <v>15269</v>
      </c>
      <c r="I992" s="10">
        <v>14889</v>
      </c>
      <c r="J992" s="6">
        <v>11104</v>
      </c>
      <c r="K992" s="6">
        <v>6684</v>
      </c>
      <c r="L992" s="6">
        <v>4050</v>
      </c>
      <c r="M992" s="6">
        <v>5432</v>
      </c>
      <c r="N992" s="6">
        <v>8662</v>
      </c>
      <c r="O992" s="6">
        <v>7484</v>
      </c>
      <c r="P992" s="6">
        <v>8138</v>
      </c>
      <c r="Q992" s="10">
        <v>17949</v>
      </c>
      <c r="R992" s="6">
        <v>10202</v>
      </c>
      <c r="S992" s="6">
        <v>9296</v>
      </c>
      <c r="T992" s="6">
        <v>8850</v>
      </c>
      <c r="U992" s="6">
        <v>7872</v>
      </c>
      <c r="V992" s="6">
        <v>7617</v>
      </c>
      <c r="W992" s="6">
        <v>8777</v>
      </c>
      <c r="X992" s="6">
        <v>92935</v>
      </c>
      <c r="Y992" s="6">
        <v>23767</v>
      </c>
      <c r="Z992" s="6">
        <v>20403</v>
      </c>
      <c r="AA992" s="6">
        <v>17549</v>
      </c>
      <c r="AB992" s="6">
        <v>7804</v>
      </c>
      <c r="AC992" s="6">
        <v>7451</v>
      </c>
      <c r="AD992" s="6">
        <v>6826</v>
      </c>
      <c r="AE992" s="6">
        <v>6207</v>
      </c>
      <c r="AF992" s="6">
        <v>6117</v>
      </c>
      <c r="AG992" s="6">
        <v>6012</v>
      </c>
      <c r="AH992" s="3">
        <v>22670</v>
      </c>
      <c r="AI992" s="3">
        <v>21046</v>
      </c>
      <c r="AJ992" s="3">
        <v>18184</v>
      </c>
      <c r="AK992" s="3">
        <v>18273</v>
      </c>
      <c r="AL992" s="3">
        <v>18982</v>
      </c>
    </row>
    <row r="993" spans="1:38" x14ac:dyDescent="0.35">
      <c r="A993" t="s">
        <v>1242</v>
      </c>
      <c r="B993" s="112"/>
      <c r="C993" s="112"/>
      <c r="D993" s="112"/>
      <c r="E993" s="112"/>
      <c r="F993" s="112"/>
      <c r="G993" s="3">
        <v>0</v>
      </c>
      <c r="H993" s="130">
        <v>0.22900000000000001</v>
      </c>
      <c r="I993" s="130">
        <v>0.35</v>
      </c>
      <c r="J993" s="3">
        <v>0.20100000000000001</v>
      </c>
      <c r="K993" s="3">
        <v>0.10100000000000001</v>
      </c>
      <c r="L993" s="3">
        <v>0.108</v>
      </c>
      <c r="M993" s="3">
        <v>6.6000000000000003E-2</v>
      </c>
      <c r="N993" s="3">
        <v>3.5000000000000003E-2</v>
      </c>
      <c r="O993" s="3">
        <v>2.5000000000000001E-2</v>
      </c>
      <c r="P993" s="3">
        <v>1.6E-2</v>
      </c>
      <c r="Q993" s="130">
        <v>1.089</v>
      </c>
      <c r="R993" s="3">
        <v>8.9999999999999993E-3</v>
      </c>
      <c r="S993" s="3">
        <v>1E-3</v>
      </c>
      <c r="T993" s="3">
        <v>6.0000000000000001E-3</v>
      </c>
      <c r="U993" s="3">
        <v>7.0000000000000001E-3</v>
      </c>
      <c r="V993" s="3">
        <v>0.02</v>
      </c>
      <c r="W993" s="3">
        <v>4.0000000000000001E-3</v>
      </c>
      <c r="X993" s="3">
        <v>6.1109999999999998</v>
      </c>
      <c r="Y993" s="3">
        <v>1.6579999999999999</v>
      </c>
      <c r="Z993" s="3">
        <v>1.476</v>
      </c>
      <c r="AA993" s="3">
        <v>1.2909999999999999</v>
      </c>
      <c r="AB993" s="3">
        <v>4.2999999999999997E-2</v>
      </c>
      <c r="AC993" s="3">
        <v>3.3000000000000002E-2</v>
      </c>
      <c r="AD993" s="3">
        <v>1.7000000000000001E-2</v>
      </c>
      <c r="AE993" s="3">
        <v>2.9000000000000001E-2</v>
      </c>
      <c r="AF993" s="3">
        <v>8.9999999999999993E-3</v>
      </c>
      <c r="AG993" s="3">
        <v>1.0999999999999999E-2</v>
      </c>
      <c r="AH993" s="3">
        <v>0.151</v>
      </c>
      <c r="AI993" s="3">
        <v>0.14099999999999999</v>
      </c>
      <c r="AJ993" s="3">
        <v>7.8E-2</v>
      </c>
      <c r="AK993" s="3">
        <v>0.10199999999999999</v>
      </c>
      <c r="AL993" s="3">
        <v>0.14399999999999999</v>
      </c>
    </row>
    <row r="994" spans="1:38" x14ac:dyDescent="0.35">
      <c r="A994" t="s">
        <v>1243</v>
      </c>
      <c r="B994" s="112"/>
      <c r="C994" s="112"/>
      <c r="D994" s="112"/>
      <c r="E994" s="112"/>
      <c r="F994" s="112"/>
      <c r="G994" s="7">
        <v>0</v>
      </c>
      <c r="H994" s="10">
        <v>2843</v>
      </c>
      <c r="I994" s="10">
        <v>3860</v>
      </c>
      <c r="J994" s="6">
        <v>1859</v>
      </c>
      <c r="K994" s="7">
        <v>615</v>
      </c>
      <c r="L994" s="7">
        <v>395</v>
      </c>
      <c r="M994" s="7">
        <v>335</v>
      </c>
      <c r="N994" s="7">
        <v>291</v>
      </c>
      <c r="O994" s="7">
        <v>183</v>
      </c>
      <c r="P994" s="7">
        <v>129</v>
      </c>
      <c r="Q994" s="10">
        <v>9355</v>
      </c>
      <c r="R994" s="7">
        <v>89</v>
      </c>
      <c r="S994" s="7">
        <v>14</v>
      </c>
      <c r="T994" s="7">
        <v>52</v>
      </c>
      <c r="U994" s="7">
        <v>57</v>
      </c>
      <c r="V994" s="7">
        <v>150</v>
      </c>
      <c r="W994" s="7">
        <v>37</v>
      </c>
      <c r="X994" s="6">
        <v>79867</v>
      </c>
      <c r="Y994" s="6">
        <v>14824</v>
      </c>
      <c r="Z994" s="6">
        <v>12164</v>
      </c>
      <c r="AA994" s="6">
        <v>9888</v>
      </c>
      <c r="AB994" s="7">
        <v>320</v>
      </c>
      <c r="AC994" s="7">
        <v>235</v>
      </c>
      <c r="AD994" s="7">
        <v>117</v>
      </c>
      <c r="AE994" s="7">
        <v>174</v>
      </c>
      <c r="AF994" s="7">
        <v>53</v>
      </c>
      <c r="AG994" s="7">
        <v>67</v>
      </c>
      <c r="AH994" s="7">
        <v>2975</v>
      </c>
      <c r="AI994" s="7">
        <v>2595</v>
      </c>
      <c r="AJ994" s="7">
        <v>1311</v>
      </c>
      <c r="AK994" s="7">
        <v>1698</v>
      </c>
      <c r="AL994" s="7">
        <v>2394</v>
      </c>
    </row>
    <row r="995" spans="1:38" x14ac:dyDescent="0.35">
      <c r="A995" t="s">
        <v>1244</v>
      </c>
      <c r="B995" s="112"/>
      <c r="C995" s="112"/>
      <c r="D995" s="112"/>
      <c r="E995" s="112"/>
      <c r="F995" s="112"/>
      <c r="G995" s="7">
        <v>731</v>
      </c>
      <c r="H995" s="10">
        <v>12427</v>
      </c>
      <c r="I995" s="10">
        <v>11029</v>
      </c>
      <c r="J995" s="6">
        <v>9245</v>
      </c>
      <c r="K995" s="10">
        <v>6069</v>
      </c>
      <c r="L995" s="10">
        <v>3655</v>
      </c>
      <c r="M995" s="10">
        <v>5097</v>
      </c>
      <c r="N995" s="10">
        <v>8371</v>
      </c>
      <c r="O995" s="10">
        <v>7301</v>
      </c>
      <c r="P995" s="6">
        <v>8009</v>
      </c>
      <c r="Q995" s="10">
        <v>8594</v>
      </c>
      <c r="R995" s="6">
        <v>10113</v>
      </c>
      <c r="S995" s="6">
        <v>9282</v>
      </c>
      <c r="T995" s="6">
        <v>8798</v>
      </c>
      <c r="U995" s="6">
        <v>7816</v>
      </c>
      <c r="V995" s="6">
        <v>7467</v>
      </c>
      <c r="W995" s="6">
        <v>8740</v>
      </c>
      <c r="X995" s="6">
        <v>13069</v>
      </c>
      <c r="Y995" s="6">
        <v>8943</v>
      </c>
      <c r="Z995" s="6">
        <v>8240</v>
      </c>
      <c r="AA995" s="6">
        <v>7661</v>
      </c>
      <c r="AB995" s="6">
        <v>7484</v>
      </c>
      <c r="AC995" s="6">
        <v>7216</v>
      </c>
      <c r="AD995" s="6">
        <v>6709</v>
      </c>
      <c r="AE995" s="6">
        <v>6033</v>
      </c>
      <c r="AF995" s="6">
        <v>6064</v>
      </c>
      <c r="AG995" s="6">
        <v>5944</v>
      </c>
      <c r="AH995" s="7">
        <v>19695</v>
      </c>
      <c r="AI995" s="7">
        <v>18451</v>
      </c>
      <c r="AJ995" s="7">
        <v>16873</v>
      </c>
      <c r="AK995" s="7">
        <v>16575</v>
      </c>
      <c r="AL995" s="7">
        <v>16587</v>
      </c>
    </row>
    <row r="996" spans="1:38" x14ac:dyDescent="0.35">
      <c r="A996" t="s">
        <v>1245</v>
      </c>
      <c r="B996" s="112"/>
      <c r="C996" s="112"/>
      <c r="D996" s="112"/>
      <c r="E996" s="112"/>
      <c r="F996" s="112"/>
      <c r="G996" s="7">
        <v>2.69</v>
      </c>
      <c r="H996" s="129">
        <v>2.68</v>
      </c>
      <c r="I996" s="129">
        <v>2.62</v>
      </c>
      <c r="J996" s="7">
        <v>2.52</v>
      </c>
      <c r="K996" s="7">
        <v>2.4900000000000002</v>
      </c>
      <c r="L996" s="7">
        <v>2.4300000000000002</v>
      </c>
      <c r="M996" s="7">
        <v>2.57</v>
      </c>
      <c r="N996" s="7">
        <v>2.61</v>
      </c>
      <c r="O996" s="7">
        <v>2.64</v>
      </c>
      <c r="P996" s="7">
        <v>2.66</v>
      </c>
      <c r="Q996" s="129">
        <v>2</v>
      </c>
      <c r="R996" s="7">
        <v>2.68</v>
      </c>
      <c r="S996" s="7">
        <v>2.68</v>
      </c>
      <c r="T996" s="7">
        <v>2.67</v>
      </c>
      <c r="U996" s="7">
        <v>2.68</v>
      </c>
      <c r="V996" s="7">
        <v>2.68</v>
      </c>
      <c r="W996" s="7">
        <v>2.68</v>
      </c>
      <c r="X996" s="7">
        <v>1.36</v>
      </c>
      <c r="Y996" s="7">
        <v>1.99</v>
      </c>
      <c r="Z996" s="7">
        <v>2</v>
      </c>
      <c r="AA996" s="7">
        <v>2</v>
      </c>
      <c r="AB996" s="7">
        <v>2.65</v>
      </c>
      <c r="AC996" s="7">
        <v>2.66</v>
      </c>
      <c r="AD996" s="7">
        <v>2.67</v>
      </c>
      <c r="AE996" s="7">
        <v>2.68</v>
      </c>
      <c r="AF996" s="7">
        <v>2.68</v>
      </c>
      <c r="AG996" s="7">
        <v>2.68</v>
      </c>
      <c r="AH996" s="7">
        <v>2.67</v>
      </c>
      <c r="AI996" s="7">
        <v>2.68</v>
      </c>
      <c r="AJ996" s="7">
        <v>2.68</v>
      </c>
      <c r="AK996" s="7">
        <v>2.68</v>
      </c>
      <c r="AL996" s="7">
        <v>2.68</v>
      </c>
    </row>
    <row r="997" spans="1:38" x14ac:dyDescent="0.35">
      <c r="G997" s="7"/>
      <c r="H997" s="135">
        <f>6099*2</f>
        <v>12198</v>
      </c>
      <c r="I997" s="135">
        <f>+H992+I992-H997</f>
        <v>17960</v>
      </c>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c r="AL997" s="7"/>
    </row>
    <row r="998" spans="1:38" x14ac:dyDescent="0.35">
      <c r="H998" s="122"/>
      <c r="I998" s="122"/>
    </row>
    <row r="999" spans="1:38" x14ac:dyDescent="0.35">
      <c r="A999" s="4" t="s">
        <v>1442</v>
      </c>
      <c r="B999" s="5">
        <v>46026</v>
      </c>
      <c r="C999" s="128">
        <v>46033</v>
      </c>
      <c r="D999" s="5">
        <v>46040</v>
      </c>
      <c r="E999" s="5">
        <v>46047</v>
      </c>
      <c r="F999" s="5">
        <v>46054</v>
      </c>
      <c r="G999" s="5">
        <v>46061</v>
      </c>
      <c r="H999" s="128">
        <v>46068</v>
      </c>
      <c r="I999" s="128">
        <v>46075</v>
      </c>
      <c r="J999" s="5">
        <v>46082</v>
      </c>
      <c r="K999" s="5">
        <v>46089</v>
      </c>
      <c r="L999" s="5">
        <v>46096</v>
      </c>
      <c r="M999" s="5">
        <v>46103</v>
      </c>
      <c r="N999" s="5">
        <v>46110</v>
      </c>
      <c r="O999" s="5">
        <v>46117</v>
      </c>
      <c r="P999" s="5">
        <v>46124</v>
      </c>
      <c r="Q999" s="5">
        <v>46131</v>
      </c>
      <c r="R999" s="5">
        <v>46138</v>
      </c>
      <c r="S999" s="5">
        <v>46145</v>
      </c>
      <c r="T999" s="5">
        <v>46152</v>
      </c>
      <c r="U999" s="5">
        <v>46159</v>
      </c>
      <c r="V999" s="5">
        <v>46166</v>
      </c>
      <c r="W999" s="5">
        <v>46173</v>
      </c>
      <c r="X999" s="5">
        <v>46180</v>
      </c>
      <c r="Y999" s="5">
        <v>46187</v>
      </c>
      <c r="Z999" s="5">
        <v>46194</v>
      </c>
      <c r="AA999" s="5">
        <v>46201</v>
      </c>
      <c r="AB999" s="5">
        <v>46208</v>
      </c>
      <c r="AC999" s="5">
        <v>46215</v>
      </c>
      <c r="AD999" s="5">
        <v>46222</v>
      </c>
      <c r="AE999" s="5">
        <v>46229</v>
      </c>
      <c r="AF999" s="5">
        <v>46236</v>
      </c>
      <c r="AG999" s="5">
        <v>46243</v>
      </c>
      <c r="AH999" s="5">
        <v>46215</v>
      </c>
      <c r="AI999" s="5">
        <v>46222</v>
      </c>
      <c r="AJ999" s="5">
        <v>46229</v>
      </c>
      <c r="AK999" s="5">
        <v>46236</v>
      </c>
      <c r="AL999" s="5">
        <v>46243</v>
      </c>
    </row>
    <row r="1000" spans="1:38" x14ac:dyDescent="0.35">
      <c r="A1000" t="s">
        <v>1242</v>
      </c>
      <c r="B1000" s="112"/>
      <c r="C1000" s="112"/>
      <c r="D1000" s="112"/>
      <c r="E1000" s="112"/>
      <c r="F1000" s="112"/>
      <c r="G1000" s="3">
        <v>0</v>
      </c>
      <c r="H1000" s="130">
        <v>0.22900000000000001</v>
      </c>
      <c r="I1000" s="130">
        <v>0.35</v>
      </c>
      <c r="J1000" s="3">
        <v>0.20100000000000001</v>
      </c>
      <c r="K1000" s="3">
        <v>0.10100000000000001</v>
      </c>
      <c r="L1000" s="3">
        <v>0.108</v>
      </c>
      <c r="M1000" s="3">
        <v>6.6000000000000003E-2</v>
      </c>
      <c r="N1000" s="3">
        <v>3.5000000000000003E-2</v>
      </c>
      <c r="O1000" s="3">
        <v>2.5000000000000001E-2</v>
      </c>
      <c r="P1000" s="3">
        <v>1.6E-2</v>
      </c>
      <c r="Q1000" s="3">
        <v>1.089</v>
      </c>
      <c r="R1000" s="3">
        <v>8.9999999999999993E-3</v>
      </c>
      <c r="S1000" s="3">
        <v>1E-3</v>
      </c>
      <c r="T1000" s="3">
        <v>6.0000000000000001E-3</v>
      </c>
      <c r="U1000" s="3">
        <v>7.0000000000000001E-3</v>
      </c>
      <c r="V1000" s="3">
        <v>0.02</v>
      </c>
      <c r="W1000" s="3">
        <v>4.0000000000000001E-3</v>
      </c>
      <c r="X1000" s="133">
        <v>6.1109999999999998</v>
      </c>
      <c r="Y1000" s="3">
        <v>1.6579999999999999</v>
      </c>
      <c r="Z1000" s="3">
        <v>1.476</v>
      </c>
      <c r="AA1000" s="3">
        <v>1.2909999999999999</v>
      </c>
      <c r="AB1000" s="3">
        <v>4.2999999999999997E-2</v>
      </c>
      <c r="AC1000" s="3">
        <v>3.3000000000000002E-2</v>
      </c>
      <c r="AD1000" s="3">
        <v>1.7000000000000001E-2</v>
      </c>
      <c r="AE1000" s="3">
        <v>2.9000000000000001E-2</v>
      </c>
      <c r="AF1000" s="3">
        <v>8.9999999999999993E-3</v>
      </c>
      <c r="AG1000" s="3">
        <v>1.0999999999999999E-2</v>
      </c>
      <c r="AH1000" s="3">
        <v>0.151</v>
      </c>
      <c r="AI1000" s="3">
        <v>0.14099999999999999</v>
      </c>
      <c r="AJ1000" s="3">
        <v>7.8E-2</v>
      </c>
      <c r="AK1000" s="3">
        <v>0.10199999999999999</v>
      </c>
      <c r="AL1000" s="3">
        <v>0.14399999999999999</v>
      </c>
    </row>
    <row r="1001" spans="1:38" x14ac:dyDescent="0.35">
      <c r="A1001" t="s">
        <v>1247</v>
      </c>
      <c r="B1001" s="112"/>
      <c r="C1001" s="112"/>
      <c r="D1001" s="112"/>
      <c r="E1001" s="112"/>
      <c r="F1001" s="112"/>
      <c r="G1001" s="3" t="s">
        <v>1272</v>
      </c>
      <c r="H1001" s="130">
        <v>2.5999999999999999E-2</v>
      </c>
      <c r="I1001" s="130">
        <v>4.1000000000000002E-2</v>
      </c>
      <c r="J1001" s="3">
        <v>0.10199999999999999</v>
      </c>
      <c r="K1001" s="3">
        <v>0.21199999999999999</v>
      </c>
      <c r="L1001" s="3">
        <v>0.35199999999999998</v>
      </c>
      <c r="M1001" s="3">
        <v>0.23499999999999999</v>
      </c>
      <c r="N1001" s="3">
        <v>0.31</v>
      </c>
      <c r="O1001" s="3">
        <v>0.38400000000000001</v>
      </c>
      <c r="P1001" s="3">
        <v>0.33300000000000002</v>
      </c>
      <c r="Q1001" s="3">
        <v>0.19700000000000001</v>
      </c>
      <c r="R1001" s="3">
        <v>0.17799999999999999</v>
      </c>
      <c r="S1001" s="3">
        <v>0.29799999999999999</v>
      </c>
      <c r="T1001" s="3">
        <v>0.39800000000000002</v>
      </c>
      <c r="U1001" s="3">
        <v>0.20899999999999999</v>
      </c>
      <c r="V1001" s="3">
        <v>0.04</v>
      </c>
      <c r="W1001" s="3">
        <v>0.17599999999999999</v>
      </c>
      <c r="X1001" s="3">
        <v>0.376</v>
      </c>
      <c r="Y1001" s="3">
        <v>0.20399999999999999</v>
      </c>
      <c r="Z1001" s="3">
        <v>0.2</v>
      </c>
      <c r="AA1001" s="3">
        <v>0.20499999999999999</v>
      </c>
      <c r="AB1001" s="3">
        <v>0.10100000000000001</v>
      </c>
      <c r="AC1001" s="3">
        <v>9.0999999999999998E-2</v>
      </c>
      <c r="AD1001" s="3">
        <v>0.10100000000000001</v>
      </c>
      <c r="AE1001" s="3">
        <v>4.2000000000000003E-2</v>
      </c>
      <c r="AF1001" s="3">
        <v>7.0000000000000007E-2</v>
      </c>
      <c r="AG1001" s="3">
        <v>8.4000000000000005E-2</v>
      </c>
      <c r="AH1001" s="3">
        <v>1.4E-2</v>
      </c>
      <c r="AI1001" s="3">
        <v>8.9999999999999993E-3</v>
      </c>
      <c r="AJ1001" s="3">
        <v>8.0000000000000002E-3</v>
      </c>
      <c r="AK1001" s="3">
        <v>1.2999999999999999E-2</v>
      </c>
      <c r="AL1001" s="3">
        <v>7.0000000000000001E-3</v>
      </c>
    </row>
    <row r="1002" spans="1:38" x14ac:dyDescent="0.35">
      <c r="A1002" t="s">
        <v>1248</v>
      </c>
      <c r="B1002" s="112"/>
      <c r="C1002" s="112"/>
      <c r="D1002" s="112"/>
      <c r="E1002" s="112"/>
      <c r="F1002" s="112"/>
      <c r="G1002" s="7" t="s">
        <v>1272</v>
      </c>
      <c r="H1002" s="129">
        <v>7.0000000000000007E-2</v>
      </c>
      <c r="I1002" s="129">
        <v>0.11</v>
      </c>
      <c r="J1002" s="7">
        <v>0.27</v>
      </c>
      <c r="K1002" s="7">
        <v>0.55000000000000004</v>
      </c>
      <c r="L1002" s="7">
        <v>0.92</v>
      </c>
      <c r="M1002" s="7">
        <v>0.63</v>
      </c>
      <c r="N1002" s="7">
        <v>0.83</v>
      </c>
      <c r="O1002" s="7">
        <v>1.03</v>
      </c>
      <c r="P1002" s="7">
        <v>0.89</v>
      </c>
      <c r="Q1002" s="7">
        <v>0.49</v>
      </c>
      <c r="R1002" s="7">
        <v>0.48</v>
      </c>
      <c r="S1002" s="7">
        <v>0.8</v>
      </c>
      <c r="T1002" s="7">
        <v>1.07</v>
      </c>
      <c r="U1002" s="7">
        <v>0.56000000000000005</v>
      </c>
      <c r="V1002" s="7">
        <v>0.11</v>
      </c>
      <c r="W1002" s="7">
        <v>0.47</v>
      </c>
      <c r="X1002" s="7">
        <v>0.83</v>
      </c>
      <c r="Y1002" s="7">
        <v>0.51</v>
      </c>
      <c r="Z1002" s="7">
        <v>0.5</v>
      </c>
      <c r="AA1002" s="7">
        <v>0.51</v>
      </c>
      <c r="AB1002" s="7">
        <v>0.27</v>
      </c>
      <c r="AC1002" s="7">
        <v>0.24</v>
      </c>
      <c r="AD1002" s="7">
        <v>0.27</v>
      </c>
      <c r="AE1002" s="7">
        <v>0.11</v>
      </c>
      <c r="AF1002" s="7">
        <v>0.19</v>
      </c>
      <c r="AG1002" s="7">
        <v>0.23</v>
      </c>
      <c r="AH1002" s="7">
        <v>0.04</v>
      </c>
      <c r="AI1002" s="7">
        <v>0.02</v>
      </c>
      <c r="AJ1002" s="7">
        <v>0.02</v>
      </c>
      <c r="AK1002" s="7">
        <v>0.04</v>
      </c>
      <c r="AL1002" s="7">
        <v>0.02</v>
      </c>
    </row>
    <row r="1003" spans="1:38" x14ac:dyDescent="0.35">
      <c r="A1003" t="s">
        <v>1249</v>
      </c>
      <c r="B1003" s="112"/>
      <c r="C1003" s="112"/>
      <c r="D1003" s="112"/>
      <c r="E1003" s="112"/>
      <c r="F1003" s="112"/>
      <c r="G1003" s="7" t="s">
        <v>1272</v>
      </c>
      <c r="H1003" s="129">
        <v>2.67</v>
      </c>
      <c r="I1003" s="129">
        <v>2.6</v>
      </c>
      <c r="J1003" s="7">
        <v>2.36</v>
      </c>
      <c r="K1003" s="7">
        <v>2.04</v>
      </c>
      <c r="L1003" s="7">
        <v>1.69</v>
      </c>
      <c r="M1003" s="7">
        <v>2.0299999999999998</v>
      </c>
      <c r="N1003" s="7">
        <v>1.84</v>
      </c>
      <c r="O1003" s="7">
        <v>1.65</v>
      </c>
      <c r="P1003" s="7">
        <v>1.79</v>
      </c>
      <c r="Q1003" s="7">
        <v>2</v>
      </c>
      <c r="R1003" s="7">
        <v>2.21</v>
      </c>
      <c r="S1003" s="7">
        <v>1.89</v>
      </c>
      <c r="T1003" s="7">
        <v>1.62</v>
      </c>
      <c r="U1003" s="7">
        <v>2.13</v>
      </c>
      <c r="V1003" s="7">
        <v>2.58</v>
      </c>
      <c r="W1003" s="7">
        <v>2.21</v>
      </c>
      <c r="X1003" s="7">
        <v>1.37</v>
      </c>
      <c r="Y1003" s="7">
        <v>1.99</v>
      </c>
      <c r="Z1003" s="7">
        <v>2</v>
      </c>
      <c r="AA1003" s="7">
        <v>2</v>
      </c>
      <c r="AB1003" s="7">
        <v>2.41</v>
      </c>
      <c r="AC1003" s="7">
        <v>2.44</v>
      </c>
      <c r="AD1003" s="7">
        <v>2.41</v>
      </c>
      <c r="AE1003" s="7">
        <v>2.57</v>
      </c>
      <c r="AF1003" s="7">
        <v>2.5</v>
      </c>
      <c r="AG1003" s="7">
        <v>2.46</v>
      </c>
      <c r="AH1003" s="7">
        <v>2.65</v>
      </c>
      <c r="AI1003" s="7">
        <v>2.66</v>
      </c>
      <c r="AJ1003" s="7">
        <v>2.67</v>
      </c>
      <c r="AK1003" s="7">
        <v>2.65</v>
      </c>
      <c r="AL1003" s="7">
        <v>2.67</v>
      </c>
    </row>
    <row r="1004" spans="1:38" x14ac:dyDescent="0.35">
      <c r="A1004" t="s">
        <v>1250</v>
      </c>
      <c r="B1004" s="112"/>
      <c r="C1004" s="112"/>
      <c r="D1004" s="112"/>
      <c r="E1004" s="112"/>
      <c r="F1004" s="112"/>
      <c r="G1004" s="7">
        <v>2.69</v>
      </c>
      <c r="H1004" s="129">
        <v>2.74</v>
      </c>
      <c r="I1004" s="129">
        <v>2.71</v>
      </c>
      <c r="J1004" s="7">
        <v>2.63</v>
      </c>
      <c r="K1004" s="7">
        <v>2.59</v>
      </c>
      <c r="L1004" s="7">
        <v>2.61</v>
      </c>
      <c r="M1004" s="7">
        <v>2.66</v>
      </c>
      <c r="N1004" s="7">
        <v>2.67</v>
      </c>
      <c r="O1004" s="7">
        <v>2.68</v>
      </c>
      <c r="P1004" s="7">
        <v>2.69</v>
      </c>
      <c r="Q1004" s="7">
        <v>2.4900000000000002</v>
      </c>
      <c r="R1004" s="7">
        <v>2.69</v>
      </c>
      <c r="S1004" s="7">
        <v>2.69</v>
      </c>
      <c r="T1004" s="7">
        <v>2.68</v>
      </c>
      <c r="U1004" s="7">
        <v>2.69</v>
      </c>
      <c r="V1004" s="7">
        <v>2.69</v>
      </c>
      <c r="W1004" s="7">
        <v>2.69</v>
      </c>
      <c r="X1004" s="7">
        <v>2.19</v>
      </c>
      <c r="Y1004" s="7">
        <v>2.5</v>
      </c>
      <c r="Z1004" s="7">
        <v>2.5</v>
      </c>
      <c r="AA1004" s="7">
        <v>2.5099999999999998</v>
      </c>
      <c r="AB1004" s="7">
        <v>2.68</v>
      </c>
      <c r="AC1004" s="7">
        <v>2.68</v>
      </c>
      <c r="AD1004" s="7">
        <v>2.68</v>
      </c>
      <c r="AE1004" s="7">
        <v>2.69</v>
      </c>
      <c r="AF1004" s="7">
        <v>2.68</v>
      </c>
      <c r="AG1004" s="7">
        <v>2.69</v>
      </c>
      <c r="AH1004" s="7">
        <v>2.68</v>
      </c>
      <c r="AI1004" s="7">
        <v>2.69</v>
      </c>
      <c r="AJ1004" s="7">
        <v>2.69</v>
      </c>
      <c r="AK1004" s="7">
        <v>2.69</v>
      </c>
      <c r="AL1004" s="7">
        <v>2.69</v>
      </c>
    </row>
    <row r="1005" spans="1:38" x14ac:dyDescent="0.35">
      <c r="A1005" t="s">
        <v>1245</v>
      </c>
      <c r="B1005" s="112"/>
      <c r="C1005" s="112"/>
      <c r="D1005" s="112"/>
      <c r="E1005" s="112"/>
      <c r="F1005" s="112"/>
      <c r="G1005" s="7">
        <v>2.69</v>
      </c>
      <c r="H1005" s="129">
        <v>2.68</v>
      </c>
      <c r="I1005" s="129">
        <v>2.62</v>
      </c>
      <c r="J1005" s="7">
        <v>2.52</v>
      </c>
      <c r="K1005" s="7">
        <v>2.4900000000000002</v>
      </c>
      <c r="L1005" s="7">
        <v>2.4300000000000002</v>
      </c>
      <c r="M1005" s="7">
        <v>2.57</v>
      </c>
      <c r="N1005" s="7">
        <v>2.61</v>
      </c>
      <c r="O1005" s="7">
        <v>2.64</v>
      </c>
      <c r="P1005" s="7">
        <v>2.66</v>
      </c>
      <c r="Q1005" s="7">
        <v>2</v>
      </c>
      <c r="R1005" s="7">
        <v>2.68</v>
      </c>
      <c r="S1005" s="7">
        <v>2.68</v>
      </c>
      <c r="T1005" s="7">
        <v>2.67</v>
      </c>
      <c r="U1005" s="7">
        <v>2.68</v>
      </c>
      <c r="V1005" s="7">
        <v>2.68</v>
      </c>
      <c r="W1005" s="7">
        <v>2.68</v>
      </c>
      <c r="X1005" s="7">
        <v>1.36</v>
      </c>
      <c r="Y1005" s="7">
        <v>1.99</v>
      </c>
      <c r="Z1005" s="7">
        <v>2</v>
      </c>
      <c r="AA1005" s="7">
        <v>2</v>
      </c>
      <c r="AB1005" s="7">
        <v>2.65</v>
      </c>
      <c r="AC1005" s="7">
        <v>2.66</v>
      </c>
      <c r="AD1005" s="7">
        <v>2.67</v>
      </c>
      <c r="AE1005" s="7">
        <v>2.68</v>
      </c>
      <c r="AF1005" s="7">
        <v>2.68</v>
      </c>
      <c r="AG1005" s="7">
        <v>2.68</v>
      </c>
      <c r="AH1005" s="7">
        <v>2.67</v>
      </c>
      <c r="AI1005" s="7">
        <v>2.68</v>
      </c>
      <c r="AJ1005" s="7">
        <v>2.68</v>
      </c>
      <c r="AK1005" s="7">
        <v>2.68</v>
      </c>
      <c r="AL1005" s="7">
        <v>2.68</v>
      </c>
    </row>
    <row r="1008" spans="1:38" s="68" customFormat="1" x14ac:dyDescent="0.35"/>
    <row r="1010" spans="1:33" x14ac:dyDescent="0.35">
      <c r="A1010" t="s">
        <v>1445</v>
      </c>
    </row>
    <row r="1011" spans="1:33" x14ac:dyDescent="0.35">
      <c r="A1011" t="s">
        <v>1240</v>
      </c>
      <c r="B1011" s="5">
        <v>46026</v>
      </c>
      <c r="C1011" s="5">
        <v>46033</v>
      </c>
      <c r="D1011" s="5">
        <v>46040</v>
      </c>
      <c r="E1011" s="5">
        <v>46047</v>
      </c>
      <c r="F1011" s="128">
        <v>46054</v>
      </c>
      <c r="G1011" s="128">
        <v>46061</v>
      </c>
      <c r="H1011" s="128">
        <v>46068</v>
      </c>
      <c r="I1011" s="128">
        <v>46075</v>
      </c>
      <c r="J1011" s="128">
        <v>46082</v>
      </c>
      <c r="K1011" s="128">
        <v>46089</v>
      </c>
      <c r="L1011" s="128">
        <v>46096</v>
      </c>
      <c r="M1011" s="128">
        <v>46103</v>
      </c>
      <c r="N1011" s="128">
        <v>46110</v>
      </c>
      <c r="O1011" s="5">
        <v>46117</v>
      </c>
      <c r="P1011" s="5">
        <v>46124</v>
      </c>
      <c r="Q1011" s="5">
        <v>46131</v>
      </c>
      <c r="R1011" s="5">
        <v>46138</v>
      </c>
      <c r="S1011" s="128">
        <v>46145</v>
      </c>
      <c r="T1011" s="128">
        <v>46152</v>
      </c>
      <c r="U1011" s="5">
        <v>46159</v>
      </c>
      <c r="V1011" s="5">
        <v>46166</v>
      </c>
      <c r="W1011" s="5">
        <v>46173</v>
      </c>
      <c r="X1011" s="5">
        <v>46180</v>
      </c>
      <c r="Y1011" s="5">
        <v>46187</v>
      </c>
      <c r="Z1011" s="5">
        <v>46194</v>
      </c>
      <c r="AA1011" s="5">
        <v>46201</v>
      </c>
      <c r="AB1011" s="5">
        <v>46208</v>
      </c>
      <c r="AC1011" s="5">
        <v>46215</v>
      </c>
      <c r="AD1011" s="5">
        <v>46222</v>
      </c>
      <c r="AE1011" s="5">
        <v>46229</v>
      </c>
      <c r="AF1011" s="5">
        <v>46236</v>
      </c>
      <c r="AG1011" s="5">
        <v>46243</v>
      </c>
    </row>
    <row r="1012" spans="1:33" x14ac:dyDescent="0.35">
      <c r="A1012" t="s">
        <v>1241</v>
      </c>
      <c r="B1012">
        <v>592</v>
      </c>
      <c r="C1012">
        <v>682</v>
      </c>
      <c r="D1012">
        <v>831</v>
      </c>
      <c r="E1012">
        <v>757</v>
      </c>
      <c r="F1012">
        <v>980</v>
      </c>
      <c r="G1012" s="6">
        <v>1134</v>
      </c>
      <c r="H1012">
        <v>957</v>
      </c>
      <c r="I1012" s="6">
        <v>1162</v>
      </c>
      <c r="J1012" s="6">
        <v>1035</v>
      </c>
      <c r="K1012">
        <v>983</v>
      </c>
      <c r="L1012" s="6">
        <v>1024</v>
      </c>
      <c r="M1012">
        <v>916</v>
      </c>
      <c r="N1012">
        <v>965</v>
      </c>
      <c r="O1012">
        <v>671</v>
      </c>
      <c r="P1012">
        <v>827</v>
      </c>
      <c r="Q1012">
        <v>880</v>
      </c>
      <c r="R1012">
        <v>706</v>
      </c>
      <c r="S1012">
        <v>593</v>
      </c>
      <c r="T1012">
        <v>670</v>
      </c>
      <c r="U1012">
        <v>766</v>
      </c>
      <c r="V1012">
        <v>534</v>
      </c>
      <c r="W1012">
        <v>609</v>
      </c>
      <c r="X1012">
        <v>777</v>
      </c>
      <c r="Y1012">
        <v>748</v>
      </c>
      <c r="Z1012">
        <v>702</v>
      </c>
      <c r="AA1012">
        <v>668</v>
      </c>
      <c r="AB1012">
        <v>649</v>
      </c>
      <c r="AC1012">
        <v>714</v>
      </c>
      <c r="AD1012">
        <v>579</v>
      </c>
      <c r="AE1012">
        <v>579</v>
      </c>
      <c r="AF1012">
        <v>511</v>
      </c>
      <c r="AG1012">
        <v>522</v>
      </c>
    </row>
    <row r="1013" spans="1:33" x14ac:dyDescent="0.35">
      <c r="A1013" t="s">
        <v>1242</v>
      </c>
      <c r="B1013" s="3">
        <v>0.01</v>
      </c>
      <c r="C1013" s="3">
        <v>1.4E-2</v>
      </c>
      <c r="D1013" s="3">
        <v>1.7999999999999999E-2</v>
      </c>
      <c r="E1013" s="3">
        <v>9.6000000000000002E-2</v>
      </c>
      <c r="F1013" s="3">
        <v>0.371</v>
      </c>
      <c r="G1013" s="3">
        <v>0.434</v>
      </c>
      <c r="H1013" s="3">
        <v>0.433</v>
      </c>
      <c r="I1013" s="3">
        <v>0.46</v>
      </c>
      <c r="J1013" s="3">
        <v>0.28199999999999997</v>
      </c>
      <c r="K1013" s="3">
        <v>0.26600000000000001</v>
      </c>
      <c r="L1013" s="3">
        <v>0.29499999999999998</v>
      </c>
      <c r="M1013" s="3">
        <v>0.26200000000000001</v>
      </c>
      <c r="N1013" s="3">
        <v>0.20300000000000001</v>
      </c>
      <c r="O1013" s="3">
        <v>0.115</v>
      </c>
      <c r="P1013" s="3">
        <v>2.1999999999999999E-2</v>
      </c>
      <c r="Q1013" s="3">
        <v>1.0999999999999999E-2</v>
      </c>
      <c r="R1013" s="3">
        <v>0.05</v>
      </c>
      <c r="S1013" s="3">
        <v>0.128</v>
      </c>
      <c r="T1013" s="3">
        <v>0.11600000000000001</v>
      </c>
      <c r="U1013" s="3">
        <v>0</v>
      </c>
      <c r="V1013" s="3">
        <v>0.16700000000000001</v>
      </c>
      <c r="W1013" s="3">
        <v>0.02</v>
      </c>
      <c r="X1013" s="3">
        <v>0.06</v>
      </c>
      <c r="Y1013" s="3">
        <v>0.11700000000000001</v>
      </c>
      <c r="Z1013" s="3">
        <v>6.9000000000000006E-2</v>
      </c>
      <c r="AA1013" s="3">
        <v>5.7000000000000002E-2</v>
      </c>
      <c r="AB1013" s="3">
        <v>6.0999999999999999E-2</v>
      </c>
      <c r="AC1013" s="3">
        <v>7.5999999999999998E-2</v>
      </c>
      <c r="AD1013" s="3">
        <v>2.9000000000000001E-2</v>
      </c>
      <c r="AE1013" s="3">
        <v>3.9E-2</v>
      </c>
      <c r="AF1013" s="3">
        <v>4.7E-2</v>
      </c>
      <c r="AG1013" s="3">
        <v>3.5999999999999997E-2</v>
      </c>
    </row>
    <row r="1014" spans="1:33" x14ac:dyDescent="0.35">
      <c r="A1014" t="s">
        <v>1243</v>
      </c>
      <c r="B1014">
        <v>6</v>
      </c>
      <c r="C1014">
        <v>9</v>
      </c>
      <c r="D1014">
        <v>15</v>
      </c>
      <c r="E1014">
        <v>67</v>
      </c>
      <c r="F1014">
        <v>265</v>
      </c>
      <c r="G1014">
        <v>343</v>
      </c>
      <c r="H1014">
        <v>289</v>
      </c>
      <c r="I1014">
        <v>366</v>
      </c>
      <c r="J1014">
        <v>228</v>
      </c>
      <c r="K1014">
        <v>206</v>
      </c>
      <c r="L1014">
        <v>233</v>
      </c>
      <c r="M1014">
        <v>190</v>
      </c>
      <c r="N1014">
        <v>163</v>
      </c>
      <c r="O1014">
        <v>69</v>
      </c>
      <c r="P1014">
        <v>18</v>
      </c>
      <c r="Q1014">
        <v>10</v>
      </c>
      <c r="R1014">
        <v>34</v>
      </c>
      <c r="S1014">
        <v>68</v>
      </c>
      <c r="T1014">
        <v>70</v>
      </c>
      <c r="U1014">
        <v>0</v>
      </c>
      <c r="V1014">
        <v>76</v>
      </c>
      <c r="W1014">
        <v>12</v>
      </c>
      <c r="X1014">
        <v>44</v>
      </c>
      <c r="Y1014">
        <v>79</v>
      </c>
      <c r="Z1014">
        <v>45</v>
      </c>
      <c r="AA1014">
        <v>36</v>
      </c>
      <c r="AB1014">
        <v>37</v>
      </c>
      <c r="AC1014">
        <v>50</v>
      </c>
      <c r="AD1014">
        <v>16</v>
      </c>
      <c r="AE1014">
        <v>22</v>
      </c>
      <c r="AF1014">
        <v>23</v>
      </c>
      <c r="AG1014">
        <v>18</v>
      </c>
    </row>
    <row r="1015" spans="1:33" x14ac:dyDescent="0.35">
      <c r="A1015" t="s">
        <v>1244</v>
      </c>
      <c r="B1015">
        <v>586</v>
      </c>
      <c r="C1015">
        <v>673</v>
      </c>
      <c r="D1015">
        <v>816</v>
      </c>
      <c r="E1015">
        <v>691</v>
      </c>
      <c r="F1015">
        <v>715</v>
      </c>
      <c r="G1015">
        <v>791</v>
      </c>
      <c r="H1015">
        <v>668</v>
      </c>
      <c r="I1015">
        <v>796</v>
      </c>
      <c r="J1015">
        <v>807</v>
      </c>
      <c r="K1015">
        <v>777</v>
      </c>
      <c r="L1015">
        <v>791</v>
      </c>
      <c r="M1015">
        <v>726</v>
      </c>
      <c r="N1015">
        <v>802</v>
      </c>
      <c r="O1015">
        <v>602</v>
      </c>
      <c r="P1015">
        <v>809</v>
      </c>
      <c r="Q1015">
        <v>870</v>
      </c>
      <c r="R1015">
        <v>672</v>
      </c>
      <c r="S1015">
        <v>526</v>
      </c>
      <c r="T1015">
        <v>600</v>
      </c>
      <c r="U1015">
        <v>766</v>
      </c>
      <c r="V1015">
        <v>458</v>
      </c>
      <c r="W1015">
        <v>597</v>
      </c>
      <c r="X1015">
        <v>733</v>
      </c>
      <c r="Y1015">
        <v>670</v>
      </c>
      <c r="Z1015">
        <v>657</v>
      </c>
      <c r="AA1015">
        <v>632</v>
      </c>
      <c r="AB1015">
        <v>612</v>
      </c>
      <c r="AC1015">
        <v>664</v>
      </c>
      <c r="AD1015">
        <v>563</v>
      </c>
      <c r="AE1015">
        <v>557</v>
      </c>
      <c r="AF1015">
        <v>488</v>
      </c>
      <c r="AG1015">
        <v>504</v>
      </c>
    </row>
    <row r="1016" spans="1:33" x14ac:dyDescent="0.35">
      <c r="A1016" t="s">
        <v>1245</v>
      </c>
      <c r="B1016" s="7">
        <v>2.95</v>
      </c>
      <c r="C1016" s="7">
        <v>2.93</v>
      </c>
      <c r="D1016" s="7">
        <v>2.9</v>
      </c>
      <c r="E1016" s="7">
        <v>2.81</v>
      </c>
      <c r="F1016" s="7">
        <v>2.44</v>
      </c>
      <c r="G1016" s="7">
        <v>2.38</v>
      </c>
      <c r="H1016" s="7">
        <v>2.4300000000000002</v>
      </c>
      <c r="I1016" s="7">
        <v>2.44</v>
      </c>
      <c r="J1016" s="7">
        <v>2.52</v>
      </c>
      <c r="K1016" s="7">
        <v>2.4900000000000002</v>
      </c>
      <c r="L1016" s="7">
        <v>2.46</v>
      </c>
      <c r="M1016" s="7">
        <v>2.42</v>
      </c>
      <c r="N1016" s="7">
        <v>2.5099999999999998</v>
      </c>
      <c r="O1016" s="7">
        <v>2.6</v>
      </c>
      <c r="P1016" s="7">
        <v>2.84</v>
      </c>
      <c r="Q1016" s="7">
        <v>2.81</v>
      </c>
      <c r="R1016" s="7">
        <v>2.82</v>
      </c>
      <c r="S1016" s="7">
        <v>2.71</v>
      </c>
      <c r="T1016" s="7">
        <v>2.73</v>
      </c>
      <c r="U1016" s="7">
        <v>2.8</v>
      </c>
      <c r="V1016" s="7">
        <v>2.76</v>
      </c>
      <c r="W1016" s="7">
        <v>2.94</v>
      </c>
      <c r="X1016" s="7">
        <v>2.91</v>
      </c>
      <c r="Y1016" s="7">
        <v>2.82</v>
      </c>
      <c r="Z1016" s="7">
        <v>2.86</v>
      </c>
      <c r="AA1016" s="7">
        <v>2.91</v>
      </c>
      <c r="AB1016" s="7">
        <v>2.9</v>
      </c>
      <c r="AC1016" s="7">
        <v>2.88</v>
      </c>
      <c r="AD1016" s="7">
        <v>2.91</v>
      </c>
      <c r="AE1016" s="7">
        <v>2.93</v>
      </c>
      <c r="AF1016" s="7">
        <v>2.88</v>
      </c>
      <c r="AG1016" s="7">
        <v>2.89</v>
      </c>
    </row>
    <row r="1017" spans="1:33" x14ac:dyDescent="0.35">
      <c r="F1017">
        <f>SUM(F1015:N1015)</f>
        <v>6873</v>
      </c>
      <c r="G1017">
        <f>SUM(F1014:N1014)</f>
        <v>2283</v>
      </c>
      <c r="S1017">
        <f>SUM(S1015:T1015)</f>
        <v>1126</v>
      </c>
      <c r="T1017">
        <f>SUM(S1014:T1014)</f>
        <v>138</v>
      </c>
    </row>
    <row r="1019" spans="1:33" x14ac:dyDescent="0.35">
      <c r="A1019" t="s">
        <v>1240</v>
      </c>
      <c r="B1019" s="5">
        <v>46026</v>
      </c>
      <c r="C1019" s="5">
        <v>46033</v>
      </c>
      <c r="D1019" s="5">
        <v>46040</v>
      </c>
      <c r="E1019" s="5">
        <v>46047</v>
      </c>
      <c r="F1019" s="5">
        <v>46054</v>
      </c>
      <c r="G1019" s="5">
        <v>46061</v>
      </c>
      <c r="H1019" s="5">
        <v>46068</v>
      </c>
      <c r="I1019" s="5">
        <v>46075</v>
      </c>
      <c r="J1019" s="5">
        <v>46082</v>
      </c>
      <c r="K1019" s="5">
        <v>46089</v>
      </c>
      <c r="L1019" s="5">
        <v>46096</v>
      </c>
      <c r="M1019" s="5">
        <v>46103</v>
      </c>
      <c r="N1019" s="5">
        <v>46110</v>
      </c>
      <c r="O1019" s="5">
        <v>46117</v>
      </c>
      <c r="P1019" s="5">
        <v>46124</v>
      </c>
      <c r="Q1019" s="5">
        <v>46131</v>
      </c>
      <c r="R1019" s="5">
        <v>46138</v>
      </c>
      <c r="S1019" s="128">
        <v>46145</v>
      </c>
      <c r="T1019" s="128">
        <v>46152</v>
      </c>
      <c r="U1019" s="5">
        <v>46159</v>
      </c>
      <c r="V1019" s="5">
        <v>46166</v>
      </c>
      <c r="W1019" s="5">
        <v>46173</v>
      </c>
      <c r="X1019" s="5">
        <v>46180</v>
      </c>
      <c r="Y1019" s="5">
        <v>46187</v>
      </c>
      <c r="Z1019" s="5">
        <v>46194</v>
      </c>
      <c r="AA1019" s="5">
        <v>46201</v>
      </c>
      <c r="AB1019" s="5">
        <v>46208</v>
      </c>
      <c r="AC1019" s="5">
        <v>46215</v>
      </c>
      <c r="AD1019" s="5">
        <v>46222</v>
      </c>
      <c r="AE1019" s="5">
        <v>46229</v>
      </c>
      <c r="AF1019" s="5">
        <v>46236</v>
      </c>
      <c r="AG1019" s="5">
        <v>46243</v>
      </c>
    </row>
    <row r="1020" spans="1:33" x14ac:dyDescent="0.35">
      <c r="A1020" t="s">
        <v>1242</v>
      </c>
      <c r="B1020" s="3">
        <v>0.01</v>
      </c>
      <c r="C1020" s="3">
        <v>1.4E-2</v>
      </c>
      <c r="D1020" s="3">
        <v>1.7999999999999999E-2</v>
      </c>
      <c r="E1020" s="3">
        <v>9.6000000000000002E-2</v>
      </c>
      <c r="F1020" s="3">
        <v>0.371</v>
      </c>
      <c r="G1020" s="3">
        <v>0.434</v>
      </c>
      <c r="H1020" s="3">
        <v>0.433</v>
      </c>
      <c r="I1020" s="3">
        <v>0.46</v>
      </c>
      <c r="J1020" s="3">
        <v>0.28199999999999997</v>
      </c>
      <c r="K1020" s="3">
        <v>0.26600000000000001</v>
      </c>
      <c r="L1020" s="3">
        <v>0.29499999999999998</v>
      </c>
      <c r="M1020" s="3">
        <v>0.26200000000000001</v>
      </c>
      <c r="N1020" s="3">
        <v>0.20300000000000001</v>
      </c>
      <c r="O1020" s="3">
        <v>0.115</v>
      </c>
      <c r="P1020" s="3">
        <v>2.1999999999999999E-2</v>
      </c>
      <c r="Q1020" s="3">
        <v>1.0999999999999999E-2</v>
      </c>
      <c r="R1020" s="3">
        <v>0.05</v>
      </c>
      <c r="S1020" s="3">
        <v>0.128</v>
      </c>
      <c r="T1020" s="3">
        <v>0.11600000000000001</v>
      </c>
      <c r="U1020" s="3">
        <v>0</v>
      </c>
      <c r="V1020" s="3">
        <v>0.16700000000000001</v>
      </c>
      <c r="W1020" s="3">
        <v>0.02</v>
      </c>
      <c r="X1020" s="3">
        <v>0.06</v>
      </c>
      <c r="Y1020" s="3">
        <v>0.11700000000000001</v>
      </c>
      <c r="Z1020" s="3">
        <v>6.9000000000000006E-2</v>
      </c>
      <c r="AA1020" s="3">
        <v>5.7000000000000002E-2</v>
      </c>
      <c r="AB1020" s="3">
        <v>6.0999999999999999E-2</v>
      </c>
      <c r="AC1020" s="3">
        <v>7.5999999999999998E-2</v>
      </c>
      <c r="AD1020" s="3">
        <v>2.9000000000000001E-2</v>
      </c>
      <c r="AE1020" s="3">
        <v>3.9E-2</v>
      </c>
      <c r="AF1020" s="3">
        <v>4.7E-2</v>
      </c>
      <c r="AG1020" s="3">
        <v>3.5999999999999997E-2</v>
      </c>
    </row>
    <row r="1021" spans="1:33" x14ac:dyDescent="0.35">
      <c r="A1021" t="s">
        <v>1247</v>
      </c>
      <c r="B1021" s="3">
        <v>0.66400000000000003</v>
      </c>
      <c r="C1021" s="3">
        <v>0.496</v>
      </c>
      <c r="D1021" s="3">
        <v>0.55900000000000005</v>
      </c>
      <c r="E1021" s="3">
        <v>0.128</v>
      </c>
      <c r="F1021" s="3">
        <v>0.13100000000000001</v>
      </c>
      <c r="G1021" s="3">
        <v>0.124</v>
      </c>
      <c r="H1021" s="3">
        <v>0.14699999999999999</v>
      </c>
      <c r="I1021" s="3">
        <v>0.14499999999999999</v>
      </c>
      <c r="J1021" s="3">
        <v>0.188</v>
      </c>
      <c r="K1021" s="3">
        <v>0.191</v>
      </c>
      <c r="L1021" s="3">
        <v>0.17299999999999999</v>
      </c>
      <c r="M1021" s="3">
        <v>0.16900000000000001</v>
      </c>
      <c r="N1021" s="3">
        <v>0.14199999999999999</v>
      </c>
      <c r="O1021" s="3">
        <v>0.14399999999999999</v>
      </c>
      <c r="P1021" s="3">
        <v>0.23799999999999999</v>
      </c>
      <c r="Q1021" s="3">
        <v>0.22800000000000001</v>
      </c>
      <c r="R1021" s="3">
        <v>2.5000000000000001E-2</v>
      </c>
      <c r="S1021" s="3">
        <v>1.9E-2</v>
      </c>
      <c r="T1021" s="3">
        <v>2.3E-2</v>
      </c>
      <c r="U1021" t="s">
        <v>1272</v>
      </c>
      <c r="V1021" s="3">
        <v>4.3999999999999997E-2</v>
      </c>
      <c r="W1021" s="3">
        <v>0.156</v>
      </c>
      <c r="X1021" s="3">
        <v>0.16300000000000001</v>
      </c>
      <c r="Y1021" s="3">
        <v>0.24</v>
      </c>
      <c r="Z1021" s="3">
        <v>0.23200000000000001</v>
      </c>
      <c r="AA1021" s="3">
        <v>0.17599999999999999</v>
      </c>
      <c r="AB1021" s="3">
        <v>0.214</v>
      </c>
      <c r="AC1021" s="3">
        <v>0.23400000000000001</v>
      </c>
      <c r="AD1021" s="3">
        <v>0.17399999999999999</v>
      </c>
      <c r="AE1021" s="3">
        <v>0.23</v>
      </c>
      <c r="AF1021" s="3">
        <v>0.307</v>
      </c>
      <c r="AG1021" s="3">
        <v>0.16500000000000001</v>
      </c>
    </row>
    <row r="1022" spans="1:33" x14ac:dyDescent="0.35">
      <c r="A1022" t="s">
        <v>1248</v>
      </c>
      <c r="B1022" s="7">
        <v>1.97</v>
      </c>
      <c r="C1022" s="7">
        <v>1.47</v>
      </c>
      <c r="D1022" s="7">
        <v>1.64</v>
      </c>
      <c r="E1022" s="7">
        <v>0.37</v>
      </c>
      <c r="F1022" s="7">
        <v>0.35</v>
      </c>
      <c r="G1022" s="7">
        <v>0.33</v>
      </c>
      <c r="H1022" s="7">
        <v>0.4</v>
      </c>
      <c r="I1022" s="7">
        <v>0.39</v>
      </c>
      <c r="J1022" s="7">
        <v>0.52</v>
      </c>
      <c r="K1022" s="7">
        <v>0.53</v>
      </c>
      <c r="L1022" s="7">
        <v>0.47</v>
      </c>
      <c r="M1022" s="7">
        <v>0.45</v>
      </c>
      <c r="N1022" s="7">
        <v>0.38</v>
      </c>
      <c r="O1022" s="7">
        <v>0.39</v>
      </c>
      <c r="P1022" s="7">
        <v>0.68</v>
      </c>
      <c r="Q1022" s="7">
        <v>0.65</v>
      </c>
      <c r="R1022" s="7">
        <v>7.0000000000000007E-2</v>
      </c>
      <c r="S1022" s="7">
        <v>0.05</v>
      </c>
      <c r="T1022" s="7">
        <v>0.06</v>
      </c>
      <c r="U1022" t="s">
        <v>1272</v>
      </c>
      <c r="V1022" s="7">
        <v>0.13</v>
      </c>
      <c r="W1022" s="7">
        <v>0.46</v>
      </c>
      <c r="X1022" s="7">
        <v>0.48</v>
      </c>
      <c r="Y1022" s="7">
        <v>0.71</v>
      </c>
      <c r="Z1022" s="7">
        <v>0.68</v>
      </c>
      <c r="AA1022" s="7">
        <v>0.52</v>
      </c>
      <c r="AB1022" s="7">
        <v>0.63</v>
      </c>
      <c r="AC1022" s="7">
        <v>0.69</v>
      </c>
      <c r="AD1022" s="7">
        <v>0.51</v>
      </c>
      <c r="AE1022" s="7">
        <v>0.69</v>
      </c>
      <c r="AF1022" s="7">
        <v>0.91</v>
      </c>
      <c r="AG1022" s="7">
        <v>0.48</v>
      </c>
    </row>
    <row r="1023" spans="1:33" x14ac:dyDescent="0.35">
      <c r="A1023" t="s">
        <v>1249</v>
      </c>
      <c r="B1023" s="7">
        <v>1</v>
      </c>
      <c r="C1023" s="7">
        <v>1.49</v>
      </c>
      <c r="D1023" s="7">
        <v>1.3</v>
      </c>
      <c r="E1023" s="7">
        <v>2.5299999999999998</v>
      </c>
      <c r="F1023" s="129">
        <v>2.35</v>
      </c>
      <c r="G1023" s="129">
        <v>2.33</v>
      </c>
      <c r="H1023" s="129">
        <v>2.33</v>
      </c>
      <c r="I1023" s="129">
        <v>2.33</v>
      </c>
      <c r="J1023" s="129">
        <v>2.2599999999999998</v>
      </c>
      <c r="K1023" s="129">
        <v>2.23</v>
      </c>
      <c r="L1023" s="129">
        <v>2.23</v>
      </c>
      <c r="M1023" s="129">
        <v>2.2200000000000002</v>
      </c>
      <c r="N1023" s="129">
        <v>2.2799999999999998</v>
      </c>
      <c r="O1023" s="7">
        <v>2.31</v>
      </c>
      <c r="P1023" s="7">
        <v>2.1800000000000002</v>
      </c>
      <c r="Q1023" s="7">
        <v>2.1800000000000002</v>
      </c>
      <c r="R1023" s="7">
        <v>2.76</v>
      </c>
      <c r="S1023" s="129">
        <v>2.7</v>
      </c>
      <c r="T1023" s="129">
        <v>2.71</v>
      </c>
      <c r="U1023" t="s">
        <v>1272</v>
      </c>
      <c r="V1023" s="7">
        <v>2.7</v>
      </c>
      <c r="W1023" s="7">
        <v>2.5</v>
      </c>
      <c r="X1023" s="7">
        <v>2.4700000000000002</v>
      </c>
      <c r="Y1023" s="7">
        <v>2.2400000000000002</v>
      </c>
      <c r="Z1023" s="7">
        <v>2.2599999999999998</v>
      </c>
      <c r="AA1023" s="7">
        <v>2.44</v>
      </c>
      <c r="AB1023" s="7">
        <v>2.33</v>
      </c>
      <c r="AC1023" s="7">
        <v>2.27</v>
      </c>
      <c r="AD1023" s="7">
        <v>2.4300000000000002</v>
      </c>
      <c r="AE1023" s="7">
        <v>2.29</v>
      </c>
      <c r="AF1023" s="7">
        <v>2.0499999999999998</v>
      </c>
      <c r="AG1023" s="7">
        <v>2.4500000000000002</v>
      </c>
    </row>
    <row r="1024" spans="1:33" x14ac:dyDescent="0.35">
      <c r="A1024" t="s">
        <v>1250</v>
      </c>
      <c r="B1024" s="7">
        <v>2.97</v>
      </c>
      <c r="C1024" s="7">
        <v>2.96</v>
      </c>
      <c r="D1024" s="7">
        <v>2.94</v>
      </c>
      <c r="E1024" s="7">
        <v>2.9</v>
      </c>
      <c r="F1024" s="7">
        <v>2.71</v>
      </c>
      <c r="G1024" s="7">
        <v>2.66</v>
      </c>
      <c r="H1024" s="7">
        <v>2.74</v>
      </c>
      <c r="I1024" s="7">
        <v>2.72</v>
      </c>
      <c r="J1024" s="7">
        <v>2.78</v>
      </c>
      <c r="K1024" s="7">
        <v>2.76</v>
      </c>
      <c r="L1024" s="7">
        <v>2.7</v>
      </c>
      <c r="M1024" s="7">
        <v>2.67</v>
      </c>
      <c r="N1024" s="7">
        <v>2.65</v>
      </c>
      <c r="O1024" s="7">
        <v>2.69</v>
      </c>
      <c r="P1024" s="7">
        <v>2.86</v>
      </c>
      <c r="Q1024" s="7">
        <v>2.83</v>
      </c>
      <c r="R1024" s="7">
        <v>2.84</v>
      </c>
      <c r="S1024" s="7">
        <v>2.76</v>
      </c>
      <c r="T1024" s="7">
        <v>2.78</v>
      </c>
      <c r="U1024" s="7">
        <v>2.8</v>
      </c>
      <c r="V1024" s="7">
        <v>2.83</v>
      </c>
      <c r="W1024" s="7">
        <v>2.96</v>
      </c>
      <c r="X1024" s="7">
        <v>2.96</v>
      </c>
      <c r="Y1024" s="7">
        <v>2.94</v>
      </c>
      <c r="Z1024" s="7">
        <v>2.94</v>
      </c>
      <c r="AA1024" s="7">
        <v>2.96</v>
      </c>
      <c r="AB1024" s="7">
        <v>2.96</v>
      </c>
      <c r="AC1024" s="7">
        <v>2.96</v>
      </c>
      <c r="AD1024" s="7">
        <v>2.94</v>
      </c>
      <c r="AE1024" s="7">
        <v>2.98</v>
      </c>
      <c r="AF1024" s="7">
        <v>2.95</v>
      </c>
      <c r="AG1024" s="7">
        <v>2.93</v>
      </c>
    </row>
    <row r="1025" spans="1:33" x14ac:dyDescent="0.35">
      <c r="A1025" t="s">
        <v>1245</v>
      </c>
      <c r="B1025" s="7">
        <v>2.95</v>
      </c>
      <c r="C1025" s="7">
        <v>2.93</v>
      </c>
      <c r="D1025" s="7">
        <v>2.9</v>
      </c>
      <c r="E1025" s="7">
        <v>2.81</v>
      </c>
      <c r="F1025" s="7">
        <v>2.44</v>
      </c>
      <c r="G1025" s="7">
        <v>2.38</v>
      </c>
      <c r="H1025" s="7">
        <v>2.4300000000000002</v>
      </c>
      <c r="I1025" s="7">
        <v>2.44</v>
      </c>
      <c r="J1025" s="7">
        <v>2.52</v>
      </c>
      <c r="K1025" s="7">
        <v>2.4900000000000002</v>
      </c>
      <c r="L1025" s="7">
        <v>2.46</v>
      </c>
      <c r="M1025" s="7">
        <v>2.42</v>
      </c>
      <c r="N1025" s="7">
        <v>2.5099999999999998</v>
      </c>
      <c r="O1025" s="7">
        <v>2.6</v>
      </c>
      <c r="P1025" s="7">
        <v>2.84</v>
      </c>
      <c r="Q1025" s="7">
        <v>2.81</v>
      </c>
      <c r="R1025" s="7">
        <v>2.82</v>
      </c>
      <c r="S1025" s="7">
        <v>2.71</v>
      </c>
      <c r="T1025" s="7">
        <v>2.73</v>
      </c>
      <c r="U1025" s="7">
        <v>2.8</v>
      </c>
      <c r="V1025" s="7">
        <v>2.76</v>
      </c>
      <c r="W1025" s="7">
        <v>2.94</v>
      </c>
      <c r="X1025" s="7">
        <v>2.91</v>
      </c>
      <c r="Y1025" s="7">
        <v>2.82</v>
      </c>
      <c r="Z1025" s="7">
        <v>2.86</v>
      </c>
      <c r="AA1025" s="7">
        <v>2.91</v>
      </c>
      <c r="AB1025" s="7">
        <v>2.9</v>
      </c>
      <c r="AC1025" s="7">
        <v>2.88</v>
      </c>
      <c r="AD1025" s="7">
        <v>2.91</v>
      </c>
      <c r="AE1025" s="7">
        <v>2.93</v>
      </c>
      <c r="AF1025" s="7">
        <v>2.88</v>
      </c>
      <c r="AG1025" s="7">
        <v>2.89</v>
      </c>
    </row>
    <row r="1028" spans="1:33" x14ac:dyDescent="0.35">
      <c r="A1028" t="s">
        <v>1254</v>
      </c>
      <c r="B1028" s="5">
        <v>46026</v>
      </c>
      <c r="C1028" s="5">
        <v>46033</v>
      </c>
      <c r="D1028" s="5">
        <v>46040</v>
      </c>
      <c r="E1028" s="5">
        <v>46047</v>
      </c>
      <c r="F1028" s="128">
        <v>46054</v>
      </c>
      <c r="G1028" s="128">
        <v>46061</v>
      </c>
      <c r="H1028" s="128">
        <v>46068</v>
      </c>
      <c r="I1028" s="128">
        <v>46075</v>
      </c>
      <c r="J1028" s="5">
        <v>46082</v>
      </c>
      <c r="K1028" s="5">
        <v>46089</v>
      </c>
      <c r="L1028" s="5">
        <v>46096</v>
      </c>
      <c r="M1028" s="5">
        <v>46103</v>
      </c>
      <c r="N1028" s="5">
        <v>46110</v>
      </c>
      <c r="O1028" s="5">
        <v>46117</v>
      </c>
      <c r="P1028" s="5">
        <v>46124</v>
      </c>
      <c r="Q1028" s="5">
        <v>46131</v>
      </c>
      <c r="R1028" s="5">
        <v>46138</v>
      </c>
      <c r="S1028" s="128">
        <v>46145</v>
      </c>
      <c r="T1028" s="128">
        <v>46152</v>
      </c>
      <c r="U1028" s="5">
        <v>46159</v>
      </c>
      <c r="V1028" s="5">
        <v>46166</v>
      </c>
      <c r="W1028" s="5">
        <v>46173</v>
      </c>
      <c r="X1028" s="5">
        <v>46180</v>
      </c>
      <c r="Y1028" s="5">
        <v>46187</v>
      </c>
      <c r="Z1028" s="5">
        <v>46194</v>
      </c>
      <c r="AA1028" s="5">
        <v>46201</v>
      </c>
      <c r="AB1028" s="5">
        <v>46208</v>
      </c>
      <c r="AC1028" s="5">
        <v>46215</v>
      </c>
      <c r="AD1028" s="5">
        <v>46222</v>
      </c>
      <c r="AE1028" s="5">
        <v>46229</v>
      </c>
      <c r="AF1028" s="5">
        <v>46236</v>
      </c>
      <c r="AG1028" s="5">
        <v>46243</v>
      </c>
    </row>
    <row r="1029" spans="1:33" x14ac:dyDescent="0.35">
      <c r="A1029" t="s">
        <v>1241</v>
      </c>
      <c r="B1029">
        <v>98</v>
      </c>
      <c r="C1029">
        <v>127</v>
      </c>
      <c r="D1029">
        <v>131</v>
      </c>
      <c r="E1029">
        <v>163</v>
      </c>
      <c r="F1029">
        <v>170</v>
      </c>
      <c r="G1029">
        <v>161</v>
      </c>
      <c r="H1029">
        <v>146</v>
      </c>
      <c r="I1029">
        <v>164</v>
      </c>
      <c r="J1029">
        <v>169</v>
      </c>
      <c r="K1029">
        <v>160</v>
      </c>
      <c r="L1029">
        <v>153</v>
      </c>
      <c r="M1029">
        <v>187</v>
      </c>
      <c r="N1029">
        <v>194</v>
      </c>
      <c r="O1029">
        <v>139</v>
      </c>
      <c r="P1029">
        <v>217</v>
      </c>
      <c r="Q1029">
        <v>200</v>
      </c>
      <c r="R1029">
        <v>186</v>
      </c>
      <c r="S1029">
        <v>208</v>
      </c>
      <c r="T1029">
        <v>180</v>
      </c>
      <c r="U1029">
        <v>167</v>
      </c>
      <c r="V1029">
        <v>177</v>
      </c>
      <c r="W1029">
        <v>162</v>
      </c>
      <c r="X1029">
        <v>180</v>
      </c>
      <c r="Y1029">
        <v>143</v>
      </c>
      <c r="Z1029">
        <v>134</v>
      </c>
      <c r="AA1029">
        <v>138</v>
      </c>
      <c r="AB1029">
        <v>161</v>
      </c>
      <c r="AC1029">
        <v>165</v>
      </c>
      <c r="AD1029">
        <v>167</v>
      </c>
      <c r="AE1029">
        <v>193</v>
      </c>
      <c r="AF1029">
        <v>182</v>
      </c>
      <c r="AG1029">
        <v>146</v>
      </c>
    </row>
    <row r="1030" spans="1:33" x14ac:dyDescent="0.35">
      <c r="A1030" t="s">
        <v>1242</v>
      </c>
      <c r="B1030" s="3">
        <v>0</v>
      </c>
      <c r="C1030" s="3">
        <v>0</v>
      </c>
      <c r="D1030" s="3">
        <v>0</v>
      </c>
      <c r="E1030" s="3">
        <v>2.9000000000000001E-2</v>
      </c>
      <c r="F1030" s="3">
        <v>0.17100000000000001</v>
      </c>
      <c r="G1030" s="3">
        <v>0.21199999999999999</v>
      </c>
      <c r="H1030" s="3">
        <v>0.187</v>
      </c>
      <c r="I1030" s="3">
        <v>0.29799999999999999</v>
      </c>
      <c r="J1030" s="3">
        <v>0</v>
      </c>
      <c r="K1030" s="3">
        <v>0</v>
      </c>
      <c r="L1030" s="3">
        <v>0</v>
      </c>
      <c r="M1030" s="3">
        <v>0</v>
      </c>
      <c r="N1030" s="3">
        <v>0</v>
      </c>
      <c r="O1030" s="3">
        <v>0</v>
      </c>
      <c r="P1030" s="3">
        <v>0</v>
      </c>
      <c r="Q1030" s="3">
        <v>0</v>
      </c>
      <c r="R1030" s="3">
        <v>2.3E-2</v>
      </c>
      <c r="S1030" s="3">
        <v>0.23899999999999999</v>
      </c>
      <c r="T1030" s="3">
        <v>0.23499999999999999</v>
      </c>
      <c r="U1030" s="3">
        <v>0</v>
      </c>
      <c r="V1030" s="3">
        <v>0.17399999999999999</v>
      </c>
      <c r="W1030" s="3">
        <v>2.1000000000000001E-2</v>
      </c>
      <c r="X1030" s="3">
        <v>0</v>
      </c>
      <c r="Y1030" s="3">
        <v>0</v>
      </c>
      <c r="Z1030" s="3">
        <v>0</v>
      </c>
      <c r="AA1030" s="3">
        <v>0</v>
      </c>
      <c r="AB1030" s="3">
        <v>0</v>
      </c>
      <c r="AC1030" s="3">
        <v>0</v>
      </c>
      <c r="AD1030" s="3">
        <v>4.0000000000000001E-3</v>
      </c>
      <c r="AE1030" s="3">
        <v>0</v>
      </c>
      <c r="AF1030" s="3">
        <v>4.0000000000000001E-3</v>
      </c>
      <c r="AG1030" s="3">
        <v>0</v>
      </c>
    </row>
    <row r="1031" spans="1:33" x14ac:dyDescent="0.35">
      <c r="A1031" t="s">
        <v>1243</v>
      </c>
      <c r="B1031">
        <v>0</v>
      </c>
      <c r="C1031">
        <v>0</v>
      </c>
      <c r="D1031">
        <v>0</v>
      </c>
      <c r="E1031">
        <v>5</v>
      </c>
      <c r="F1031">
        <v>25</v>
      </c>
      <c r="G1031">
        <v>28</v>
      </c>
      <c r="H1031">
        <v>23</v>
      </c>
      <c r="I1031">
        <v>38</v>
      </c>
      <c r="J1031">
        <v>0</v>
      </c>
      <c r="K1031">
        <v>0</v>
      </c>
      <c r="L1031">
        <v>0</v>
      </c>
      <c r="M1031">
        <v>0</v>
      </c>
      <c r="N1031">
        <v>0</v>
      </c>
      <c r="O1031">
        <v>0</v>
      </c>
      <c r="P1031">
        <v>0</v>
      </c>
      <c r="Q1031">
        <v>0</v>
      </c>
      <c r="R1031">
        <v>4</v>
      </c>
      <c r="S1031">
        <v>40</v>
      </c>
      <c r="T1031">
        <v>34</v>
      </c>
      <c r="U1031">
        <v>0</v>
      </c>
      <c r="V1031">
        <v>26</v>
      </c>
      <c r="W1031">
        <v>3</v>
      </c>
      <c r="X1031">
        <v>0</v>
      </c>
      <c r="Y1031">
        <v>0</v>
      </c>
      <c r="Z1031">
        <v>0</v>
      </c>
      <c r="AA1031">
        <v>0</v>
      </c>
      <c r="AB1031">
        <v>0</v>
      </c>
      <c r="AC1031">
        <v>0</v>
      </c>
      <c r="AD1031">
        <v>1</v>
      </c>
      <c r="AE1031">
        <v>0</v>
      </c>
      <c r="AF1031">
        <v>1</v>
      </c>
      <c r="AG1031">
        <v>0</v>
      </c>
    </row>
    <row r="1032" spans="1:33" x14ac:dyDescent="0.35">
      <c r="A1032" t="s">
        <v>1244</v>
      </c>
      <c r="B1032">
        <v>98</v>
      </c>
      <c r="C1032">
        <v>127</v>
      </c>
      <c r="D1032">
        <v>131</v>
      </c>
      <c r="E1032">
        <v>158</v>
      </c>
      <c r="F1032">
        <v>145</v>
      </c>
      <c r="G1032">
        <v>133</v>
      </c>
      <c r="H1032">
        <v>123</v>
      </c>
      <c r="I1032">
        <v>126</v>
      </c>
      <c r="J1032">
        <v>169</v>
      </c>
      <c r="K1032">
        <v>160</v>
      </c>
      <c r="L1032">
        <v>153</v>
      </c>
      <c r="M1032">
        <v>187</v>
      </c>
      <c r="N1032">
        <v>194</v>
      </c>
      <c r="O1032">
        <v>139</v>
      </c>
      <c r="P1032">
        <v>217</v>
      </c>
      <c r="Q1032">
        <v>200</v>
      </c>
      <c r="R1032">
        <v>181</v>
      </c>
      <c r="S1032">
        <v>168</v>
      </c>
      <c r="T1032">
        <v>146</v>
      </c>
      <c r="U1032">
        <v>167</v>
      </c>
      <c r="V1032">
        <v>151</v>
      </c>
      <c r="W1032">
        <v>159</v>
      </c>
      <c r="X1032">
        <v>180</v>
      </c>
      <c r="Y1032">
        <v>143</v>
      </c>
      <c r="Z1032">
        <v>134</v>
      </c>
      <c r="AA1032">
        <v>138</v>
      </c>
      <c r="AB1032">
        <v>161</v>
      </c>
      <c r="AC1032">
        <v>165</v>
      </c>
      <c r="AD1032">
        <v>166</v>
      </c>
      <c r="AE1032">
        <v>193</v>
      </c>
      <c r="AF1032">
        <v>181</v>
      </c>
      <c r="AG1032">
        <v>146</v>
      </c>
    </row>
    <row r="1033" spans="1:33" x14ac:dyDescent="0.35">
      <c r="A1033" t="s">
        <v>1245</v>
      </c>
      <c r="B1033" s="7">
        <v>11.47</v>
      </c>
      <c r="C1033" s="7">
        <v>11.47</v>
      </c>
      <c r="D1033" s="7">
        <v>11.33</v>
      </c>
      <c r="E1033" s="7">
        <v>11.08</v>
      </c>
      <c r="F1033" s="7">
        <v>10.57</v>
      </c>
      <c r="G1033" s="7">
        <v>10.58</v>
      </c>
      <c r="H1033" s="7">
        <v>10.57</v>
      </c>
      <c r="I1033" s="7">
        <v>10.73</v>
      </c>
      <c r="J1033" s="7">
        <v>10.99</v>
      </c>
      <c r="K1033" s="7">
        <v>10.99</v>
      </c>
      <c r="L1033" s="7">
        <v>10.95</v>
      </c>
      <c r="M1033" s="7">
        <v>10.83</v>
      </c>
      <c r="N1033" s="7">
        <v>10.99</v>
      </c>
      <c r="O1033" s="7">
        <v>10.99</v>
      </c>
      <c r="P1033" s="7">
        <v>10.99</v>
      </c>
      <c r="Q1033" s="7">
        <v>10.99</v>
      </c>
      <c r="R1033" s="7">
        <v>10.65</v>
      </c>
      <c r="S1033" s="7">
        <v>9.9700000000000006</v>
      </c>
      <c r="T1033" s="7">
        <v>10.029999999999999</v>
      </c>
      <c r="U1033" s="7">
        <v>10.91</v>
      </c>
      <c r="V1033" s="7">
        <v>10.06</v>
      </c>
      <c r="W1033" s="7">
        <v>10.89</v>
      </c>
      <c r="X1033" s="7">
        <v>10.9</v>
      </c>
      <c r="Y1033" s="7">
        <v>10.99</v>
      </c>
      <c r="Z1033" s="7">
        <v>10.99</v>
      </c>
      <c r="AA1033" s="7">
        <v>10.99</v>
      </c>
      <c r="AB1033" s="7">
        <v>10.93</v>
      </c>
      <c r="AC1033" s="7">
        <v>10.97</v>
      </c>
      <c r="AD1033" s="7">
        <v>10.96</v>
      </c>
      <c r="AE1033" s="7">
        <v>11.03</v>
      </c>
      <c r="AF1033" s="7">
        <v>10.94</v>
      </c>
      <c r="AG1033" s="7">
        <v>11</v>
      </c>
    </row>
    <row r="1034" spans="1:33" x14ac:dyDescent="0.35">
      <c r="F1034">
        <f>SUM(F1032:I1032)</f>
        <v>527</v>
      </c>
      <c r="G1034">
        <f>SUM(F1031:I1031)</f>
        <v>114</v>
      </c>
      <c r="S1034">
        <f>SUM(S1032:T1032)</f>
        <v>314</v>
      </c>
      <c r="T1034">
        <f>SUM(S1031:T1031)</f>
        <v>74</v>
      </c>
    </row>
    <row r="1035" spans="1:33" x14ac:dyDescent="0.35">
      <c r="A1035" t="s">
        <v>1254</v>
      </c>
      <c r="B1035" s="5">
        <v>46026</v>
      </c>
      <c r="C1035" s="5">
        <v>46033</v>
      </c>
      <c r="D1035" s="5">
        <v>46040</v>
      </c>
      <c r="E1035" s="5">
        <v>46047</v>
      </c>
      <c r="F1035" s="5">
        <v>46054</v>
      </c>
      <c r="G1035" s="5">
        <v>46061</v>
      </c>
      <c r="H1035" s="5">
        <v>46068</v>
      </c>
      <c r="I1035" s="5">
        <v>46075</v>
      </c>
      <c r="J1035" s="5">
        <v>46082</v>
      </c>
      <c r="K1035" s="5">
        <v>46089</v>
      </c>
      <c r="L1035" s="5">
        <v>46096</v>
      </c>
      <c r="M1035" s="5">
        <v>46103</v>
      </c>
      <c r="N1035" s="5">
        <v>46110</v>
      </c>
      <c r="O1035" s="5">
        <v>46117</v>
      </c>
      <c r="P1035" s="5">
        <v>46124</v>
      </c>
      <c r="Q1035" s="5">
        <v>46131</v>
      </c>
      <c r="R1035" s="5">
        <v>46138</v>
      </c>
      <c r="S1035" s="5">
        <v>46145</v>
      </c>
      <c r="T1035" s="5">
        <v>46152</v>
      </c>
      <c r="U1035" s="5">
        <v>46159</v>
      </c>
      <c r="V1035" s="5">
        <v>46166</v>
      </c>
      <c r="W1035" s="5">
        <v>46173</v>
      </c>
      <c r="X1035" s="5">
        <v>46180</v>
      </c>
      <c r="Y1035" s="5">
        <v>46187</v>
      </c>
      <c r="Z1035" s="5">
        <v>46194</v>
      </c>
      <c r="AA1035" s="5">
        <v>46201</v>
      </c>
      <c r="AB1035" s="5">
        <v>46208</v>
      </c>
      <c r="AC1035" s="5">
        <v>46215</v>
      </c>
      <c r="AD1035" s="5">
        <v>46222</v>
      </c>
      <c r="AE1035" s="5">
        <v>46229</v>
      </c>
      <c r="AF1035" s="5">
        <v>46236</v>
      </c>
      <c r="AG1035" s="5">
        <v>46243</v>
      </c>
    </row>
    <row r="1036" spans="1:33" x14ac:dyDescent="0.35">
      <c r="A1036" t="s">
        <v>1242</v>
      </c>
      <c r="B1036" s="3">
        <v>0</v>
      </c>
      <c r="C1036" s="3">
        <v>0</v>
      </c>
      <c r="D1036" s="3">
        <v>0</v>
      </c>
      <c r="E1036" s="3">
        <v>2.9000000000000001E-2</v>
      </c>
      <c r="F1036" s="130">
        <v>0.17100000000000001</v>
      </c>
      <c r="G1036" s="130">
        <v>0.21199999999999999</v>
      </c>
      <c r="H1036" s="130">
        <v>0.187</v>
      </c>
      <c r="I1036" s="130">
        <v>0.29799999999999999</v>
      </c>
      <c r="J1036" s="3">
        <v>0</v>
      </c>
      <c r="K1036" s="3">
        <v>0</v>
      </c>
      <c r="L1036" s="3">
        <v>0</v>
      </c>
      <c r="M1036" s="3">
        <v>0</v>
      </c>
      <c r="N1036" s="3">
        <v>0</v>
      </c>
      <c r="O1036" s="3">
        <v>0</v>
      </c>
      <c r="P1036" s="3">
        <v>0</v>
      </c>
      <c r="Q1036" s="3">
        <v>0</v>
      </c>
      <c r="R1036" s="3">
        <v>2.3E-2</v>
      </c>
      <c r="S1036" s="3">
        <v>0.23899999999999999</v>
      </c>
      <c r="T1036" s="3">
        <v>0.23499999999999999</v>
      </c>
      <c r="U1036" s="3">
        <v>0</v>
      </c>
      <c r="V1036" s="3">
        <v>0.17399999999999999</v>
      </c>
      <c r="W1036" s="3">
        <v>2.1000000000000001E-2</v>
      </c>
      <c r="X1036" s="3">
        <v>0</v>
      </c>
      <c r="Y1036" s="3">
        <v>0</v>
      </c>
      <c r="Z1036" s="3">
        <v>0</v>
      </c>
      <c r="AA1036" s="3">
        <v>0</v>
      </c>
      <c r="AB1036" s="3">
        <v>0</v>
      </c>
      <c r="AC1036" s="3">
        <v>0</v>
      </c>
      <c r="AD1036" s="3">
        <v>4.0000000000000001E-3</v>
      </c>
      <c r="AE1036" s="3">
        <v>0</v>
      </c>
      <c r="AF1036" s="3">
        <v>4.0000000000000001E-3</v>
      </c>
      <c r="AG1036" s="3">
        <v>0</v>
      </c>
    </row>
    <row r="1037" spans="1:33" x14ac:dyDescent="0.35">
      <c r="A1037" t="s">
        <v>1247</v>
      </c>
      <c r="B1037" t="s">
        <v>1272</v>
      </c>
      <c r="C1037" t="s">
        <v>1272</v>
      </c>
      <c r="D1037" t="s">
        <v>1272</v>
      </c>
      <c r="E1037" s="3">
        <v>9.9000000000000005E-2</v>
      </c>
      <c r="F1037" s="3">
        <v>2.5999999999999999E-2</v>
      </c>
      <c r="G1037" s="3">
        <v>3.2000000000000001E-2</v>
      </c>
      <c r="H1037" s="3">
        <v>3.1E-2</v>
      </c>
      <c r="I1037" s="3">
        <v>3.5000000000000003E-2</v>
      </c>
      <c r="J1037" t="s">
        <v>1272</v>
      </c>
      <c r="K1037" t="s">
        <v>1272</v>
      </c>
      <c r="L1037" t="s">
        <v>1272</v>
      </c>
      <c r="M1037" t="s">
        <v>1272</v>
      </c>
      <c r="N1037" t="s">
        <v>1272</v>
      </c>
      <c r="O1037" t="s">
        <v>1272</v>
      </c>
      <c r="P1037" t="s">
        <v>1272</v>
      </c>
      <c r="Q1037" t="s">
        <v>1272</v>
      </c>
      <c r="R1037" s="3">
        <v>7.9000000000000001E-2</v>
      </c>
      <c r="S1037" s="3">
        <v>2.5999999999999999E-2</v>
      </c>
      <c r="T1037" s="3">
        <v>3.9E-2</v>
      </c>
      <c r="U1037" t="s">
        <v>1272</v>
      </c>
      <c r="V1037" s="3">
        <v>8.2000000000000003E-2</v>
      </c>
      <c r="W1037" s="3">
        <v>0.251</v>
      </c>
      <c r="X1037" t="s">
        <v>1272</v>
      </c>
      <c r="Y1037" t="s">
        <v>1272</v>
      </c>
      <c r="Z1037" t="s">
        <v>1272</v>
      </c>
      <c r="AA1037" t="s">
        <v>1272</v>
      </c>
      <c r="AB1037" s="3">
        <v>0.33</v>
      </c>
      <c r="AC1037" s="3">
        <v>0.499</v>
      </c>
      <c r="AD1037" s="3">
        <v>0.501</v>
      </c>
      <c r="AE1037" t="s">
        <v>1272</v>
      </c>
      <c r="AF1037" s="3">
        <v>0.5</v>
      </c>
      <c r="AG1037" t="s">
        <v>1272</v>
      </c>
    </row>
    <row r="1038" spans="1:33" x14ac:dyDescent="0.35">
      <c r="A1038" t="s">
        <v>1248</v>
      </c>
      <c r="B1038" t="s">
        <v>1272</v>
      </c>
      <c r="C1038" t="s">
        <v>1272</v>
      </c>
      <c r="D1038" t="s">
        <v>1272</v>
      </c>
      <c r="E1038" s="7">
        <v>1.1100000000000001</v>
      </c>
      <c r="F1038" s="7">
        <v>0.28000000000000003</v>
      </c>
      <c r="G1038" s="7">
        <v>0.35</v>
      </c>
      <c r="H1038" s="7">
        <v>0.34</v>
      </c>
      <c r="I1038" s="7">
        <v>0.39</v>
      </c>
      <c r="J1038" t="s">
        <v>1272</v>
      </c>
      <c r="K1038" t="s">
        <v>1272</v>
      </c>
      <c r="L1038" t="s">
        <v>1272</v>
      </c>
      <c r="M1038" t="s">
        <v>1272</v>
      </c>
      <c r="N1038" t="s">
        <v>1272</v>
      </c>
      <c r="O1038" t="s">
        <v>1272</v>
      </c>
      <c r="P1038" t="s">
        <v>1272</v>
      </c>
      <c r="Q1038" t="s">
        <v>1272</v>
      </c>
      <c r="R1038" s="7">
        <v>0.85</v>
      </c>
      <c r="S1038" s="7">
        <v>0.27</v>
      </c>
      <c r="T1038" s="7">
        <v>0.41</v>
      </c>
      <c r="U1038" t="s">
        <v>1272</v>
      </c>
      <c r="V1038" s="7">
        <v>0.87</v>
      </c>
      <c r="W1038" s="7">
        <v>2.76</v>
      </c>
      <c r="X1038" t="s">
        <v>1272</v>
      </c>
      <c r="Y1038" t="s">
        <v>1272</v>
      </c>
      <c r="Z1038" t="s">
        <v>1272</v>
      </c>
      <c r="AA1038" t="s">
        <v>1272</v>
      </c>
      <c r="AB1038" s="7">
        <v>3.6</v>
      </c>
      <c r="AC1038" s="7">
        <v>5.47</v>
      </c>
      <c r="AD1038" s="7">
        <v>5.5</v>
      </c>
      <c r="AE1038" t="s">
        <v>1272</v>
      </c>
      <c r="AF1038" s="7">
        <v>5.48</v>
      </c>
      <c r="AG1038" t="s">
        <v>1272</v>
      </c>
    </row>
    <row r="1039" spans="1:33" x14ac:dyDescent="0.35">
      <c r="A1039" t="s">
        <v>1249</v>
      </c>
      <c r="B1039" t="s">
        <v>1272</v>
      </c>
      <c r="C1039" t="s">
        <v>1272</v>
      </c>
      <c r="D1039" t="s">
        <v>1272</v>
      </c>
      <c r="E1039" s="7">
        <v>10.11</v>
      </c>
      <c r="F1039" s="129">
        <v>10.51</v>
      </c>
      <c r="G1039" s="129">
        <v>10.52</v>
      </c>
      <c r="H1039" s="129">
        <v>10.5</v>
      </c>
      <c r="I1039" s="129">
        <v>10.59</v>
      </c>
      <c r="J1039" t="s">
        <v>1272</v>
      </c>
      <c r="K1039" t="s">
        <v>1272</v>
      </c>
      <c r="L1039" t="s">
        <v>1272</v>
      </c>
      <c r="M1039" t="s">
        <v>1272</v>
      </c>
      <c r="N1039" t="s">
        <v>1272</v>
      </c>
      <c r="O1039" t="s">
        <v>1272</v>
      </c>
      <c r="P1039" t="s">
        <v>1272</v>
      </c>
      <c r="Q1039" t="s">
        <v>1272</v>
      </c>
      <c r="R1039" s="7">
        <v>9.89</v>
      </c>
      <c r="S1039" s="7">
        <v>10.01</v>
      </c>
      <c r="T1039" s="7">
        <v>10</v>
      </c>
      <c r="U1039" t="s">
        <v>1272</v>
      </c>
      <c r="V1039" s="7">
        <v>9.82</v>
      </c>
      <c r="W1039" s="7">
        <v>8.24</v>
      </c>
      <c r="X1039" t="s">
        <v>1272</v>
      </c>
      <c r="Y1039" t="s">
        <v>1272</v>
      </c>
      <c r="Z1039" t="s">
        <v>1272</v>
      </c>
      <c r="AA1039" t="s">
        <v>1272</v>
      </c>
      <c r="AB1039" s="7">
        <v>7.32</v>
      </c>
      <c r="AC1039" s="7">
        <v>5.5</v>
      </c>
      <c r="AD1039" s="7">
        <v>5.49</v>
      </c>
      <c r="AE1039" t="s">
        <v>1272</v>
      </c>
      <c r="AF1039" s="7">
        <v>5.49</v>
      </c>
      <c r="AG1039" t="s">
        <v>1272</v>
      </c>
    </row>
    <row r="1040" spans="1:33" x14ac:dyDescent="0.35">
      <c r="A1040" t="s">
        <v>1250</v>
      </c>
      <c r="B1040" s="7">
        <v>11.47</v>
      </c>
      <c r="C1040" s="7">
        <v>11.47</v>
      </c>
      <c r="D1040" s="7">
        <v>11.33</v>
      </c>
      <c r="E1040" s="7">
        <v>11.22</v>
      </c>
      <c r="F1040" s="7">
        <v>10.79</v>
      </c>
      <c r="G1040" s="7">
        <v>10.87</v>
      </c>
      <c r="H1040" s="7">
        <v>10.84</v>
      </c>
      <c r="I1040" s="7">
        <v>10.98</v>
      </c>
      <c r="J1040" s="7">
        <v>10.99</v>
      </c>
      <c r="K1040" s="7">
        <v>10.99</v>
      </c>
      <c r="L1040" s="7">
        <v>10.95</v>
      </c>
      <c r="M1040" s="7">
        <v>10.83</v>
      </c>
      <c r="N1040" s="7">
        <v>10.99</v>
      </c>
      <c r="O1040" s="7">
        <v>10.99</v>
      </c>
      <c r="P1040" s="7">
        <v>10.99</v>
      </c>
      <c r="Q1040" s="7">
        <v>10.99</v>
      </c>
      <c r="R1040" s="7">
        <v>10.74</v>
      </c>
      <c r="S1040" s="7">
        <v>10.28</v>
      </c>
      <c r="T1040" s="7">
        <v>10.41</v>
      </c>
      <c r="U1040" s="7">
        <v>10.91</v>
      </c>
      <c r="V1040" s="7">
        <v>10.69</v>
      </c>
      <c r="W1040" s="7">
        <v>11</v>
      </c>
      <c r="X1040" s="7">
        <v>10.9</v>
      </c>
      <c r="Y1040" s="7">
        <v>10.99</v>
      </c>
      <c r="Z1040" s="7">
        <v>10.99</v>
      </c>
      <c r="AA1040" s="7">
        <v>10.99</v>
      </c>
      <c r="AB1040" s="7">
        <v>10.93</v>
      </c>
      <c r="AC1040" s="7">
        <v>10.97</v>
      </c>
      <c r="AD1040" s="7">
        <v>10.99</v>
      </c>
      <c r="AE1040" s="7">
        <v>11.03</v>
      </c>
      <c r="AF1040" s="7">
        <v>10.97</v>
      </c>
      <c r="AG1040" s="7">
        <v>11</v>
      </c>
    </row>
    <row r="1041" spans="1:33" x14ac:dyDescent="0.35">
      <c r="A1041" t="s">
        <v>1245</v>
      </c>
      <c r="B1041" s="7">
        <v>11.47</v>
      </c>
      <c r="C1041" s="7">
        <v>11.47</v>
      </c>
      <c r="D1041" s="7">
        <v>11.33</v>
      </c>
      <c r="E1041" s="7">
        <v>11.08</v>
      </c>
      <c r="F1041" s="7">
        <v>10.57</v>
      </c>
      <c r="G1041" s="7">
        <v>10.58</v>
      </c>
      <c r="H1041" s="7">
        <v>10.57</v>
      </c>
      <c r="I1041" s="7">
        <v>10.73</v>
      </c>
      <c r="J1041" s="7">
        <v>10.99</v>
      </c>
      <c r="K1041" s="7">
        <v>10.99</v>
      </c>
      <c r="L1041" s="7">
        <v>10.95</v>
      </c>
      <c r="M1041" s="7">
        <v>10.83</v>
      </c>
      <c r="N1041" s="7">
        <v>10.99</v>
      </c>
      <c r="O1041" s="7">
        <v>10.99</v>
      </c>
      <c r="P1041" s="7">
        <v>10.99</v>
      </c>
      <c r="Q1041" s="7">
        <v>10.99</v>
      </c>
      <c r="R1041" s="7">
        <v>10.65</v>
      </c>
      <c r="S1041" s="7">
        <v>9.9700000000000006</v>
      </c>
      <c r="T1041" s="7">
        <v>10.029999999999999</v>
      </c>
      <c r="U1041" s="7">
        <v>10.91</v>
      </c>
      <c r="V1041" s="7">
        <v>10.06</v>
      </c>
      <c r="W1041" s="7">
        <v>10.89</v>
      </c>
      <c r="X1041" s="7">
        <v>10.9</v>
      </c>
      <c r="Y1041" s="7">
        <v>10.99</v>
      </c>
      <c r="Z1041" s="7">
        <v>10.99</v>
      </c>
      <c r="AA1041" s="7">
        <v>10.99</v>
      </c>
      <c r="AB1041" s="7">
        <v>10.93</v>
      </c>
      <c r="AC1041" s="7">
        <v>10.97</v>
      </c>
      <c r="AD1041" s="7">
        <v>10.96</v>
      </c>
      <c r="AE1041" s="7">
        <v>11.03</v>
      </c>
      <c r="AF1041" s="7">
        <v>10.94</v>
      </c>
      <c r="AG1041" s="7">
        <v>11</v>
      </c>
    </row>
    <row r="1043" spans="1:33" s="112" customFormat="1" x14ac:dyDescent="0.35"/>
    <row r="1045" spans="1:33" x14ac:dyDescent="0.35">
      <c r="A1045" s="4" t="s">
        <v>1455</v>
      </c>
    </row>
    <row r="1046" spans="1:33" x14ac:dyDescent="0.35">
      <c r="A1046" t="s">
        <v>1254</v>
      </c>
      <c r="B1046" s="5">
        <v>46026</v>
      </c>
      <c r="C1046" s="5">
        <v>46033</v>
      </c>
      <c r="D1046" s="5">
        <v>46040</v>
      </c>
      <c r="E1046" s="5">
        <v>46047</v>
      </c>
      <c r="F1046" s="5">
        <v>46054</v>
      </c>
      <c r="G1046" s="5">
        <v>46061</v>
      </c>
      <c r="H1046" s="5">
        <v>46068</v>
      </c>
      <c r="I1046" s="5">
        <v>46075</v>
      </c>
      <c r="J1046" s="5">
        <v>46082</v>
      </c>
      <c r="K1046" s="128">
        <v>46089</v>
      </c>
      <c r="L1046" s="128">
        <v>46096</v>
      </c>
      <c r="M1046" s="128">
        <v>46103</v>
      </c>
      <c r="N1046" s="128">
        <v>46110</v>
      </c>
      <c r="O1046" s="5">
        <v>46117</v>
      </c>
      <c r="P1046" s="5">
        <v>46124</v>
      </c>
      <c r="Q1046" s="5">
        <v>46131</v>
      </c>
      <c r="R1046" s="5">
        <v>46138</v>
      </c>
      <c r="S1046" s="128">
        <v>46145</v>
      </c>
      <c r="T1046" s="128">
        <v>46152</v>
      </c>
      <c r="U1046" s="128">
        <v>46159</v>
      </c>
      <c r="V1046" s="128">
        <v>46166</v>
      </c>
      <c r="W1046" s="5">
        <v>46173</v>
      </c>
      <c r="X1046" s="5">
        <v>46180</v>
      </c>
      <c r="Y1046" s="5">
        <v>46187</v>
      </c>
      <c r="Z1046" s="5">
        <v>46194</v>
      </c>
      <c r="AA1046" s="128">
        <v>46201</v>
      </c>
      <c r="AB1046" s="128">
        <v>46208</v>
      </c>
      <c r="AC1046" s="128">
        <v>46215</v>
      </c>
      <c r="AD1046" s="128">
        <v>46222</v>
      </c>
      <c r="AE1046" s="128">
        <v>46229</v>
      </c>
      <c r="AF1046" s="5">
        <v>46236</v>
      </c>
      <c r="AG1046" s="5">
        <v>46243</v>
      </c>
    </row>
    <row r="1047" spans="1:33" x14ac:dyDescent="0.35">
      <c r="A1047" t="s">
        <v>1241</v>
      </c>
      <c r="B1047" s="6">
        <v>1523</v>
      </c>
      <c r="C1047" s="6">
        <v>1769</v>
      </c>
      <c r="D1047" s="6">
        <v>2265</v>
      </c>
      <c r="E1047" s="6">
        <v>2238</v>
      </c>
      <c r="F1047" s="6">
        <v>2253</v>
      </c>
      <c r="G1047" s="6">
        <v>1891</v>
      </c>
      <c r="H1047" s="6">
        <v>1393</v>
      </c>
      <c r="I1047">
        <v>984</v>
      </c>
      <c r="J1047" s="6">
        <v>1866</v>
      </c>
      <c r="K1047" s="6">
        <v>2354</v>
      </c>
      <c r="L1047" s="6">
        <v>1699</v>
      </c>
      <c r="M1047" s="6">
        <v>2587</v>
      </c>
      <c r="N1047" s="6">
        <v>1760</v>
      </c>
      <c r="O1047" s="6">
        <v>1914</v>
      </c>
      <c r="P1047" s="6">
        <v>2340</v>
      </c>
      <c r="Q1047" s="6">
        <v>2421</v>
      </c>
      <c r="R1047" s="6">
        <v>2443</v>
      </c>
      <c r="S1047" s="6">
        <v>2912</v>
      </c>
      <c r="T1047" s="6">
        <v>2740</v>
      </c>
      <c r="U1047" s="6">
        <v>2612</v>
      </c>
      <c r="V1047" s="6">
        <v>2549</v>
      </c>
      <c r="W1047" s="6">
        <v>2111</v>
      </c>
      <c r="X1047" s="6">
        <v>1923</v>
      </c>
      <c r="Y1047" s="6">
        <v>1523</v>
      </c>
      <c r="Z1047" s="6">
        <v>1746</v>
      </c>
      <c r="AA1047" s="6">
        <v>2342</v>
      </c>
      <c r="AB1047" s="6">
        <v>2125</v>
      </c>
      <c r="AC1047" s="6">
        <v>2002</v>
      </c>
      <c r="AD1047" s="6">
        <v>2265</v>
      </c>
      <c r="AE1047" s="6">
        <v>2307</v>
      </c>
      <c r="AF1047" s="6">
        <v>2036</v>
      </c>
      <c r="AG1047" s="6">
        <v>2114</v>
      </c>
    </row>
    <row r="1048" spans="1:33" x14ac:dyDescent="0.35">
      <c r="A1048" t="s">
        <v>1242</v>
      </c>
      <c r="B1048" s="3">
        <v>2.8000000000000001E-2</v>
      </c>
      <c r="C1048" s="3">
        <v>2.5000000000000001E-2</v>
      </c>
      <c r="D1048" s="3">
        <v>3.6999999999999998E-2</v>
      </c>
      <c r="E1048" s="3">
        <v>1.4999999999999999E-2</v>
      </c>
      <c r="F1048" s="3">
        <v>7.0000000000000001E-3</v>
      </c>
      <c r="G1048" s="3">
        <v>2.9000000000000001E-2</v>
      </c>
      <c r="H1048" s="3">
        <v>3.7999999999999999E-2</v>
      </c>
      <c r="I1048" s="3">
        <v>3.3000000000000002E-2</v>
      </c>
      <c r="J1048" s="3">
        <v>2.8000000000000001E-2</v>
      </c>
      <c r="K1048" s="3">
        <v>0.32500000000000001</v>
      </c>
      <c r="L1048" s="3">
        <v>0.24299999999999999</v>
      </c>
      <c r="M1048" s="3">
        <v>0.48799999999999999</v>
      </c>
      <c r="N1048" s="3">
        <v>0.307</v>
      </c>
      <c r="O1048" s="3">
        <v>8.9999999999999993E-3</v>
      </c>
      <c r="P1048" s="3">
        <v>1.0999999999999999E-2</v>
      </c>
      <c r="Q1048" s="3">
        <v>8.9999999999999993E-3</v>
      </c>
      <c r="R1048" s="3">
        <v>1.6E-2</v>
      </c>
      <c r="S1048" s="130">
        <v>0.28399999999999997</v>
      </c>
      <c r="T1048" s="130">
        <v>0.25700000000000001</v>
      </c>
      <c r="U1048" s="130">
        <v>0.25700000000000001</v>
      </c>
      <c r="V1048" s="130">
        <v>0.26800000000000002</v>
      </c>
      <c r="W1048" s="3">
        <v>1E-3</v>
      </c>
      <c r="X1048" s="3">
        <v>0</v>
      </c>
      <c r="Y1048" s="3">
        <v>5.0000000000000001E-3</v>
      </c>
      <c r="Z1048" s="3">
        <v>3.0000000000000001E-3</v>
      </c>
      <c r="AA1048" s="3">
        <v>0.57399999999999995</v>
      </c>
      <c r="AB1048" s="3">
        <v>0.54800000000000004</v>
      </c>
      <c r="AC1048" s="3">
        <v>0.61799999999999999</v>
      </c>
      <c r="AD1048" s="3">
        <v>0.7</v>
      </c>
      <c r="AE1048" s="3">
        <v>0.626</v>
      </c>
      <c r="AF1048" s="3">
        <v>8.3000000000000004E-2</v>
      </c>
      <c r="AG1048" s="3">
        <v>3.1E-2</v>
      </c>
    </row>
    <row r="1049" spans="1:33" x14ac:dyDescent="0.35">
      <c r="A1049" t="s">
        <v>1243</v>
      </c>
      <c r="B1049">
        <v>41</v>
      </c>
      <c r="C1049">
        <v>43</v>
      </c>
      <c r="D1049">
        <v>81</v>
      </c>
      <c r="E1049">
        <v>32</v>
      </c>
      <c r="F1049">
        <v>16</v>
      </c>
      <c r="G1049">
        <v>54</v>
      </c>
      <c r="H1049">
        <v>51</v>
      </c>
      <c r="I1049">
        <v>32</v>
      </c>
      <c r="J1049">
        <v>50</v>
      </c>
      <c r="K1049">
        <v>577</v>
      </c>
      <c r="L1049">
        <v>333</v>
      </c>
      <c r="M1049">
        <v>849</v>
      </c>
      <c r="N1049">
        <v>413</v>
      </c>
      <c r="O1049">
        <v>17</v>
      </c>
      <c r="P1049">
        <v>25</v>
      </c>
      <c r="Q1049">
        <v>21</v>
      </c>
      <c r="R1049">
        <v>39</v>
      </c>
      <c r="S1049">
        <v>643</v>
      </c>
      <c r="T1049">
        <v>561</v>
      </c>
      <c r="U1049">
        <v>535</v>
      </c>
      <c r="V1049">
        <v>538</v>
      </c>
      <c r="W1049">
        <v>3</v>
      </c>
      <c r="X1049">
        <v>0</v>
      </c>
      <c r="Y1049">
        <v>8</v>
      </c>
      <c r="Z1049">
        <v>5</v>
      </c>
      <c r="AA1049">
        <v>854</v>
      </c>
      <c r="AB1049">
        <v>752</v>
      </c>
      <c r="AC1049">
        <v>765</v>
      </c>
      <c r="AD1049">
        <v>933</v>
      </c>
      <c r="AE1049">
        <v>889</v>
      </c>
      <c r="AF1049">
        <v>155</v>
      </c>
      <c r="AG1049">
        <v>64</v>
      </c>
    </row>
    <row r="1050" spans="1:33" x14ac:dyDescent="0.35">
      <c r="A1050" t="s">
        <v>1244</v>
      </c>
      <c r="B1050" s="6">
        <v>1482</v>
      </c>
      <c r="C1050" s="6">
        <v>1726</v>
      </c>
      <c r="D1050" s="6">
        <v>2184</v>
      </c>
      <c r="E1050" s="6">
        <v>2206</v>
      </c>
      <c r="F1050" s="6">
        <v>2237</v>
      </c>
      <c r="G1050" s="6">
        <v>1837</v>
      </c>
      <c r="H1050" s="6">
        <v>1342</v>
      </c>
      <c r="I1050">
        <v>952</v>
      </c>
      <c r="J1050" s="6">
        <v>1816</v>
      </c>
      <c r="K1050" s="6">
        <v>1777</v>
      </c>
      <c r="L1050" s="6">
        <v>1366</v>
      </c>
      <c r="M1050" s="6">
        <v>1738</v>
      </c>
      <c r="N1050" s="6">
        <v>1347</v>
      </c>
      <c r="O1050" s="6">
        <v>1897</v>
      </c>
      <c r="P1050" s="6">
        <v>2315</v>
      </c>
      <c r="Q1050" s="6">
        <v>2400</v>
      </c>
      <c r="R1050" s="6">
        <v>2404</v>
      </c>
      <c r="S1050" s="6">
        <v>2269</v>
      </c>
      <c r="T1050" s="6">
        <v>2179</v>
      </c>
      <c r="U1050" s="6">
        <v>2077</v>
      </c>
      <c r="V1050" s="6">
        <v>2011</v>
      </c>
      <c r="W1050" s="6">
        <v>2109</v>
      </c>
      <c r="X1050" s="6">
        <v>1923</v>
      </c>
      <c r="Y1050" s="6">
        <v>1515</v>
      </c>
      <c r="Z1050" s="6">
        <v>1741</v>
      </c>
      <c r="AA1050" s="6">
        <v>1488</v>
      </c>
      <c r="AB1050" s="6">
        <v>1373</v>
      </c>
      <c r="AC1050" s="6">
        <v>1237</v>
      </c>
      <c r="AD1050" s="6">
        <v>1332</v>
      </c>
      <c r="AE1050" s="6">
        <v>1418</v>
      </c>
      <c r="AF1050" s="6">
        <v>1881</v>
      </c>
      <c r="AG1050" s="6">
        <v>2050</v>
      </c>
    </row>
    <row r="1051" spans="1:33" x14ac:dyDescent="0.35">
      <c r="A1051" t="s">
        <v>1245</v>
      </c>
      <c r="B1051" s="7">
        <v>9.74</v>
      </c>
      <c r="C1051" s="7">
        <v>9.8000000000000007</v>
      </c>
      <c r="D1051" s="7">
        <v>9.76</v>
      </c>
      <c r="E1051" s="7">
        <v>9.7799999999999994</v>
      </c>
      <c r="F1051" s="7">
        <v>9.9</v>
      </c>
      <c r="G1051" s="7">
        <v>9.77</v>
      </c>
      <c r="H1051" s="7">
        <v>9.64</v>
      </c>
      <c r="I1051" s="7">
        <v>9.6300000000000008</v>
      </c>
      <c r="J1051" s="7">
        <v>9.7100000000000009</v>
      </c>
      <c r="K1051" s="7">
        <v>9</v>
      </c>
      <c r="L1051" s="7">
        <v>8.9499999999999993</v>
      </c>
      <c r="M1051" s="7">
        <v>9</v>
      </c>
      <c r="N1051" s="7">
        <v>9.01</v>
      </c>
      <c r="O1051" s="7">
        <v>9.82</v>
      </c>
      <c r="P1051" s="7">
        <v>9.82</v>
      </c>
      <c r="Q1051" s="7">
        <v>9.7799999999999994</v>
      </c>
      <c r="R1051" s="7">
        <v>9.76</v>
      </c>
      <c r="S1051" s="7">
        <v>8.84</v>
      </c>
      <c r="T1051" s="7">
        <v>8.84</v>
      </c>
      <c r="U1051" s="7">
        <v>8.83</v>
      </c>
      <c r="V1051" s="7">
        <v>8.84</v>
      </c>
      <c r="W1051" s="7">
        <v>9.9600000000000009</v>
      </c>
      <c r="X1051" s="7">
        <v>9.98</v>
      </c>
      <c r="Y1051" s="7">
        <v>9.9499999999999993</v>
      </c>
      <c r="Z1051" s="7">
        <v>9.9600000000000009</v>
      </c>
      <c r="AA1051" s="7">
        <v>9.0399999999999991</v>
      </c>
      <c r="AB1051" s="7">
        <v>9.02</v>
      </c>
      <c r="AC1051" s="7">
        <v>9.01</v>
      </c>
      <c r="AD1051" s="7">
        <v>9.01</v>
      </c>
      <c r="AE1051" s="7">
        <v>9.02</v>
      </c>
      <c r="AF1051" s="7">
        <v>9.9</v>
      </c>
      <c r="AG1051" s="7">
        <v>9.9700000000000006</v>
      </c>
    </row>
    <row r="1052" spans="1:33" x14ac:dyDescent="0.35">
      <c r="K1052" s="6">
        <f>SUM(K1050:N1050)</f>
        <v>6228</v>
      </c>
      <c r="L1052">
        <f>SUM(K1049:N1049)</f>
        <v>2172</v>
      </c>
      <c r="S1052" s="6">
        <f>SUM(S1050:V1050)</f>
        <v>8536</v>
      </c>
      <c r="T1052">
        <f>SUM(S1049:V1049)</f>
        <v>2277</v>
      </c>
      <c r="AA1052" s="6">
        <f>SUM(AA1050:AE1050)</f>
        <v>6848</v>
      </c>
      <c r="AB1052">
        <f>SUM(AA1049:AE1049)</f>
        <v>4193</v>
      </c>
    </row>
    <row r="1053" spans="1:33" x14ac:dyDescent="0.35">
      <c r="A1053" t="s">
        <v>1254</v>
      </c>
      <c r="B1053" s="5">
        <v>46026</v>
      </c>
      <c r="C1053" s="5">
        <v>46033</v>
      </c>
      <c r="D1053" s="5">
        <v>46040</v>
      </c>
      <c r="E1053" s="5">
        <v>46047</v>
      </c>
      <c r="F1053" s="5">
        <v>46054</v>
      </c>
      <c r="G1053" s="5">
        <v>46061</v>
      </c>
      <c r="H1053" s="5">
        <v>46068</v>
      </c>
      <c r="I1053" s="5">
        <v>46075</v>
      </c>
      <c r="J1053" s="5">
        <v>46082</v>
      </c>
      <c r="K1053" s="5">
        <v>46089</v>
      </c>
      <c r="L1053" s="5">
        <v>46096</v>
      </c>
      <c r="M1053" s="5">
        <v>46103</v>
      </c>
      <c r="N1053" s="5">
        <v>46110</v>
      </c>
      <c r="O1053" s="5">
        <v>46117</v>
      </c>
      <c r="P1053" s="5">
        <v>46124</v>
      </c>
      <c r="Q1053" s="5">
        <v>46131</v>
      </c>
      <c r="R1053" s="5">
        <v>46138</v>
      </c>
      <c r="S1053" s="5">
        <v>46145</v>
      </c>
      <c r="T1053" s="5">
        <v>46152</v>
      </c>
      <c r="U1053" s="5">
        <v>46159</v>
      </c>
      <c r="V1053" s="5">
        <v>46166</v>
      </c>
      <c r="W1053" s="5">
        <v>46173</v>
      </c>
      <c r="X1053" s="5">
        <v>46180</v>
      </c>
      <c r="Y1053" s="5">
        <v>46187</v>
      </c>
      <c r="Z1053" s="5">
        <v>46194</v>
      </c>
      <c r="AA1053" s="128">
        <v>46201</v>
      </c>
      <c r="AB1053" s="128">
        <v>46208</v>
      </c>
      <c r="AC1053" s="128">
        <v>46215</v>
      </c>
      <c r="AD1053" s="128">
        <v>46222</v>
      </c>
      <c r="AE1053" s="128">
        <v>46229</v>
      </c>
      <c r="AF1053" s="5">
        <v>46236</v>
      </c>
      <c r="AG1053" s="5">
        <v>46243</v>
      </c>
    </row>
    <row r="1054" spans="1:33" x14ac:dyDescent="0.35">
      <c r="A1054" t="s">
        <v>1242</v>
      </c>
      <c r="B1054" s="3">
        <v>2.8000000000000001E-2</v>
      </c>
      <c r="C1054" s="3">
        <v>2.5000000000000001E-2</v>
      </c>
      <c r="D1054" s="3">
        <v>3.6999999999999998E-2</v>
      </c>
      <c r="E1054" s="3">
        <v>1.4999999999999999E-2</v>
      </c>
      <c r="F1054" s="3">
        <v>7.0000000000000001E-3</v>
      </c>
      <c r="G1054" s="3">
        <v>2.9000000000000001E-2</v>
      </c>
      <c r="H1054" s="3">
        <v>3.7999999999999999E-2</v>
      </c>
      <c r="I1054" s="3">
        <v>3.3000000000000002E-2</v>
      </c>
      <c r="J1054" s="3">
        <v>2.8000000000000001E-2</v>
      </c>
      <c r="K1054" s="3">
        <v>0.32500000000000001</v>
      </c>
      <c r="L1054" s="3">
        <v>0.24299999999999999</v>
      </c>
      <c r="M1054" s="3">
        <v>0.48799999999999999</v>
      </c>
      <c r="N1054" s="3">
        <v>0.307</v>
      </c>
      <c r="O1054" s="3">
        <v>8.9999999999999993E-3</v>
      </c>
      <c r="P1054" s="3">
        <v>1.0999999999999999E-2</v>
      </c>
      <c r="Q1054" s="3">
        <v>8.9999999999999993E-3</v>
      </c>
      <c r="R1054" s="3">
        <v>1.6E-2</v>
      </c>
      <c r="S1054" s="3">
        <v>0.28399999999999997</v>
      </c>
      <c r="T1054" s="3">
        <v>0.25700000000000001</v>
      </c>
      <c r="U1054" s="3">
        <v>0.25700000000000001</v>
      </c>
      <c r="V1054" s="3">
        <v>0.26800000000000002</v>
      </c>
      <c r="W1054" s="3">
        <v>1E-3</v>
      </c>
      <c r="X1054" s="3">
        <v>0</v>
      </c>
      <c r="Y1054" s="3">
        <v>5.0000000000000001E-3</v>
      </c>
      <c r="Z1054" s="3">
        <v>3.0000000000000001E-3</v>
      </c>
      <c r="AA1054" s="3">
        <v>0.57399999999999995</v>
      </c>
      <c r="AB1054" s="3">
        <v>0.54800000000000004</v>
      </c>
      <c r="AC1054" s="3">
        <v>0.61799999999999999</v>
      </c>
      <c r="AD1054" s="3">
        <v>0.7</v>
      </c>
      <c r="AE1054" s="3">
        <v>0.626</v>
      </c>
      <c r="AF1054" s="3">
        <v>8.3000000000000004E-2</v>
      </c>
      <c r="AG1054" s="3">
        <v>3.1E-2</v>
      </c>
    </row>
    <row r="1055" spans="1:33" x14ac:dyDescent="0.35">
      <c r="A1055" t="s">
        <v>1247</v>
      </c>
      <c r="B1055" s="3">
        <v>0.373</v>
      </c>
      <c r="C1055" s="3">
        <v>0.34799999999999998</v>
      </c>
      <c r="D1055" s="3">
        <v>0.158</v>
      </c>
      <c r="E1055" s="3">
        <v>0.28399999999999997</v>
      </c>
      <c r="F1055" s="3">
        <v>0.23799999999999999</v>
      </c>
      <c r="G1055" s="3">
        <v>5.8999999999999997E-2</v>
      </c>
      <c r="H1055" s="3">
        <v>7.0000000000000007E-2</v>
      </c>
      <c r="I1055" s="3">
        <v>8.1000000000000003E-2</v>
      </c>
      <c r="J1055" s="3">
        <v>8.1000000000000003E-2</v>
      </c>
      <c r="K1055" s="3">
        <v>5.5E-2</v>
      </c>
      <c r="L1055" s="3">
        <v>3.3000000000000002E-2</v>
      </c>
      <c r="M1055" s="3">
        <v>0.06</v>
      </c>
      <c r="N1055" s="3">
        <v>4.4999999999999998E-2</v>
      </c>
      <c r="O1055" s="3">
        <v>7.1999999999999995E-2</v>
      </c>
      <c r="P1055" s="3">
        <v>6.4000000000000001E-2</v>
      </c>
      <c r="Q1055" s="3">
        <v>7.9000000000000001E-2</v>
      </c>
      <c r="R1055" s="3">
        <v>7.9000000000000001E-2</v>
      </c>
      <c r="S1055" s="3">
        <v>6.5000000000000002E-2</v>
      </c>
      <c r="T1055" s="3">
        <v>5.1999999999999998E-2</v>
      </c>
      <c r="U1055" s="3">
        <v>5.8000000000000003E-2</v>
      </c>
      <c r="V1055" s="3">
        <v>5.8999999999999997E-2</v>
      </c>
      <c r="W1055" s="3">
        <v>0.109</v>
      </c>
      <c r="X1055" s="3">
        <v>0.121</v>
      </c>
      <c r="Y1055" s="3">
        <v>0.14499999999999999</v>
      </c>
      <c r="Z1055" s="3">
        <v>0.186</v>
      </c>
      <c r="AA1055" s="3">
        <v>6.4000000000000001E-2</v>
      </c>
      <c r="AB1055" s="3">
        <v>6.2E-2</v>
      </c>
      <c r="AC1055" s="3">
        <v>5.8999999999999997E-2</v>
      </c>
      <c r="AD1055" s="3">
        <v>6.4000000000000001E-2</v>
      </c>
      <c r="AE1055" s="3">
        <v>6.6000000000000003E-2</v>
      </c>
      <c r="AF1055" s="3">
        <v>3.5999999999999997E-2</v>
      </c>
      <c r="AG1055" s="3">
        <v>0.02</v>
      </c>
    </row>
    <row r="1056" spans="1:33" x14ac:dyDescent="0.35">
      <c r="A1056" t="s">
        <v>1248</v>
      </c>
      <c r="B1056" s="7">
        <v>3.69</v>
      </c>
      <c r="C1056" s="7">
        <v>3.45</v>
      </c>
      <c r="D1056" s="7">
        <v>1.56</v>
      </c>
      <c r="E1056" s="7">
        <v>2.81</v>
      </c>
      <c r="F1056" s="7">
        <v>2.37</v>
      </c>
      <c r="G1056" s="7">
        <v>0.57999999999999996</v>
      </c>
      <c r="H1056" s="7">
        <v>0.68</v>
      </c>
      <c r="I1056" s="7">
        <v>0.78</v>
      </c>
      <c r="J1056" s="7">
        <v>0.79</v>
      </c>
      <c r="K1056" s="7">
        <v>0.52</v>
      </c>
      <c r="L1056" s="7">
        <v>0.3</v>
      </c>
      <c r="M1056" s="7">
        <v>0.56999999999999995</v>
      </c>
      <c r="N1056" s="7">
        <v>0.43</v>
      </c>
      <c r="O1056" s="7">
        <v>0.71</v>
      </c>
      <c r="P1056" s="7">
        <v>0.63</v>
      </c>
      <c r="Q1056" s="7">
        <v>0.78</v>
      </c>
      <c r="R1056" s="7">
        <v>0.78</v>
      </c>
      <c r="S1056" s="7">
        <v>0.61</v>
      </c>
      <c r="T1056" s="7">
        <v>0.49</v>
      </c>
      <c r="U1056" s="7">
        <v>0.54</v>
      </c>
      <c r="V1056" s="7">
        <v>0.55000000000000004</v>
      </c>
      <c r="W1056" s="7">
        <v>1.0900000000000001</v>
      </c>
      <c r="X1056" s="7">
        <v>1.2</v>
      </c>
      <c r="Y1056" s="7">
        <v>1.45</v>
      </c>
      <c r="Z1056" s="7">
        <v>1.86</v>
      </c>
      <c r="AA1056" s="7">
        <v>0.62</v>
      </c>
      <c r="AB1056" s="7">
        <v>0.6</v>
      </c>
      <c r="AC1056" s="7">
        <v>0.56999999999999995</v>
      </c>
      <c r="AD1056" s="7">
        <v>0.62</v>
      </c>
      <c r="AE1056" s="7">
        <v>0.63</v>
      </c>
      <c r="AF1056" s="7">
        <v>0.36</v>
      </c>
      <c r="AG1056" s="7">
        <v>0.2</v>
      </c>
    </row>
    <row r="1057" spans="1:33" x14ac:dyDescent="0.35">
      <c r="A1057" t="s">
        <v>1249</v>
      </c>
      <c r="B1057" s="7">
        <v>6.21</v>
      </c>
      <c r="C1057" s="7">
        <v>6.48</v>
      </c>
      <c r="D1057" s="7">
        <v>8.31</v>
      </c>
      <c r="E1057" s="7">
        <v>7.07</v>
      </c>
      <c r="F1057" s="7">
        <v>7.58</v>
      </c>
      <c r="G1057" s="7">
        <v>9.25</v>
      </c>
      <c r="H1057" s="7">
        <v>9.0500000000000007</v>
      </c>
      <c r="I1057" s="7">
        <v>8.92</v>
      </c>
      <c r="J1057" s="7">
        <v>8.99</v>
      </c>
      <c r="K1057" s="129">
        <v>8.98</v>
      </c>
      <c r="L1057" s="129">
        <v>9</v>
      </c>
      <c r="M1057" s="129">
        <v>9</v>
      </c>
      <c r="N1057" s="129">
        <v>9</v>
      </c>
      <c r="O1057" s="7">
        <v>9.14</v>
      </c>
      <c r="P1057" s="7">
        <v>9.2100000000000009</v>
      </c>
      <c r="Q1057" s="7">
        <v>9.0299999999999994</v>
      </c>
      <c r="R1057" s="7">
        <v>9.0299999999999994</v>
      </c>
      <c r="S1057" s="129">
        <v>8.81</v>
      </c>
      <c r="T1057" s="129">
        <v>8.84</v>
      </c>
      <c r="U1057" s="129">
        <v>8.81</v>
      </c>
      <c r="V1057" s="129">
        <v>8.81</v>
      </c>
      <c r="W1057" s="7">
        <v>8.8699999999999992</v>
      </c>
      <c r="X1057" s="7">
        <v>8.7799999999999994</v>
      </c>
      <c r="Y1057" s="7">
        <v>8.52</v>
      </c>
      <c r="Z1057" s="7">
        <v>8.11</v>
      </c>
      <c r="AA1057" s="129">
        <v>9.0399999999999991</v>
      </c>
      <c r="AB1057" s="129">
        <v>9.02</v>
      </c>
      <c r="AC1057" s="129">
        <v>9.02</v>
      </c>
      <c r="AD1057" s="129">
        <v>9.02</v>
      </c>
      <c r="AE1057" s="129">
        <v>9.02</v>
      </c>
      <c r="AF1057" s="7">
        <v>9.61</v>
      </c>
      <c r="AG1057" s="7">
        <v>9.7799999999999994</v>
      </c>
    </row>
    <row r="1058" spans="1:33" x14ac:dyDescent="0.35">
      <c r="A1058" t="s">
        <v>1250</v>
      </c>
      <c r="B1058" s="7">
        <v>9.9</v>
      </c>
      <c r="C1058" s="7">
        <v>9.94</v>
      </c>
      <c r="D1058" s="7">
        <v>9.8800000000000008</v>
      </c>
      <c r="E1058" s="7">
        <v>9.8800000000000008</v>
      </c>
      <c r="F1058" s="7">
        <v>9.94</v>
      </c>
      <c r="G1058" s="7">
        <v>9.83</v>
      </c>
      <c r="H1058" s="7">
        <v>9.73</v>
      </c>
      <c r="I1058" s="7">
        <v>9.6999999999999993</v>
      </c>
      <c r="J1058" s="7">
        <v>9.7799999999999994</v>
      </c>
      <c r="K1058" s="7">
        <v>9.5</v>
      </c>
      <c r="L1058" s="7">
        <v>9.3000000000000007</v>
      </c>
      <c r="M1058" s="7">
        <v>9.58</v>
      </c>
      <c r="N1058" s="7">
        <v>9.43</v>
      </c>
      <c r="O1058" s="7">
        <v>9.85</v>
      </c>
      <c r="P1058" s="7">
        <v>9.84</v>
      </c>
      <c r="Q1058" s="7">
        <v>9.81</v>
      </c>
      <c r="R1058" s="7">
        <v>9.8000000000000007</v>
      </c>
      <c r="S1058" s="7">
        <v>9.42</v>
      </c>
      <c r="T1058" s="7">
        <v>9.32</v>
      </c>
      <c r="U1058" s="7">
        <v>9.35</v>
      </c>
      <c r="V1058" s="7">
        <v>9.3699999999999992</v>
      </c>
      <c r="W1058" s="7">
        <v>9.9600000000000009</v>
      </c>
      <c r="X1058" s="7">
        <v>9.98</v>
      </c>
      <c r="Y1058" s="7">
        <v>9.9700000000000006</v>
      </c>
      <c r="Z1058" s="7">
        <v>9.9700000000000006</v>
      </c>
      <c r="AA1058" s="7">
        <v>9.66</v>
      </c>
      <c r="AB1058" s="7">
        <v>9.61</v>
      </c>
      <c r="AC1058" s="7">
        <v>9.58</v>
      </c>
      <c r="AD1058" s="7">
        <v>9.64</v>
      </c>
      <c r="AE1058" s="7">
        <v>9.65</v>
      </c>
      <c r="AF1058" s="7">
        <v>9.9700000000000006</v>
      </c>
      <c r="AG1058" s="7">
        <v>9.98</v>
      </c>
    </row>
    <row r="1059" spans="1:33" x14ac:dyDescent="0.35">
      <c r="A1059" t="s">
        <v>1245</v>
      </c>
      <c r="B1059" s="7">
        <v>9.74</v>
      </c>
      <c r="C1059" s="7">
        <v>9.8000000000000007</v>
      </c>
      <c r="D1059" s="7">
        <v>9.76</v>
      </c>
      <c r="E1059" s="7">
        <v>9.7799999999999994</v>
      </c>
      <c r="F1059" s="7">
        <v>9.9</v>
      </c>
      <c r="G1059" s="7">
        <v>9.77</v>
      </c>
      <c r="H1059" s="7">
        <v>9.64</v>
      </c>
      <c r="I1059" s="7">
        <v>9.6300000000000008</v>
      </c>
      <c r="J1059" s="7">
        <v>9.7100000000000009</v>
      </c>
      <c r="K1059" s="7">
        <v>9</v>
      </c>
      <c r="L1059" s="7">
        <v>8.9499999999999993</v>
      </c>
      <c r="M1059" s="7">
        <v>9</v>
      </c>
      <c r="N1059" s="7">
        <v>9.01</v>
      </c>
      <c r="O1059" s="7">
        <v>9.82</v>
      </c>
      <c r="P1059" s="7">
        <v>9.82</v>
      </c>
      <c r="Q1059" s="7">
        <v>9.7799999999999994</v>
      </c>
      <c r="R1059" s="7">
        <v>9.76</v>
      </c>
      <c r="S1059" s="7">
        <v>8.84</v>
      </c>
      <c r="T1059" s="7">
        <v>8.84</v>
      </c>
      <c r="U1059" s="7">
        <v>8.83</v>
      </c>
      <c r="V1059" s="7">
        <v>8.84</v>
      </c>
      <c r="W1059" s="7">
        <v>9.9600000000000009</v>
      </c>
      <c r="X1059" s="7">
        <v>9.98</v>
      </c>
      <c r="Y1059" s="7">
        <v>9.9499999999999993</v>
      </c>
      <c r="Z1059" s="7">
        <v>9.9600000000000009</v>
      </c>
      <c r="AA1059" s="7">
        <v>9.0399999999999991</v>
      </c>
      <c r="AB1059" s="7">
        <v>9.02</v>
      </c>
      <c r="AC1059" s="7">
        <v>9.01</v>
      </c>
      <c r="AD1059" s="7">
        <v>9.01</v>
      </c>
      <c r="AE1059" s="7">
        <v>9.02</v>
      </c>
      <c r="AF1059" s="7">
        <v>9.9</v>
      </c>
      <c r="AG1059" s="7">
        <v>9.9700000000000006</v>
      </c>
    </row>
    <row r="1061" spans="1:33" ht="15.5" customHeight="1" x14ac:dyDescent="0.35"/>
    <row r="1062" spans="1:33" s="112" customFormat="1" x14ac:dyDescent="0.35"/>
    <row r="1063" spans="1:33" x14ac:dyDescent="0.35">
      <c r="A1063" s="4" t="s">
        <v>1467</v>
      </c>
    </row>
    <row r="1065" spans="1:33" x14ac:dyDescent="0.35">
      <c r="A1065" t="s">
        <v>1240</v>
      </c>
      <c r="B1065" s="5">
        <v>46026</v>
      </c>
      <c r="C1065" s="5">
        <v>46033</v>
      </c>
      <c r="D1065" s="5">
        <v>46040</v>
      </c>
      <c r="E1065" s="5">
        <v>46047</v>
      </c>
      <c r="F1065" s="5">
        <v>46054</v>
      </c>
      <c r="G1065" s="5">
        <v>46061</v>
      </c>
      <c r="H1065" s="5">
        <v>46068</v>
      </c>
      <c r="I1065" s="5">
        <v>46075</v>
      </c>
      <c r="J1065" s="5">
        <v>46082</v>
      </c>
      <c r="K1065" s="5">
        <v>46089</v>
      </c>
      <c r="L1065" s="5">
        <v>46096</v>
      </c>
      <c r="M1065" s="5">
        <v>46103</v>
      </c>
      <c r="N1065" s="5">
        <v>46110</v>
      </c>
      <c r="O1065" s="5">
        <v>46117</v>
      </c>
      <c r="P1065" s="5">
        <v>46124</v>
      </c>
      <c r="Q1065" s="5">
        <v>46131</v>
      </c>
      <c r="R1065" s="5">
        <v>46138</v>
      </c>
      <c r="S1065" s="5">
        <v>46145</v>
      </c>
      <c r="T1065" s="5">
        <v>46152</v>
      </c>
      <c r="U1065" s="5">
        <v>46159</v>
      </c>
      <c r="V1065" s="5">
        <v>46166</v>
      </c>
      <c r="W1065" s="5">
        <v>46173</v>
      </c>
      <c r="X1065" s="5">
        <v>46180</v>
      </c>
      <c r="Y1065" s="5">
        <v>46187</v>
      </c>
      <c r="Z1065" s="5">
        <v>46194</v>
      </c>
      <c r="AA1065" s="5">
        <v>46201</v>
      </c>
      <c r="AB1065" s="5">
        <v>46208</v>
      </c>
      <c r="AC1065" s="5">
        <v>46215</v>
      </c>
      <c r="AD1065" s="103">
        <v>46222</v>
      </c>
      <c r="AE1065" s="103">
        <v>46229</v>
      </c>
      <c r="AF1065" s="5">
        <v>46236</v>
      </c>
      <c r="AG1065" s="5">
        <v>46243</v>
      </c>
    </row>
    <row r="1066" spans="1:33" x14ac:dyDescent="0.35">
      <c r="A1066" t="s">
        <v>1241</v>
      </c>
      <c r="B1066">
        <v>114</v>
      </c>
      <c r="C1066">
        <v>219</v>
      </c>
      <c r="D1066">
        <v>113</v>
      </c>
      <c r="E1066">
        <v>234</v>
      </c>
      <c r="F1066">
        <v>178</v>
      </c>
      <c r="G1066">
        <v>101</v>
      </c>
      <c r="H1066">
        <v>157</v>
      </c>
      <c r="I1066">
        <v>148</v>
      </c>
      <c r="J1066">
        <v>128</v>
      </c>
      <c r="K1066">
        <v>64</v>
      </c>
      <c r="L1066">
        <v>95</v>
      </c>
      <c r="M1066">
        <v>63</v>
      </c>
      <c r="N1066">
        <v>67</v>
      </c>
      <c r="O1066">
        <v>58</v>
      </c>
      <c r="P1066">
        <v>33</v>
      </c>
      <c r="Q1066">
        <v>86</v>
      </c>
      <c r="R1066">
        <v>66</v>
      </c>
      <c r="S1066">
        <v>39</v>
      </c>
      <c r="T1066">
        <v>60</v>
      </c>
      <c r="U1066">
        <v>79</v>
      </c>
      <c r="V1066">
        <v>89</v>
      </c>
      <c r="W1066">
        <v>145</v>
      </c>
      <c r="X1066">
        <v>177</v>
      </c>
      <c r="Y1066">
        <v>146</v>
      </c>
      <c r="Z1066">
        <v>173</v>
      </c>
      <c r="AA1066">
        <v>135</v>
      </c>
      <c r="AB1066">
        <v>133</v>
      </c>
      <c r="AC1066">
        <v>168</v>
      </c>
      <c r="AD1066">
        <v>259</v>
      </c>
      <c r="AE1066">
        <v>277</v>
      </c>
      <c r="AF1066">
        <v>119</v>
      </c>
      <c r="AG1066">
        <v>138</v>
      </c>
    </row>
    <row r="1067" spans="1:33" x14ac:dyDescent="0.35">
      <c r="A1067" t="s">
        <v>1242</v>
      </c>
      <c r="B1067" s="3">
        <v>4.8000000000000001E-2</v>
      </c>
      <c r="C1067" s="3">
        <v>0</v>
      </c>
      <c r="D1067" s="3">
        <v>0</v>
      </c>
      <c r="E1067" s="3">
        <v>0.77700000000000002</v>
      </c>
      <c r="F1067" s="3">
        <v>0.44400000000000001</v>
      </c>
      <c r="G1067" s="3">
        <v>0.121</v>
      </c>
      <c r="H1067" s="3">
        <v>0</v>
      </c>
      <c r="I1067" s="3">
        <v>0</v>
      </c>
      <c r="J1067" s="3">
        <v>0</v>
      </c>
      <c r="K1067" s="3">
        <v>0</v>
      </c>
      <c r="L1067" s="3">
        <v>0</v>
      </c>
      <c r="M1067" s="3">
        <v>0</v>
      </c>
      <c r="N1067" s="3">
        <v>0</v>
      </c>
      <c r="O1067" s="3">
        <v>0</v>
      </c>
      <c r="P1067" s="3">
        <v>0</v>
      </c>
      <c r="Q1067" s="3">
        <v>0</v>
      </c>
      <c r="R1067" s="3">
        <v>0</v>
      </c>
      <c r="S1067" s="3">
        <v>0</v>
      </c>
      <c r="T1067" s="3">
        <v>0</v>
      </c>
      <c r="U1067" s="3">
        <v>0</v>
      </c>
      <c r="V1067" s="3">
        <v>0</v>
      </c>
      <c r="W1067" s="3">
        <v>0</v>
      </c>
      <c r="X1067" s="3">
        <v>0</v>
      </c>
      <c r="Y1067" s="3">
        <v>0</v>
      </c>
      <c r="Z1067" s="3">
        <v>0</v>
      </c>
      <c r="AA1067" s="3">
        <v>5.0000000000000001E-3</v>
      </c>
      <c r="AB1067" s="3">
        <v>0</v>
      </c>
      <c r="AC1067" s="3">
        <v>0</v>
      </c>
      <c r="AD1067" s="31">
        <v>0.877</v>
      </c>
      <c r="AE1067" s="31">
        <v>1.1060000000000001</v>
      </c>
      <c r="AF1067" s="3">
        <v>0</v>
      </c>
      <c r="AG1067" s="3">
        <v>0</v>
      </c>
    </row>
    <row r="1068" spans="1:33" x14ac:dyDescent="0.35">
      <c r="A1068" t="s">
        <v>1243</v>
      </c>
      <c r="B1068">
        <v>5</v>
      </c>
      <c r="C1068">
        <v>0</v>
      </c>
      <c r="D1068">
        <v>0</v>
      </c>
      <c r="E1068">
        <v>102</v>
      </c>
      <c r="F1068">
        <v>55</v>
      </c>
      <c r="G1068">
        <v>11</v>
      </c>
      <c r="H1068">
        <v>0</v>
      </c>
      <c r="I1068">
        <v>0</v>
      </c>
      <c r="J1068">
        <v>0</v>
      </c>
      <c r="K1068">
        <v>0</v>
      </c>
      <c r="L1068">
        <v>0</v>
      </c>
      <c r="M1068">
        <v>0</v>
      </c>
      <c r="N1068">
        <v>0</v>
      </c>
      <c r="O1068">
        <v>0</v>
      </c>
      <c r="P1068">
        <v>0</v>
      </c>
      <c r="Q1068">
        <v>0</v>
      </c>
      <c r="R1068">
        <v>0</v>
      </c>
      <c r="S1068">
        <v>0</v>
      </c>
      <c r="T1068">
        <v>0</v>
      </c>
      <c r="U1068">
        <v>0</v>
      </c>
      <c r="V1068">
        <v>0</v>
      </c>
      <c r="W1068">
        <v>0</v>
      </c>
      <c r="X1068">
        <v>0</v>
      </c>
      <c r="Y1068">
        <v>0</v>
      </c>
      <c r="Z1068">
        <v>0</v>
      </c>
      <c r="AA1068">
        <v>1</v>
      </c>
      <c r="AB1068">
        <v>0</v>
      </c>
      <c r="AC1068">
        <v>0</v>
      </c>
      <c r="AD1068">
        <v>121</v>
      </c>
      <c r="AE1068">
        <v>146</v>
      </c>
      <c r="AF1068">
        <v>0</v>
      </c>
      <c r="AG1068">
        <v>0</v>
      </c>
    </row>
    <row r="1069" spans="1:33" x14ac:dyDescent="0.35">
      <c r="A1069" t="s">
        <v>1244</v>
      </c>
      <c r="B1069">
        <v>109</v>
      </c>
      <c r="C1069">
        <v>219</v>
      </c>
      <c r="D1069">
        <v>113</v>
      </c>
      <c r="E1069">
        <v>132</v>
      </c>
      <c r="F1069">
        <v>123</v>
      </c>
      <c r="G1069">
        <v>90</v>
      </c>
      <c r="H1069">
        <v>157</v>
      </c>
      <c r="I1069">
        <v>148</v>
      </c>
      <c r="J1069">
        <v>128</v>
      </c>
      <c r="K1069">
        <v>64</v>
      </c>
      <c r="L1069">
        <v>95</v>
      </c>
      <c r="M1069">
        <v>63</v>
      </c>
      <c r="N1069">
        <v>67</v>
      </c>
      <c r="O1069">
        <v>58</v>
      </c>
      <c r="P1069">
        <v>33</v>
      </c>
      <c r="Q1069">
        <v>86</v>
      </c>
      <c r="R1069">
        <v>66</v>
      </c>
      <c r="S1069">
        <v>39</v>
      </c>
      <c r="T1069">
        <v>60</v>
      </c>
      <c r="U1069">
        <v>79</v>
      </c>
      <c r="V1069">
        <v>89</v>
      </c>
      <c r="W1069">
        <v>145</v>
      </c>
      <c r="X1069">
        <v>177</v>
      </c>
      <c r="Y1069">
        <v>146</v>
      </c>
      <c r="Z1069">
        <v>173</v>
      </c>
      <c r="AA1069">
        <v>134</v>
      </c>
      <c r="AB1069">
        <v>133</v>
      </c>
      <c r="AC1069">
        <v>168</v>
      </c>
      <c r="AD1069">
        <v>138</v>
      </c>
      <c r="AE1069">
        <v>132</v>
      </c>
      <c r="AF1069">
        <v>119</v>
      </c>
      <c r="AG1069">
        <v>138</v>
      </c>
    </row>
    <row r="1070" spans="1:33" x14ac:dyDescent="0.35">
      <c r="A1070" t="s">
        <v>1245</v>
      </c>
      <c r="B1070" s="7">
        <v>2.87</v>
      </c>
      <c r="C1070" s="7">
        <v>2.67</v>
      </c>
      <c r="D1070" s="7">
        <v>2.98</v>
      </c>
      <c r="E1070" s="7">
        <v>2.2400000000000002</v>
      </c>
      <c r="F1070" s="7">
        <v>2.56</v>
      </c>
      <c r="G1070" s="7">
        <v>2.42</v>
      </c>
      <c r="H1070" s="7">
        <v>2.5299999999999998</v>
      </c>
      <c r="I1070" s="7">
        <v>2.41</v>
      </c>
      <c r="J1070" s="7">
        <v>2.87</v>
      </c>
      <c r="K1070" s="7">
        <v>2.99</v>
      </c>
      <c r="L1070" s="7">
        <v>2.99</v>
      </c>
      <c r="M1070" s="7">
        <v>2.99</v>
      </c>
      <c r="N1070" s="7">
        <v>2.99</v>
      </c>
      <c r="O1070" s="7">
        <v>2.94</v>
      </c>
      <c r="P1070" s="7">
        <v>2.99</v>
      </c>
      <c r="Q1070" s="7">
        <v>2.96</v>
      </c>
      <c r="R1070" s="7">
        <v>2.99</v>
      </c>
      <c r="S1070" s="7">
        <v>2.99</v>
      </c>
      <c r="T1070" s="7">
        <v>2.99</v>
      </c>
      <c r="U1070" s="7">
        <v>2.99</v>
      </c>
      <c r="V1070" s="7">
        <v>2.99</v>
      </c>
      <c r="W1070" s="7">
        <v>2.94</v>
      </c>
      <c r="X1070" s="7">
        <v>2.97</v>
      </c>
      <c r="Y1070" s="7">
        <v>2.98</v>
      </c>
      <c r="Z1070" s="7">
        <v>2.99</v>
      </c>
      <c r="AA1070" s="7">
        <v>2.98</v>
      </c>
      <c r="AB1070" s="7">
        <v>2.72</v>
      </c>
      <c r="AC1070" s="7">
        <v>2.98</v>
      </c>
      <c r="AD1070" s="7">
        <v>2.1</v>
      </c>
      <c r="AE1070" s="7">
        <v>2.02</v>
      </c>
      <c r="AF1070" s="7">
        <v>2.99</v>
      </c>
      <c r="AG1070" s="7">
        <v>2.99</v>
      </c>
    </row>
    <row r="1071" spans="1:33" x14ac:dyDescent="0.35">
      <c r="AD1071">
        <f>SUM(AD1069:AE1069)</f>
        <v>270</v>
      </c>
      <c r="AE1071">
        <f>SUM(AD1068:AE1068)</f>
        <v>267</v>
      </c>
    </row>
    <row r="1072" spans="1:33" x14ac:dyDescent="0.35">
      <c r="A1072" t="s">
        <v>1240</v>
      </c>
      <c r="B1072" s="5">
        <v>46026</v>
      </c>
      <c r="C1072" s="5">
        <v>46033</v>
      </c>
      <c r="D1072" s="5">
        <v>46040</v>
      </c>
      <c r="E1072" s="5">
        <v>46047</v>
      </c>
      <c r="F1072" s="5">
        <v>46054</v>
      </c>
      <c r="G1072" s="5">
        <v>46061</v>
      </c>
      <c r="H1072" s="5">
        <v>46068</v>
      </c>
      <c r="I1072" s="5">
        <v>46075</v>
      </c>
      <c r="J1072" s="5">
        <v>46082</v>
      </c>
      <c r="K1072" s="5">
        <v>46089</v>
      </c>
      <c r="L1072" s="5">
        <v>46096</v>
      </c>
      <c r="M1072" s="5">
        <v>46103</v>
      </c>
      <c r="N1072" s="5">
        <v>46110</v>
      </c>
      <c r="O1072" s="5">
        <v>46117</v>
      </c>
      <c r="P1072" s="5">
        <v>46124</v>
      </c>
      <c r="Q1072" s="5">
        <v>46131</v>
      </c>
      <c r="R1072" s="5">
        <v>46138</v>
      </c>
      <c r="S1072" s="5">
        <v>46145</v>
      </c>
      <c r="T1072" s="5">
        <v>46152</v>
      </c>
      <c r="U1072" s="5">
        <v>46159</v>
      </c>
      <c r="V1072" s="5">
        <v>46166</v>
      </c>
      <c r="W1072" s="5">
        <v>46173</v>
      </c>
      <c r="X1072" s="5">
        <v>46180</v>
      </c>
      <c r="Y1072" s="5">
        <v>46187</v>
      </c>
      <c r="Z1072" s="5">
        <v>46194</v>
      </c>
      <c r="AA1072" s="5">
        <v>46201</v>
      </c>
      <c r="AB1072" s="5">
        <v>46208</v>
      </c>
      <c r="AC1072" s="5">
        <v>46215</v>
      </c>
      <c r="AD1072" s="5">
        <v>46222</v>
      </c>
      <c r="AE1072" s="5">
        <v>46229</v>
      </c>
      <c r="AF1072" s="5">
        <v>46236</v>
      </c>
      <c r="AG1072" s="5">
        <v>46243</v>
      </c>
    </row>
    <row r="1073" spans="1:33" x14ac:dyDescent="0.35">
      <c r="A1073" t="s">
        <v>1242</v>
      </c>
      <c r="B1073" s="3">
        <v>4.8000000000000001E-2</v>
      </c>
      <c r="C1073" s="3">
        <v>0</v>
      </c>
      <c r="D1073" s="3">
        <v>0</v>
      </c>
      <c r="E1073" s="3">
        <v>0.77700000000000002</v>
      </c>
      <c r="F1073" s="3">
        <v>0.44400000000000001</v>
      </c>
      <c r="G1073" s="3">
        <v>0.121</v>
      </c>
      <c r="H1073" s="3">
        <v>0</v>
      </c>
      <c r="I1073" s="3">
        <v>0</v>
      </c>
      <c r="J1073" s="3">
        <v>0</v>
      </c>
      <c r="K1073" s="3">
        <v>0</v>
      </c>
      <c r="L1073" s="3">
        <v>0</v>
      </c>
      <c r="M1073" s="3">
        <v>0</v>
      </c>
      <c r="N1073" s="3">
        <v>0</v>
      </c>
      <c r="O1073" s="3">
        <v>0</v>
      </c>
      <c r="P1073" s="3">
        <v>0</v>
      </c>
      <c r="Q1073" s="3">
        <v>0</v>
      </c>
      <c r="R1073" s="3">
        <v>0</v>
      </c>
      <c r="S1073" s="3">
        <v>0</v>
      </c>
      <c r="T1073" s="3">
        <v>0</v>
      </c>
      <c r="U1073" s="3">
        <v>0</v>
      </c>
      <c r="V1073" s="3">
        <v>0</v>
      </c>
      <c r="W1073" s="3">
        <v>0</v>
      </c>
      <c r="X1073" s="3">
        <v>0</v>
      </c>
      <c r="Y1073" s="3">
        <v>0</v>
      </c>
      <c r="Z1073" s="3">
        <v>0</v>
      </c>
      <c r="AA1073" s="3">
        <v>5.0000000000000001E-3</v>
      </c>
      <c r="AB1073" s="3">
        <v>0</v>
      </c>
      <c r="AC1073" s="3">
        <v>0</v>
      </c>
      <c r="AD1073" s="3">
        <v>0.877</v>
      </c>
      <c r="AE1073" s="3">
        <v>1.1060000000000001</v>
      </c>
      <c r="AF1073" s="3">
        <v>0</v>
      </c>
      <c r="AG1073" s="3">
        <v>0</v>
      </c>
    </row>
    <row r="1074" spans="1:33" x14ac:dyDescent="0.35">
      <c r="A1074" t="s">
        <v>1247</v>
      </c>
      <c r="B1074" s="3">
        <v>0.499</v>
      </c>
      <c r="C1074" s="3">
        <v>-0.121</v>
      </c>
      <c r="D1074" t="s">
        <v>1272</v>
      </c>
      <c r="E1074" s="3">
        <v>0.312</v>
      </c>
      <c r="F1074" s="3">
        <v>0.318</v>
      </c>
      <c r="G1074" s="3">
        <v>0.27800000000000002</v>
      </c>
      <c r="H1074" s="3">
        <v>0.41099999999999998</v>
      </c>
      <c r="I1074" s="3">
        <v>0.38200000000000001</v>
      </c>
      <c r="J1074" s="3">
        <v>0.48099999999999998</v>
      </c>
      <c r="K1074" t="s">
        <v>1272</v>
      </c>
      <c r="L1074" t="s">
        <v>1272</v>
      </c>
      <c r="M1074" t="s">
        <v>1272</v>
      </c>
      <c r="N1074" t="s">
        <v>1272</v>
      </c>
      <c r="O1074" t="s">
        <v>1272</v>
      </c>
      <c r="P1074" t="s">
        <v>1272</v>
      </c>
      <c r="Q1074" t="s">
        <v>1272</v>
      </c>
      <c r="R1074" t="s">
        <v>1272</v>
      </c>
      <c r="S1074" t="s">
        <v>1272</v>
      </c>
      <c r="T1074" t="s">
        <v>1272</v>
      </c>
      <c r="U1074" t="s">
        <v>1272</v>
      </c>
      <c r="V1074" t="s">
        <v>1272</v>
      </c>
      <c r="W1074" t="s">
        <v>1272</v>
      </c>
      <c r="X1074" t="s">
        <v>1272</v>
      </c>
      <c r="Y1074" s="3">
        <v>7.1999999999999995E-2</v>
      </c>
      <c r="Z1074" t="s">
        <v>1272</v>
      </c>
      <c r="AA1074" s="3">
        <v>8.3000000000000004E-2</v>
      </c>
      <c r="AB1074" s="3">
        <v>-1.2E-2</v>
      </c>
      <c r="AC1074" t="s">
        <v>1272</v>
      </c>
      <c r="AD1074" s="3">
        <v>0.503</v>
      </c>
      <c r="AE1074" s="3">
        <v>0.51200000000000001</v>
      </c>
      <c r="AF1074" t="s">
        <v>1272</v>
      </c>
      <c r="AG1074" t="s">
        <v>1272</v>
      </c>
    </row>
    <row r="1075" spans="1:33" x14ac:dyDescent="0.35">
      <c r="A1075" t="s">
        <v>1248</v>
      </c>
      <c r="B1075" s="7">
        <v>1.48</v>
      </c>
      <c r="C1075" s="7">
        <v>-0.32</v>
      </c>
      <c r="D1075" t="s">
        <v>1272</v>
      </c>
      <c r="E1075" s="7">
        <v>0.89</v>
      </c>
      <c r="F1075" s="7">
        <v>0.93</v>
      </c>
      <c r="G1075" s="7">
        <v>0.7</v>
      </c>
      <c r="H1075" s="7">
        <v>1.04</v>
      </c>
      <c r="I1075" s="7">
        <v>0.92</v>
      </c>
      <c r="J1075" s="7">
        <v>1.38</v>
      </c>
      <c r="K1075" t="s">
        <v>1272</v>
      </c>
      <c r="L1075" t="s">
        <v>1272</v>
      </c>
      <c r="M1075" t="s">
        <v>1272</v>
      </c>
      <c r="N1075" t="s">
        <v>1272</v>
      </c>
      <c r="O1075" t="s">
        <v>1272</v>
      </c>
      <c r="P1075" t="s">
        <v>1272</v>
      </c>
      <c r="Q1075" t="s">
        <v>1272</v>
      </c>
      <c r="R1075" t="s">
        <v>1272</v>
      </c>
      <c r="S1075" t="s">
        <v>1272</v>
      </c>
      <c r="T1075" t="s">
        <v>1272</v>
      </c>
      <c r="U1075" t="s">
        <v>1272</v>
      </c>
      <c r="V1075" t="s">
        <v>1272</v>
      </c>
      <c r="W1075" t="s">
        <v>1272</v>
      </c>
      <c r="X1075" t="s">
        <v>1272</v>
      </c>
      <c r="Y1075" s="7">
        <v>0.21</v>
      </c>
      <c r="Z1075" t="s">
        <v>1272</v>
      </c>
      <c r="AA1075" s="7">
        <v>0.25</v>
      </c>
      <c r="AB1075" s="7">
        <v>-0.03</v>
      </c>
      <c r="AC1075" t="s">
        <v>1272</v>
      </c>
      <c r="AD1075" s="7">
        <v>1.5</v>
      </c>
      <c r="AE1075" s="7">
        <v>1.53</v>
      </c>
      <c r="AF1075" t="s">
        <v>1272</v>
      </c>
      <c r="AG1075" t="s">
        <v>1272</v>
      </c>
    </row>
    <row r="1076" spans="1:33" x14ac:dyDescent="0.35">
      <c r="A1076" t="s">
        <v>1249</v>
      </c>
      <c r="B1076" s="7">
        <v>1.49</v>
      </c>
      <c r="C1076" s="7">
        <v>2.99</v>
      </c>
      <c r="D1076" t="s">
        <v>1272</v>
      </c>
      <c r="E1076" s="7">
        <v>1.96</v>
      </c>
      <c r="F1076" s="7">
        <v>1.99</v>
      </c>
      <c r="G1076" s="7">
        <v>1.81</v>
      </c>
      <c r="H1076" s="7">
        <v>1.49</v>
      </c>
      <c r="I1076" s="7">
        <v>1.49</v>
      </c>
      <c r="J1076" s="7">
        <v>1.49</v>
      </c>
      <c r="K1076" t="s">
        <v>1272</v>
      </c>
      <c r="L1076" t="s">
        <v>1272</v>
      </c>
      <c r="M1076" t="s">
        <v>1272</v>
      </c>
      <c r="N1076" t="s">
        <v>1272</v>
      </c>
      <c r="O1076" t="s">
        <v>1272</v>
      </c>
      <c r="P1076" t="s">
        <v>1272</v>
      </c>
      <c r="Q1076" t="s">
        <v>1272</v>
      </c>
      <c r="R1076" t="s">
        <v>1272</v>
      </c>
      <c r="S1076" t="s">
        <v>1272</v>
      </c>
      <c r="T1076" t="s">
        <v>1272</v>
      </c>
      <c r="U1076" t="s">
        <v>1272</v>
      </c>
      <c r="V1076" t="s">
        <v>1272</v>
      </c>
      <c r="W1076" t="s">
        <v>1272</v>
      </c>
      <c r="X1076" t="s">
        <v>1272</v>
      </c>
      <c r="Y1076" s="7">
        <v>2.77</v>
      </c>
      <c r="Z1076" t="s">
        <v>1272</v>
      </c>
      <c r="AA1076" s="7">
        <v>2.74</v>
      </c>
      <c r="AB1076" s="7">
        <v>2.75</v>
      </c>
      <c r="AC1076" t="s">
        <v>1272</v>
      </c>
      <c r="AD1076" s="32">
        <v>1.48</v>
      </c>
      <c r="AE1076" s="32">
        <v>1.46</v>
      </c>
      <c r="AF1076" t="s">
        <v>1272</v>
      </c>
      <c r="AG1076" t="s">
        <v>1272</v>
      </c>
    </row>
    <row r="1077" spans="1:33" x14ac:dyDescent="0.35">
      <c r="A1077" t="s">
        <v>1250</v>
      </c>
      <c r="B1077" s="7">
        <v>2.97</v>
      </c>
      <c r="C1077" s="7">
        <v>2.67</v>
      </c>
      <c r="D1077" s="7">
        <v>2.98</v>
      </c>
      <c r="E1077" s="7">
        <v>2.85</v>
      </c>
      <c r="F1077" s="7">
        <v>2.92</v>
      </c>
      <c r="G1077" s="7">
        <v>2.5099999999999998</v>
      </c>
      <c r="H1077" s="7">
        <v>2.5299999999999998</v>
      </c>
      <c r="I1077" s="7">
        <v>2.41</v>
      </c>
      <c r="J1077" s="7">
        <v>2.87</v>
      </c>
      <c r="K1077" s="7">
        <v>2.99</v>
      </c>
      <c r="L1077" s="7">
        <v>2.99</v>
      </c>
      <c r="M1077" s="7">
        <v>2.99</v>
      </c>
      <c r="N1077" s="7">
        <v>2.99</v>
      </c>
      <c r="O1077" s="7">
        <v>2.94</v>
      </c>
      <c r="P1077" s="7">
        <v>2.99</v>
      </c>
      <c r="Q1077" s="7">
        <v>2.96</v>
      </c>
      <c r="R1077" s="7">
        <v>2.99</v>
      </c>
      <c r="S1077" s="7">
        <v>2.99</v>
      </c>
      <c r="T1077" s="7">
        <v>2.99</v>
      </c>
      <c r="U1077" s="7">
        <v>2.99</v>
      </c>
      <c r="V1077" s="7">
        <v>2.99</v>
      </c>
      <c r="W1077" s="7">
        <v>2.94</v>
      </c>
      <c r="X1077" s="7">
        <v>2.97</v>
      </c>
      <c r="Y1077" s="7">
        <v>2.98</v>
      </c>
      <c r="Z1077" s="7">
        <v>2.99</v>
      </c>
      <c r="AA1077" s="7">
        <v>2.99</v>
      </c>
      <c r="AB1077" s="7">
        <v>2.72</v>
      </c>
      <c r="AC1077" s="7">
        <v>2.98</v>
      </c>
      <c r="AD1077" s="7">
        <v>2.98</v>
      </c>
      <c r="AE1077" s="7">
        <v>2.99</v>
      </c>
      <c r="AF1077" s="7">
        <v>2.99</v>
      </c>
      <c r="AG1077" s="7">
        <v>2.99</v>
      </c>
    </row>
    <row r="1078" spans="1:33" x14ac:dyDescent="0.35">
      <c r="A1078" t="s">
        <v>1245</v>
      </c>
      <c r="B1078" s="7">
        <v>2.87</v>
      </c>
      <c r="C1078" s="7">
        <v>2.67</v>
      </c>
      <c r="D1078" s="7">
        <v>2.98</v>
      </c>
      <c r="E1078" s="7">
        <v>2.2400000000000002</v>
      </c>
      <c r="F1078" s="7">
        <v>2.56</v>
      </c>
      <c r="G1078" s="7">
        <v>2.42</v>
      </c>
      <c r="H1078" s="7">
        <v>2.5299999999999998</v>
      </c>
      <c r="I1078" s="7">
        <v>2.41</v>
      </c>
      <c r="J1078" s="7">
        <v>2.87</v>
      </c>
      <c r="K1078" s="7">
        <v>2.99</v>
      </c>
      <c r="L1078" s="7">
        <v>2.99</v>
      </c>
      <c r="M1078" s="7">
        <v>2.99</v>
      </c>
      <c r="N1078" s="7">
        <v>2.99</v>
      </c>
      <c r="O1078" s="7">
        <v>2.94</v>
      </c>
      <c r="P1078" s="7">
        <v>2.99</v>
      </c>
      <c r="Q1078" s="7">
        <v>2.96</v>
      </c>
      <c r="R1078" s="7">
        <v>2.99</v>
      </c>
      <c r="S1078" s="7">
        <v>2.99</v>
      </c>
      <c r="T1078" s="7">
        <v>2.99</v>
      </c>
      <c r="U1078" s="7">
        <v>2.99</v>
      </c>
      <c r="V1078" s="7">
        <v>2.99</v>
      </c>
      <c r="W1078" s="7">
        <v>2.94</v>
      </c>
      <c r="X1078" s="7">
        <v>2.97</v>
      </c>
      <c r="Y1078" s="7">
        <v>2.98</v>
      </c>
      <c r="Z1078" s="7">
        <v>2.99</v>
      </c>
      <c r="AA1078" s="7">
        <v>2.98</v>
      </c>
      <c r="AB1078" s="7">
        <v>2.72</v>
      </c>
      <c r="AC1078" s="7">
        <v>2.98</v>
      </c>
      <c r="AD1078" s="7">
        <v>2.1</v>
      </c>
      <c r="AE1078" s="7">
        <v>2.02</v>
      </c>
      <c r="AF1078" s="7">
        <v>2.99</v>
      </c>
      <c r="AG1078" s="7">
        <v>2.99</v>
      </c>
    </row>
    <row r="1081" spans="1:33" x14ac:dyDescent="0.35">
      <c r="A1081" t="s">
        <v>1254</v>
      </c>
      <c r="B1081" s="5">
        <v>46026</v>
      </c>
      <c r="C1081" s="5">
        <v>46033</v>
      </c>
      <c r="D1081" s="5">
        <v>46040</v>
      </c>
      <c r="E1081" s="5">
        <v>46047</v>
      </c>
      <c r="F1081" s="72">
        <v>46054</v>
      </c>
      <c r="G1081" s="72">
        <v>46061</v>
      </c>
      <c r="H1081" s="72">
        <v>46068</v>
      </c>
      <c r="I1081" s="72">
        <v>46075</v>
      </c>
      <c r="J1081" s="72">
        <v>46082</v>
      </c>
      <c r="K1081" s="72">
        <v>46089</v>
      </c>
      <c r="L1081" s="5">
        <v>46096</v>
      </c>
      <c r="M1081" s="72">
        <v>46103</v>
      </c>
      <c r="N1081" s="72">
        <v>46110</v>
      </c>
      <c r="O1081" s="5">
        <v>46117</v>
      </c>
      <c r="P1081" s="5">
        <v>46124</v>
      </c>
      <c r="Q1081" s="5">
        <v>46131</v>
      </c>
      <c r="R1081" s="5">
        <v>46138</v>
      </c>
      <c r="S1081" s="5">
        <v>46145</v>
      </c>
      <c r="T1081" s="5">
        <v>46152</v>
      </c>
      <c r="U1081" s="5">
        <v>46159</v>
      </c>
      <c r="V1081" s="5">
        <v>46166</v>
      </c>
      <c r="W1081" s="5">
        <v>46173</v>
      </c>
      <c r="X1081" s="5">
        <v>46180</v>
      </c>
      <c r="Y1081" s="5">
        <v>46187</v>
      </c>
      <c r="Z1081" s="5">
        <v>46194</v>
      </c>
      <c r="AA1081" s="5">
        <v>46201</v>
      </c>
      <c r="AB1081" s="5">
        <v>46208</v>
      </c>
      <c r="AC1081" s="5">
        <v>46215</v>
      </c>
      <c r="AD1081" s="5">
        <v>46222</v>
      </c>
      <c r="AE1081" s="5">
        <v>46229</v>
      </c>
      <c r="AF1081" s="5">
        <v>46236</v>
      </c>
      <c r="AG1081" s="5">
        <v>46243</v>
      </c>
    </row>
    <row r="1082" spans="1:33" x14ac:dyDescent="0.35">
      <c r="A1082" t="s">
        <v>1241</v>
      </c>
      <c r="B1082">
        <v>838</v>
      </c>
      <c r="C1082">
        <v>918</v>
      </c>
      <c r="D1082">
        <v>950</v>
      </c>
      <c r="E1082">
        <v>861</v>
      </c>
      <c r="F1082" s="6">
        <v>1420</v>
      </c>
      <c r="G1082" s="6">
        <v>1675</v>
      </c>
      <c r="H1082" s="6">
        <v>1510</v>
      </c>
      <c r="I1082" s="6">
        <v>1513</v>
      </c>
      <c r="J1082" s="6">
        <v>1733</v>
      </c>
      <c r="K1082" s="6">
        <v>1269</v>
      </c>
      <c r="L1082" s="6">
        <v>1091</v>
      </c>
      <c r="M1082" s="6">
        <v>1521</v>
      </c>
      <c r="N1082" s="6">
        <v>1550</v>
      </c>
      <c r="O1082" s="6">
        <v>1787</v>
      </c>
      <c r="P1082" s="6">
        <v>1740</v>
      </c>
      <c r="Q1082" s="6">
        <v>1719</v>
      </c>
      <c r="R1082" s="6">
        <v>1824</v>
      </c>
      <c r="S1082" s="6">
        <v>1897</v>
      </c>
      <c r="T1082" s="6">
        <v>1701</v>
      </c>
      <c r="U1082" s="6">
        <v>1630</v>
      </c>
      <c r="V1082" s="6">
        <v>1499</v>
      </c>
      <c r="W1082">
        <v>935</v>
      </c>
      <c r="X1082" s="6">
        <v>1547</v>
      </c>
      <c r="Y1082" s="6">
        <v>1504</v>
      </c>
      <c r="Z1082" s="6">
        <v>1475</v>
      </c>
      <c r="AA1082" s="6">
        <v>1202</v>
      </c>
      <c r="AB1082" s="6">
        <v>1216</v>
      </c>
      <c r="AC1082" s="6">
        <v>1306</v>
      </c>
      <c r="AD1082" s="6">
        <v>1339</v>
      </c>
      <c r="AE1082" s="6">
        <v>1223</v>
      </c>
      <c r="AF1082" s="6">
        <v>1048</v>
      </c>
      <c r="AG1082" s="6">
        <v>1077</v>
      </c>
    </row>
    <row r="1083" spans="1:33" x14ac:dyDescent="0.35">
      <c r="A1083" t="s">
        <v>1242</v>
      </c>
      <c r="B1083" s="3">
        <v>1.4E-2</v>
      </c>
      <c r="C1083" s="3">
        <v>0</v>
      </c>
      <c r="D1083" s="3">
        <v>0</v>
      </c>
      <c r="E1083" s="3">
        <v>5.0000000000000001E-3</v>
      </c>
      <c r="F1083" s="3">
        <v>0.42699999999999999</v>
      </c>
      <c r="G1083" s="3">
        <v>0.54200000000000004</v>
      </c>
      <c r="H1083" s="3">
        <v>0.44800000000000001</v>
      </c>
      <c r="I1083" s="3">
        <v>0.46800000000000003</v>
      </c>
      <c r="J1083" s="3">
        <v>0.57299999999999995</v>
      </c>
      <c r="K1083" s="3">
        <v>0.374</v>
      </c>
      <c r="L1083" s="3">
        <v>5.8999999999999997E-2</v>
      </c>
      <c r="M1083" s="60">
        <v>0.26900000000000002</v>
      </c>
      <c r="N1083" s="60">
        <v>0.27700000000000002</v>
      </c>
      <c r="O1083" s="3">
        <v>7.2999999999999995E-2</v>
      </c>
      <c r="P1083" s="3">
        <v>5.7000000000000002E-2</v>
      </c>
      <c r="Q1083" s="3">
        <v>5.1999999999999998E-2</v>
      </c>
      <c r="R1083" s="3">
        <v>6.8000000000000005E-2</v>
      </c>
      <c r="S1083" s="3">
        <v>0.23100000000000001</v>
      </c>
      <c r="T1083" s="3">
        <v>0.11</v>
      </c>
      <c r="U1083" s="3">
        <v>9.7000000000000003E-2</v>
      </c>
      <c r="V1083" s="3">
        <v>8.5999999999999993E-2</v>
      </c>
      <c r="W1083" s="3">
        <v>4.0000000000000001E-3</v>
      </c>
      <c r="X1083" s="31">
        <v>0.20499999999999999</v>
      </c>
      <c r="Y1083" s="31">
        <v>0.35</v>
      </c>
      <c r="Z1083" s="31">
        <v>0.36699999999999999</v>
      </c>
      <c r="AA1083" s="31">
        <v>0.251</v>
      </c>
      <c r="AB1083" s="31">
        <v>0.21099999999999999</v>
      </c>
      <c r="AC1083" s="31">
        <v>0.254</v>
      </c>
      <c r="AD1083" s="31">
        <v>0.19500000000000001</v>
      </c>
      <c r="AE1083" s="31">
        <v>0.13900000000000001</v>
      </c>
      <c r="AF1083" s="3">
        <v>4.3999999999999997E-2</v>
      </c>
      <c r="AG1083" s="3">
        <v>1.6E-2</v>
      </c>
    </row>
    <row r="1084" spans="1:33" x14ac:dyDescent="0.35">
      <c r="A1084" t="s">
        <v>1243</v>
      </c>
      <c r="B1084">
        <v>11</v>
      </c>
      <c r="C1084">
        <v>0</v>
      </c>
      <c r="D1084">
        <v>0</v>
      </c>
      <c r="E1084">
        <v>4</v>
      </c>
      <c r="F1084">
        <v>425</v>
      </c>
      <c r="G1084">
        <v>589</v>
      </c>
      <c r="H1084">
        <v>467</v>
      </c>
      <c r="I1084">
        <v>482</v>
      </c>
      <c r="J1084">
        <v>631</v>
      </c>
      <c r="K1084">
        <v>346</v>
      </c>
      <c r="L1084">
        <v>61</v>
      </c>
      <c r="M1084">
        <v>323</v>
      </c>
      <c r="N1084">
        <v>336</v>
      </c>
      <c r="O1084" s="29">
        <v>121</v>
      </c>
      <c r="P1084" s="29">
        <v>93</v>
      </c>
      <c r="Q1084" s="29">
        <v>84</v>
      </c>
      <c r="R1084" s="29">
        <v>116</v>
      </c>
      <c r="S1084">
        <v>356</v>
      </c>
      <c r="T1084">
        <v>169</v>
      </c>
      <c r="U1084">
        <v>144</v>
      </c>
      <c r="V1084">
        <v>118</v>
      </c>
      <c r="W1084">
        <v>4</v>
      </c>
      <c r="X1084">
        <v>264</v>
      </c>
      <c r="Y1084">
        <v>390</v>
      </c>
      <c r="Z1084">
        <v>396</v>
      </c>
      <c r="AA1084">
        <v>241</v>
      </c>
      <c r="AB1084">
        <v>212</v>
      </c>
      <c r="AC1084">
        <v>264</v>
      </c>
      <c r="AD1084">
        <v>218</v>
      </c>
      <c r="AE1084">
        <v>149</v>
      </c>
      <c r="AF1084">
        <v>44</v>
      </c>
      <c r="AG1084">
        <v>17</v>
      </c>
    </row>
    <row r="1085" spans="1:33" x14ac:dyDescent="0.35">
      <c r="A1085" t="s">
        <v>1244</v>
      </c>
      <c r="B1085">
        <v>827</v>
      </c>
      <c r="C1085">
        <v>918</v>
      </c>
      <c r="D1085">
        <v>950</v>
      </c>
      <c r="E1085">
        <v>857</v>
      </c>
      <c r="F1085">
        <v>995</v>
      </c>
      <c r="G1085" s="6">
        <v>1086</v>
      </c>
      <c r="H1085" s="6">
        <v>1043</v>
      </c>
      <c r="I1085" s="6">
        <v>1031</v>
      </c>
      <c r="J1085" s="6">
        <v>1102</v>
      </c>
      <c r="K1085">
        <v>923</v>
      </c>
      <c r="L1085" s="6">
        <v>1030</v>
      </c>
      <c r="M1085" s="67">
        <v>1198</v>
      </c>
      <c r="N1085" s="67">
        <v>1214</v>
      </c>
      <c r="O1085" s="16">
        <v>1666</v>
      </c>
      <c r="P1085" s="16">
        <v>1647</v>
      </c>
      <c r="Q1085" s="16">
        <v>1635</v>
      </c>
      <c r="R1085" s="16">
        <v>1708</v>
      </c>
      <c r="S1085" s="6">
        <v>1541</v>
      </c>
      <c r="T1085" s="6">
        <v>1532</v>
      </c>
      <c r="U1085" s="6">
        <v>1486</v>
      </c>
      <c r="V1085" s="6">
        <v>1381</v>
      </c>
      <c r="W1085">
        <v>932</v>
      </c>
      <c r="X1085" s="6">
        <v>1283</v>
      </c>
      <c r="Y1085" s="6">
        <v>1114</v>
      </c>
      <c r="Z1085" s="6">
        <v>1079</v>
      </c>
      <c r="AA1085">
        <v>961</v>
      </c>
      <c r="AB1085" s="6">
        <v>1004</v>
      </c>
      <c r="AC1085" s="6">
        <v>1042</v>
      </c>
      <c r="AD1085" s="6">
        <v>1121</v>
      </c>
      <c r="AE1085" s="6">
        <v>1074</v>
      </c>
      <c r="AF1085" s="6">
        <v>1004</v>
      </c>
      <c r="AG1085" s="6">
        <v>1061</v>
      </c>
    </row>
    <row r="1086" spans="1:33" x14ac:dyDescent="0.35">
      <c r="A1086" t="s">
        <v>1245</v>
      </c>
      <c r="B1086" s="7">
        <v>10.25</v>
      </c>
      <c r="C1086" s="7">
        <v>10.94</v>
      </c>
      <c r="D1086" s="7">
        <v>10.98</v>
      </c>
      <c r="E1086" s="7">
        <v>10.86</v>
      </c>
      <c r="F1086" s="7">
        <v>8.98</v>
      </c>
      <c r="G1086" s="7">
        <v>8.57</v>
      </c>
      <c r="H1086" s="7">
        <v>8.6</v>
      </c>
      <c r="I1086" s="7">
        <v>8.5</v>
      </c>
      <c r="J1086" s="7">
        <v>8.57</v>
      </c>
      <c r="K1086" s="7">
        <v>8.98</v>
      </c>
      <c r="L1086" s="7">
        <v>8.9700000000000006</v>
      </c>
      <c r="M1086" s="7">
        <v>9.31</v>
      </c>
      <c r="N1086" s="7">
        <v>9.27</v>
      </c>
      <c r="O1086" s="7">
        <v>10.210000000000001</v>
      </c>
      <c r="P1086" s="7">
        <v>10.050000000000001</v>
      </c>
      <c r="Q1086" s="7">
        <v>10.14</v>
      </c>
      <c r="R1086" s="7">
        <v>10.11</v>
      </c>
      <c r="S1086" s="7">
        <v>9.64</v>
      </c>
      <c r="T1086" s="7">
        <v>9.67</v>
      </c>
      <c r="U1086" s="7">
        <v>9.5399999999999991</v>
      </c>
      <c r="V1086" s="7">
        <v>9.58</v>
      </c>
      <c r="W1086" s="7">
        <v>10.9</v>
      </c>
      <c r="X1086" s="7">
        <v>9.57</v>
      </c>
      <c r="Y1086" s="7">
        <v>9</v>
      </c>
      <c r="Z1086" s="7">
        <v>8.98</v>
      </c>
      <c r="AA1086" s="7">
        <v>9</v>
      </c>
      <c r="AB1086" s="7">
        <v>8.98</v>
      </c>
      <c r="AC1086" s="7">
        <v>8.99</v>
      </c>
      <c r="AD1086" s="7">
        <v>8.9600000000000009</v>
      </c>
      <c r="AE1086" s="7">
        <v>8.9600000000000009</v>
      </c>
      <c r="AF1086" s="7">
        <v>9.93</v>
      </c>
      <c r="AG1086" s="7">
        <v>9.94</v>
      </c>
    </row>
    <row r="1087" spans="1:33" x14ac:dyDescent="0.35">
      <c r="F1087">
        <f>SUM(F1085:K1085)</f>
        <v>6180</v>
      </c>
      <c r="G1087">
        <f>SUM(F1084:K1084)</f>
        <v>2940</v>
      </c>
      <c r="M1087" s="6">
        <f>SUM(M1085:N1085)</f>
        <v>2412</v>
      </c>
      <c r="N1087">
        <f>SUM(M1084:N1084)</f>
        <v>659</v>
      </c>
      <c r="O1087">
        <f>1214*4</f>
        <v>4856</v>
      </c>
      <c r="P1087" s="6">
        <f>+SUM(O1082:R1082)-O1087</f>
        <v>2214</v>
      </c>
      <c r="X1087" s="6">
        <f>SUM(X1085:AE1085)</f>
        <v>8678</v>
      </c>
      <c r="Y1087">
        <f>SUM(X1084:AE1084)</f>
        <v>2134</v>
      </c>
    </row>
    <row r="1089" spans="1:33" x14ac:dyDescent="0.35">
      <c r="A1089" t="s">
        <v>1254</v>
      </c>
      <c r="B1089" s="5">
        <v>46026</v>
      </c>
      <c r="C1089" s="5">
        <v>46033</v>
      </c>
      <c r="D1089" s="5">
        <v>46040</v>
      </c>
      <c r="E1089" s="5">
        <v>46047</v>
      </c>
      <c r="F1089" s="5">
        <v>46054</v>
      </c>
      <c r="G1089" s="5">
        <v>46061</v>
      </c>
      <c r="H1089" s="5">
        <v>46068</v>
      </c>
      <c r="I1089" s="5">
        <v>46075</v>
      </c>
      <c r="J1089" s="5">
        <v>46082</v>
      </c>
      <c r="K1089" s="5">
        <v>46089</v>
      </c>
      <c r="L1089" s="5">
        <v>46096</v>
      </c>
      <c r="M1089" s="5">
        <v>46103</v>
      </c>
      <c r="N1089" s="5">
        <v>46110</v>
      </c>
      <c r="O1089" s="5">
        <v>46117</v>
      </c>
      <c r="P1089" s="5">
        <v>46124</v>
      </c>
      <c r="Q1089" s="5">
        <v>46131</v>
      </c>
      <c r="R1089" s="5">
        <v>46138</v>
      </c>
      <c r="S1089" s="5">
        <v>46145</v>
      </c>
      <c r="T1089" s="5">
        <v>46152</v>
      </c>
      <c r="U1089" s="5">
        <v>46159</v>
      </c>
      <c r="V1089" s="5">
        <v>46166</v>
      </c>
      <c r="W1089" s="5">
        <v>46173</v>
      </c>
      <c r="X1089" s="5">
        <v>46180</v>
      </c>
      <c r="Y1089" s="5">
        <v>46187</v>
      </c>
      <c r="Z1089" s="5">
        <v>46194</v>
      </c>
      <c r="AA1089" s="5">
        <v>46201</v>
      </c>
      <c r="AB1089" s="5">
        <v>46208</v>
      </c>
      <c r="AC1089" s="5">
        <v>46215</v>
      </c>
      <c r="AD1089" s="5">
        <v>46222</v>
      </c>
      <c r="AE1089" s="5">
        <v>46229</v>
      </c>
      <c r="AF1089" s="5">
        <v>46236</v>
      </c>
      <c r="AG1089" s="5">
        <v>46243</v>
      </c>
    </row>
    <row r="1090" spans="1:33" x14ac:dyDescent="0.35">
      <c r="A1090" t="s">
        <v>1242</v>
      </c>
      <c r="B1090" s="3">
        <v>1.4E-2</v>
      </c>
      <c r="C1090" s="3">
        <v>0</v>
      </c>
      <c r="D1090" s="3">
        <v>0</v>
      </c>
      <c r="E1090" s="3">
        <v>5.0000000000000001E-3</v>
      </c>
      <c r="F1090" s="60">
        <v>0.42699999999999999</v>
      </c>
      <c r="G1090" s="60">
        <v>0.54200000000000004</v>
      </c>
      <c r="H1090" s="60">
        <v>0.44800000000000001</v>
      </c>
      <c r="I1090" s="60">
        <v>0.46800000000000003</v>
      </c>
      <c r="J1090" s="60">
        <v>0.57299999999999995</v>
      </c>
      <c r="K1090" s="60">
        <v>0.374</v>
      </c>
      <c r="L1090" s="3">
        <v>5.8999999999999997E-2</v>
      </c>
      <c r="M1090" s="3">
        <v>0.26900000000000002</v>
      </c>
      <c r="N1090" s="3">
        <v>0.27700000000000002</v>
      </c>
      <c r="O1090" s="3">
        <v>7.2999999999999995E-2</v>
      </c>
      <c r="P1090" s="3">
        <v>5.7000000000000002E-2</v>
      </c>
      <c r="Q1090" s="3">
        <v>5.1999999999999998E-2</v>
      </c>
      <c r="R1090" s="3">
        <v>6.8000000000000005E-2</v>
      </c>
      <c r="S1090" s="3">
        <v>0.23100000000000001</v>
      </c>
      <c r="T1090" s="3">
        <v>0.11</v>
      </c>
      <c r="U1090" s="3">
        <v>9.7000000000000003E-2</v>
      </c>
      <c r="V1090" s="3">
        <v>8.5999999999999993E-2</v>
      </c>
      <c r="W1090" s="3">
        <v>4.0000000000000001E-3</v>
      </c>
      <c r="X1090" s="3">
        <v>0.20499999999999999</v>
      </c>
      <c r="Y1090" s="3">
        <v>0.35</v>
      </c>
      <c r="Z1090" s="3">
        <v>0.36699999999999999</v>
      </c>
      <c r="AA1090" s="3">
        <v>0.251</v>
      </c>
      <c r="AB1090" s="3">
        <v>0.21099999999999999</v>
      </c>
      <c r="AC1090" s="3">
        <v>0.254</v>
      </c>
      <c r="AD1090" s="3">
        <v>0.19500000000000001</v>
      </c>
      <c r="AE1090" s="3">
        <v>0.13900000000000001</v>
      </c>
      <c r="AF1090" s="3">
        <v>4.3999999999999997E-2</v>
      </c>
      <c r="AG1090" s="3">
        <v>1.6E-2</v>
      </c>
    </row>
    <row r="1091" spans="1:33" x14ac:dyDescent="0.35">
      <c r="A1091" t="s">
        <v>1247</v>
      </c>
      <c r="B1091" s="3">
        <v>0.35199999999999998</v>
      </c>
      <c r="C1091" s="3">
        <v>0.498</v>
      </c>
      <c r="D1091" t="s">
        <v>1272</v>
      </c>
      <c r="E1091" s="3">
        <v>0.309</v>
      </c>
      <c r="F1091" s="3">
        <v>9.7000000000000003E-2</v>
      </c>
      <c r="G1091" s="3">
        <v>0.153</v>
      </c>
      <c r="H1091" s="3">
        <v>0.14499999999999999</v>
      </c>
      <c r="I1091" s="3">
        <v>0.14799999999999999</v>
      </c>
      <c r="J1091" s="3">
        <v>0.16</v>
      </c>
      <c r="K1091" s="3">
        <v>0.10299999999999999</v>
      </c>
      <c r="L1091" s="3">
        <v>4.3999999999999997E-2</v>
      </c>
      <c r="M1091" s="3">
        <v>5.2999999999999999E-2</v>
      </c>
      <c r="N1091" s="3">
        <v>4.4999999999999998E-2</v>
      </c>
      <c r="O1091" s="3">
        <v>5.8000000000000003E-2</v>
      </c>
      <c r="P1091" s="3">
        <v>0.09</v>
      </c>
      <c r="Q1091" s="3">
        <v>5.1999999999999998E-2</v>
      </c>
      <c r="R1091" s="3">
        <v>6.5000000000000002E-2</v>
      </c>
      <c r="S1091" s="3">
        <v>3.5000000000000003E-2</v>
      </c>
      <c r="T1091" s="3">
        <v>3.5000000000000003E-2</v>
      </c>
      <c r="U1091" s="3">
        <v>4.9000000000000002E-2</v>
      </c>
      <c r="V1091" s="3">
        <v>4.2999999999999997E-2</v>
      </c>
      <c r="W1091" s="3">
        <v>0.312</v>
      </c>
      <c r="X1091" s="3">
        <v>6.9000000000000006E-2</v>
      </c>
      <c r="Y1091" s="3">
        <v>6.3E-2</v>
      </c>
      <c r="Z1091" s="3">
        <v>6.9000000000000006E-2</v>
      </c>
      <c r="AA1091" s="3">
        <v>5.8000000000000003E-2</v>
      </c>
      <c r="AB1091" s="3">
        <v>6.2E-2</v>
      </c>
      <c r="AC1091" s="3">
        <v>6.2E-2</v>
      </c>
      <c r="AD1091" s="3">
        <v>5.2999999999999999E-2</v>
      </c>
      <c r="AE1091" s="3">
        <v>3.4000000000000002E-2</v>
      </c>
      <c r="AF1091" s="3">
        <v>2.3E-2</v>
      </c>
      <c r="AG1091" s="3">
        <v>0.05</v>
      </c>
    </row>
    <row r="1092" spans="1:33" x14ac:dyDescent="0.35">
      <c r="A1092" t="s">
        <v>1248</v>
      </c>
      <c r="B1092" s="7">
        <v>3.63</v>
      </c>
      <c r="C1092" s="7">
        <v>5.45</v>
      </c>
      <c r="D1092" t="s">
        <v>1272</v>
      </c>
      <c r="E1092" s="7">
        <v>3.37</v>
      </c>
      <c r="F1092" s="7">
        <v>0.96</v>
      </c>
      <c r="G1092" s="7">
        <v>1.54</v>
      </c>
      <c r="H1092" s="7">
        <v>1.45</v>
      </c>
      <c r="I1092" s="7">
        <v>1.47</v>
      </c>
      <c r="J1092" s="7">
        <v>1.63</v>
      </c>
      <c r="K1092" s="7">
        <v>1.03</v>
      </c>
      <c r="L1092" s="7">
        <v>0.41</v>
      </c>
      <c r="M1092" s="7">
        <v>0.51</v>
      </c>
      <c r="N1092" s="7">
        <v>0.43</v>
      </c>
      <c r="O1092" s="7">
        <v>0.6</v>
      </c>
      <c r="P1092" s="7">
        <v>0.92</v>
      </c>
      <c r="Q1092" s="7">
        <v>0.53</v>
      </c>
      <c r="R1092" s="7">
        <v>0.67</v>
      </c>
      <c r="S1092" s="7">
        <v>0.35</v>
      </c>
      <c r="T1092" s="7">
        <v>0.34</v>
      </c>
      <c r="U1092" s="7">
        <v>0.48</v>
      </c>
      <c r="V1092" s="7">
        <v>0.43</v>
      </c>
      <c r="W1092" s="7">
        <v>3.42</v>
      </c>
      <c r="X1092" s="7">
        <v>0.69</v>
      </c>
      <c r="Y1092" s="7">
        <v>0.6</v>
      </c>
      <c r="Z1092" s="7">
        <v>0.67</v>
      </c>
      <c r="AA1092" s="7">
        <v>0.55000000000000004</v>
      </c>
      <c r="AB1092" s="7">
        <v>0.59</v>
      </c>
      <c r="AC1092" s="7">
        <v>0.59</v>
      </c>
      <c r="AD1092" s="7">
        <v>0.49</v>
      </c>
      <c r="AE1092" s="7">
        <v>0.31</v>
      </c>
      <c r="AF1092" s="7">
        <v>0.23</v>
      </c>
      <c r="AG1092" s="7">
        <v>0.5</v>
      </c>
    </row>
    <row r="1093" spans="1:33" x14ac:dyDescent="0.35">
      <c r="A1093" t="s">
        <v>1249</v>
      </c>
      <c r="B1093" s="7">
        <v>6.69</v>
      </c>
      <c r="C1093" s="7">
        <v>5.49</v>
      </c>
      <c r="D1093" t="s">
        <v>1272</v>
      </c>
      <c r="E1093" s="7">
        <v>7.54</v>
      </c>
      <c r="F1093" s="59">
        <v>8.9700000000000006</v>
      </c>
      <c r="G1093" s="59">
        <v>8.5399999999999991</v>
      </c>
      <c r="H1093" s="59">
        <v>8.56</v>
      </c>
      <c r="I1093" s="59">
        <v>8.48</v>
      </c>
      <c r="J1093" s="59">
        <v>8.5399999999999991</v>
      </c>
      <c r="K1093" s="59">
        <v>8.9499999999999993</v>
      </c>
      <c r="L1093" s="7">
        <v>8.8000000000000007</v>
      </c>
      <c r="M1093" s="59">
        <v>9.08</v>
      </c>
      <c r="N1093" s="59">
        <v>9.1199999999999992</v>
      </c>
      <c r="O1093" s="7">
        <v>9.76</v>
      </c>
      <c r="P1093" s="7">
        <v>9.27</v>
      </c>
      <c r="Q1093" s="7">
        <v>9.6999999999999993</v>
      </c>
      <c r="R1093" s="7">
        <v>9.57</v>
      </c>
      <c r="S1093" s="7">
        <v>9.56</v>
      </c>
      <c r="T1093" s="7">
        <v>9.5399999999999991</v>
      </c>
      <c r="U1093" s="7">
        <v>9.33</v>
      </c>
      <c r="V1093" s="7">
        <v>9.39</v>
      </c>
      <c r="W1093" s="7">
        <v>7.52</v>
      </c>
      <c r="X1093" s="7">
        <v>9.26</v>
      </c>
      <c r="Y1093" s="7">
        <v>8.99</v>
      </c>
      <c r="Z1093" s="7">
        <v>8.9600000000000009</v>
      </c>
      <c r="AA1093" s="7">
        <v>8.9700000000000006</v>
      </c>
      <c r="AB1093" s="7">
        <v>8.92</v>
      </c>
      <c r="AC1093" s="7">
        <v>8.94</v>
      </c>
      <c r="AD1093" s="7">
        <v>8.89</v>
      </c>
      <c r="AE1093" s="7">
        <v>8.91</v>
      </c>
      <c r="AF1093" s="7">
        <v>9.76</v>
      </c>
      <c r="AG1093" s="7">
        <v>9.4700000000000006</v>
      </c>
    </row>
    <row r="1094" spans="1:33" x14ac:dyDescent="0.35">
      <c r="A1094" t="s">
        <v>1250</v>
      </c>
      <c r="B1094" s="7">
        <v>10.33</v>
      </c>
      <c r="C1094" s="7">
        <v>10.94</v>
      </c>
      <c r="D1094" s="7">
        <v>10.98</v>
      </c>
      <c r="E1094" s="7">
        <v>10.91</v>
      </c>
      <c r="F1094" s="7">
        <v>9.93</v>
      </c>
      <c r="G1094" s="7">
        <v>10.08</v>
      </c>
      <c r="H1094" s="7">
        <v>10.01</v>
      </c>
      <c r="I1094" s="7">
        <v>9.9499999999999993</v>
      </c>
      <c r="J1094" s="7">
        <v>10.17</v>
      </c>
      <c r="K1094" s="7">
        <v>9.98</v>
      </c>
      <c r="L1094" s="7">
        <v>9.2100000000000009</v>
      </c>
      <c r="M1094" s="7">
        <v>9.58</v>
      </c>
      <c r="N1094" s="7">
        <v>9.56</v>
      </c>
      <c r="O1094" s="7">
        <v>10.36</v>
      </c>
      <c r="P1094" s="7">
        <v>10.19</v>
      </c>
      <c r="Q1094" s="7">
        <v>10.220000000000001</v>
      </c>
      <c r="R1094" s="7">
        <v>10.24</v>
      </c>
      <c r="S1094" s="7">
        <v>9.91</v>
      </c>
      <c r="T1094" s="7">
        <v>9.8800000000000008</v>
      </c>
      <c r="U1094" s="7">
        <v>9.81</v>
      </c>
      <c r="V1094" s="7">
        <v>9.82</v>
      </c>
      <c r="W1094" s="7">
        <v>10.94</v>
      </c>
      <c r="X1094" s="7">
        <v>9.9499999999999993</v>
      </c>
      <c r="Y1094" s="7">
        <v>9.59</v>
      </c>
      <c r="Z1094" s="7">
        <v>9.6199999999999992</v>
      </c>
      <c r="AA1094" s="7">
        <v>9.52</v>
      </c>
      <c r="AB1094" s="7">
        <v>9.52</v>
      </c>
      <c r="AC1094" s="7">
        <v>9.5299999999999994</v>
      </c>
      <c r="AD1094" s="7">
        <v>9.3800000000000008</v>
      </c>
      <c r="AE1094" s="7">
        <v>9.2200000000000006</v>
      </c>
      <c r="AF1094" s="7">
        <v>9.98</v>
      </c>
      <c r="AG1094" s="7">
        <v>9.9600000000000009</v>
      </c>
    </row>
    <row r="1095" spans="1:33" x14ac:dyDescent="0.35">
      <c r="A1095" t="s">
        <v>1245</v>
      </c>
      <c r="B1095" s="7">
        <v>10.25</v>
      </c>
      <c r="C1095" s="7">
        <v>10.94</v>
      </c>
      <c r="D1095" s="7">
        <v>10.98</v>
      </c>
      <c r="E1095" s="7">
        <v>10.86</v>
      </c>
      <c r="F1095" s="7">
        <v>8.98</v>
      </c>
      <c r="G1095" s="7">
        <v>8.57</v>
      </c>
      <c r="H1095" s="7">
        <v>8.6</v>
      </c>
      <c r="I1095" s="7">
        <v>8.5</v>
      </c>
      <c r="J1095" s="7">
        <v>8.57</v>
      </c>
      <c r="K1095" s="7">
        <v>8.98</v>
      </c>
      <c r="L1095" s="7">
        <v>8.9700000000000006</v>
      </c>
      <c r="M1095" s="7">
        <v>9.31</v>
      </c>
      <c r="N1095" s="7">
        <v>9.27</v>
      </c>
      <c r="O1095" s="7">
        <v>10.210000000000001</v>
      </c>
      <c r="P1095" s="7">
        <v>10.050000000000001</v>
      </c>
      <c r="Q1095" s="7">
        <v>10.14</v>
      </c>
      <c r="R1095" s="7">
        <v>10.11</v>
      </c>
      <c r="S1095" s="7">
        <v>9.64</v>
      </c>
      <c r="T1095" s="7">
        <v>9.67</v>
      </c>
      <c r="U1095" s="7">
        <v>9.5399999999999991</v>
      </c>
      <c r="V1095" s="7">
        <v>9.58</v>
      </c>
      <c r="W1095" s="7">
        <v>10.9</v>
      </c>
      <c r="X1095" s="7">
        <v>9.57</v>
      </c>
      <c r="Y1095" s="7">
        <v>9</v>
      </c>
      <c r="Z1095" s="7">
        <v>8.98</v>
      </c>
      <c r="AA1095" s="7">
        <v>9</v>
      </c>
      <c r="AB1095" s="7">
        <v>8.98</v>
      </c>
      <c r="AC1095" s="7">
        <v>8.99</v>
      </c>
      <c r="AD1095" s="7">
        <v>8.9600000000000009</v>
      </c>
      <c r="AE1095" s="7">
        <v>8.9600000000000009</v>
      </c>
      <c r="AF1095" s="7">
        <v>9.93</v>
      </c>
      <c r="AG1095" s="7">
        <v>9.94</v>
      </c>
    </row>
    <row r="1097" spans="1:33" s="112" customFormat="1" x14ac:dyDescent="0.35"/>
    <row r="1098" spans="1:33" x14ac:dyDescent="0.35">
      <c r="A1098" s="4" t="s">
        <v>1473</v>
      </c>
    </row>
    <row r="1100" spans="1:33" x14ac:dyDescent="0.35">
      <c r="A1100" t="s">
        <v>1240</v>
      </c>
      <c r="B1100" s="5">
        <v>46026</v>
      </c>
      <c r="C1100" s="5">
        <v>46033</v>
      </c>
      <c r="D1100" s="5">
        <v>46040</v>
      </c>
      <c r="E1100" s="5">
        <v>46047</v>
      </c>
      <c r="F1100" s="5">
        <v>46054</v>
      </c>
      <c r="G1100" s="5">
        <v>46061</v>
      </c>
      <c r="H1100" s="5">
        <v>46068</v>
      </c>
      <c r="I1100" s="5">
        <v>46075</v>
      </c>
      <c r="J1100" s="5">
        <v>46082</v>
      </c>
      <c r="K1100" s="5">
        <v>46089</v>
      </c>
      <c r="L1100" s="5">
        <v>46096</v>
      </c>
      <c r="M1100" s="5">
        <v>46103</v>
      </c>
      <c r="N1100" s="5">
        <v>46110</v>
      </c>
      <c r="O1100" s="5">
        <v>46117</v>
      </c>
      <c r="P1100" s="5">
        <v>46124</v>
      </c>
      <c r="Q1100" s="5">
        <v>46131</v>
      </c>
      <c r="R1100" s="5">
        <v>46138</v>
      </c>
      <c r="S1100" s="5">
        <v>46145</v>
      </c>
      <c r="T1100" s="5">
        <v>46152</v>
      </c>
      <c r="U1100" s="5">
        <v>46159</v>
      </c>
      <c r="V1100" s="5">
        <v>46166</v>
      </c>
      <c r="W1100" s="5">
        <v>46173</v>
      </c>
      <c r="X1100" s="5">
        <v>46180</v>
      </c>
      <c r="Y1100" s="5">
        <v>46187</v>
      </c>
      <c r="Z1100" s="5">
        <v>46194</v>
      </c>
      <c r="AA1100" s="5">
        <v>46201</v>
      </c>
      <c r="AB1100" s="5">
        <v>46208</v>
      </c>
      <c r="AC1100" s="5">
        <v>46215</v>
      </c>
      <c r="AD1100" s="5">
        <v>46222</v>
      </c>
      <c r="AE1100" s="5">
        <v>46229</v>
      </c>
      <c r="AF1100" s="5">
        <v>46236</v>
      </c>
      <c r="AG1100" s="5">
        <v>46243</v>
      </c>
    </row>
    <row r="1101" spans="1:33" x14ac:dyDescent="0.35">
      <c r="A1101" t="s">
        <v>1241</v>
      </c>
      <c r="B1101" s="6">
        <v>19114</v>
      </c>
      <c r="C1101" s="6">
        <v>6809</v>
      </c>
      <c r="D1101" s="6">
        <v>5152</v>
      </c>
      <c r="E1101" s="6">
        <v>4893</v>
      </c>
      <c r="F1101" s="6">
        <v>4146</v>
      </c>
      <c r="G1101" s="6">
        <v>4412</v>
      </c>
      <c r="H1101" s="6">
        <v>4180</v>
      </c>
      <c r="I1101" s="6">
        <v>3783</v>
      </c>
      <c r="J1101" s="6">
        <v>3838</v>
      </c>
      <c r="K1101" s="6">
        <v>3931</v>
      </c>
      <c r="L1101" s="6">
        <v>4202</v>
      </c>
      <c r="M1101" s="6">
        <v>4066</v>
      </c>
      <c r="N1101" s="6">
        <v>4037</v>
      </c>
      <c r="O1101" s="6">
        <v>4234</v>
      </c>
      <c r="P1101" s="6">
        <v>3443</v>
      </c>
      <c r="Q1101" s="6">
        <v>3641</v>
      </c>
      <c r="R1101" s="6">
        <v>3782</v>
      </c>
      <c r="S1101" s="6">
        <v>3671</v>
      </c>
      <c r="T1101" s="6">
        <v>3621</v>
      </c>
      <c r="U1101" s="6">
        <v>3425</v>
      </c>
      <c r="V1101" s="6">
        <v>3317</v>
      </c>
      <c r="W1101" s="6">
        <v>3294</v>
      </c>
      <c r="X1101" s="6">
        <v>4754</v>
      </c>
      <c r="Y1101" s="6">
        <v>12558</v>
      </c>
      <c r="Z1101" s="6">
        <v>24889</v>
      </c>
      <c r="AA1101" s="6">
        <v>26232</v>
      </c>
      <c r="AB1101" s="6">
        <v>26184</v>
      </c>
      <c r="AC1101" s="6">
        <v>28799</v>
      </c>
      <c r="AD1101" s="6">
        <v>29299</v>
      </c>
      <c r="AE1101" s="6">
        <v>27237</v>
      </c>
      <c r="AF1101" s="6">
        <v>27191</v>
      </c>
      <c r="AG1101" s="6">
        <v>31620</v>
      </c>
    </row>
    <row r="1102" spans="1:33" x14ac:dyDescent="0.35">
      <c r="A1102" t="s">
        <v>1242</v>
      </c>
      <c r="B1102" s="3">
        <v>0.27100000000000002</v>
      </c>
      <c r="C1102" s="3">
        <v>0.251</v>
      </c>
      <c r="D1102" s="3">
        <v>3.2000000000000001E-2</v>
      </c>
      <c r="E1102" s="3">
        <v>0.02</v>
      </c>
      <c r="F1102" s="3">
        <v>0.01</v>
      </c>
      <c r="G1102" s="3">
        <v>1.7999999999999999E-2</v>
      </c>
      <c r="H1102" s="3">
        <v>1.2999999999999999E-2</v>
      </c>
      <c r="I1102" s="3">
        <v>4.0000000000000001E-3</v>
      </c>
      <c r="J1102" s="3">
        <v>0.01</v>
      </c>
      <c r="K1102" s="3">
        <v>1.0999999999999999E-2</v>
      </c>
      <c r="L1102" s="3">
        <v>0.03</v>
      </c>
      <c r="M1102" s="3">
        <v>2.5000000000000001E-2</v>
      </c>
      <c r="N1102" s="3">
        <v>7.0000000000000001E-3</v>
      </c>
      <c r="O1102" s="3">
        <v>0.01</v>
      </c>
      <c r="P1102" s="3">
        <v>2.4E-2</v>
      </c>
      <c r="Q1102" s="3">
        <v>8.9999999999999993E-3</v>
      </c>
      <c r="R1102" s="3">
        <v>6.0000000000000001E-3</v>
      </c>
      <c r="S1102" s="3">
        <v>8.0000000000000002E-3</v>
      </c>
      <c r="T1102" s="3">
        <v>0.218</v>
      </c>
      <c r="U1102" s="3">
        <v>1.2E-2</v>
      </c>
      <c r="V1102" s="3">
        <v>5.0000000000000001E-3</v>
      </c>
      <c r="W1102" s="3">
        <v>1.0999999999999999E-2</v>
      </c>
      <c r="X1102" s="3">
        <v>0.02</v>
      </c>
      <c r="Y1102" s="3">
        <v>1.4999999999999999E-2</v>
      </c>
      <c r="Z1102" s="3">
        <v>2.1000000000000001E-2</v>
      </c>
      <c r="AA1102" s="3">
        <v>1.7999999999999999E-2</v>
      </c>
      <c r="AB1102" s="3">
        <v>0.02</v>
      </c>
      <c r="AC1102" s="3">
        <v>2.1000000000000001E-2</v>
      </c>
      <c r="AD1102" s="3">
        <v>2.8000000000000001E-2</v>
      </c>
      <c r="AE1102" s="3">
        <v>2.1000000000000001E-2</v>
      </c>
      <c r="AF1102" s="3">
        <v>1.7000000000000001E-2</v>
      </c>
      <c r="AG1102" s="3">
        <v>1.7000000000000001E-2</v>
      </c>
    </row>
    <row r="1103" spans="1:33" x14ac:dyDescent="0.35">
      <c r="A1103" t="s">
        <v>1243</v>
      </c>
      <c r="B1103" s="6">
        <v>4071</v>
      </c>
      <c r="C1103" s="6">
        <v>1367</v>
      </c>
      <c r="D1103">
        <v>161</v>
      </c>
      <c r="E1103">
        <v>96</v>
      </c>
      <c r="F1103">
        <v>42</v>
      </c>
      <c r="G1103">
        <v>80</v>
      </c>
      <c r="H1103">
        <v>52</v>
      </c>
      <c r="I1103">
        <v>13</v>
      </c>
      <c r="J1103">
        <v>39</v>
      </c>
      <c r="K1103">
        <v>43</v>
      </c>
      <c r="L1103">
        <v>123</v>
      </c>
      <c r="M1103">
        <v>99</v>
      </c>
      <c r="N1103">
        <v>29</v>
      </c>
      <c r="O1103">
        <v>42</v>
      </c>
      <c r="P1103">
        <v>79</v>
      </c>
      <c r="Q1103">
        <v>33</v>
      </c>
      <c r="R1103">
        <v>22</v>
      </c>
      <c r="S1103">
        <v>29</v>
      </c>
      <c r="T1103">
        <v>647</v>
      </c>
      <c r="U1103">
        <v>40</v>
      </c>
      <c r="V1103">
        <v>17</v>
      </c>
      <c r="W1103">
        <v>35</v>
      </c>
      <c r="X1103">
        <v>94</v>
      </c>
      <c r="Y1103">
        <v>185</v>
      </c>
      <c r="Z1103">
        <v>523</v>
      </c>
      <c r="AA1103">
        <v>462</v>
      </c>
      <c r="AB1103">
        <v>517</v>
      </c>
      <c r="AC1103">
        <v>588</v>
      </c>
      <c r="AD1103">
        <v>808</v>
      </c>
      <c r="AE1103">
        <v>566</v>
      </c>
      <c r="AF1103">
        <v>451</v>
      </c>
      <c r="AG1103">
        <v>539</v>
      </c>
    </row>
    <row r="1104" spans="1:33" x14ac:dyDescent="0.35">
      <c r="A1104" t="s">
        <v>1244</v>
      </c>
      <c r="B1104" s="6">
        <v>15042</v>
      </c>
      <c r="C1104" s="6">
        <v>5442</v>
      </c>
      <c r="D1104" s="6">
        <v>4991</v>
      </c>
      <c r="E1104" s="6">
        <v>4797</v>
      </c>
      <c r="F1104" s="6">
        <v>4104</v>
      </c>
      <c r="G1104" s="6">
        <v>4332</v>
      </c>
      <c r="H1104" s="6">
        <v>4128</v>
      </c>
      <c r="I1104" s="6">
        <v>3770</v>
      </c>
      <c r="J1104" s="6">
        <v>3799</v>
      </c>
      <c r="K1104" s="6">
        <v>3888</v>
      </c>
      <c r="L1104" s="6">
        <v>4079</v>
      </c>
      <c r="M1104" s="6">
        <v>3968</v>
      </c>
      <c r="N1104" s="6">
        <v>4008</v>
      </c>
      <c r="O1104" s="6">
        <v>4192</v>
      </c>
      <c r="P1104" s="6">
        <v>3364</v>
      </c>
      <c r="Q1104" s="6">
        <v>3608</v>
      </c>
      <c r="R1104" s="6">
        <v>3760</v>
      </c>
      <c r="S1104" s="6">
        <v>3643</v>
      </c>
      <c r="T1104" s="6">
        <v>2974</v>
      </c>
      <c r="U1104" s="6">
        <v>3385</v>
      </c>
      <c r="V1104" s="6">
        <v>3300</v>
      </c>
      <c r="W1104" s="6">
        <v>3259</v>
      </c>
      <c r="X1104" s="6">
        <v>4660</v>
      </c>
      <c r="Y1104" s="6">
        <v>12373</v>
      </c>
      <c r="Z1104" s="6">
        <v>24366</v>
      </c>
      <c r="AA1104" s="6">
        <v>25770</v>
      </c>
      <c r="AB1104" s="6">
        <v>25667</v>
      </c>
      <c r="AC1104" s="6">
        <v>28212</v>
      </c>
      <c r="AD1104" s="6">
        <v>28491</v>
      </c>
      <c r="AE1104" s="6">
        <v>26671</v>
      </c>
      <c r="AF1104" s="6">
        <v>26740</v>
      </c>
      <c r="AG1104" s="6">
        <v>31081</v>
      </c>
    </row>
    <row r="1105" spans="1:33" x14ac:dyDescent="0.35">
      <c r="A1105" t="s">
        <v>1245</v>
      </c>
      <c r="B1105" s="7">
        <v>2.09</v>
      </c>
      <c r="C1105" s="7">
        <v>2.1</v>
      </c>
      <c r="D1105" s="7">
        <v>2.33</v>
      </c>
      <c r="E1105" s="7">
        <v>2.42</v>
      </c>
      <c r="F1105" s="7">
        <v>2.4500000000000002</v>
      </c>
      <c r="G1105" s="7">
        <v>2.4500000000000002</v>
      </c>
      <c r="H1105" s="7">
        <v>2.48</v>
      </c>
      <c r="I1105" s="7">
        <v>2.4900000000000002</v>
      </c>
      <c r="J1105" s="7">
        <v>2.48</v>
      </c>
      <c r="K1105" s="7">
        <v>2.4700000000000002</v>
      </c>
      <c r="L1105" s="7">
        <v>2.5099999999999998</v>
      </c>
      <c r="M1105" s="7">
        <v>2.54</v>
      </c>
      <c r="N1105" s="7">
        <v>2.52</v>
      </c>
      <c r="O1105" s="7">
        <v>2.5299999999999998</v>
      </c>
      <c r="P1105" s="7">
        <v>2.52</v>
      </c>
      <c r="Q1105" s="7">
        <v>2.54</v>
      </c>
      <c r="R1105" s="7">
        <v>2.56</v>
      </c>
      <c r="S1105" s="7">
        <v>2.59</v>
      </c>
      <c r="T1105" s="7">
        <v>2.58</v>
      </c>
      <c r="U1105" s="7">
        <v>2.6</v>
      </c>
      <c r="V1105" s="7">
        <v>2.59</v>
      </c>
      <c r="W1105" s="7">
        <v>2.58</v>
      </c>
      <c r="X1105" s="7">
        <v>2.54</v>
      </c>
      <c r="Y1105" s="7">
        <v>2.52</v>
      </c>
      <c r="Z1105" s="7">
        <v>2.5099999999999998</v>
      </c>
      <c r="AA1105" s="7">
        <v>2.5099999999999998</v>
      </c>
      <c r="AB1105" s="7">
        <v>2.5</v>
      </c>
      <c r="AC1105" s="7">
        <v>2.5099999999999998</v>
      </c>
      <c r="AD1105" s="7">
        <v>2.5</v>
      </c>
      <c r="AE1105" s="7">
        <v>2.5</v>
      </c>
      <c r="AF1105" s="7">
        <v>2.5</v>
      </c>
      <c r="AG1105" s="7">
        <v>2.5</v>
      </c>
    </row>
    <row r="1107" spans="1:33" x14ac:dyDescent="0.35">
      <c r="A1107" t="s">
        <v>1240</v>
      </c>
      <c r="B1107" s="5">
        <v>46026</v>
      </c>
      <c r="C1107" s="5">
        <v>46033</v>
      </c>
      <c r="D1107" s="5">
        <v>46040</v>
      </c>
      <c r="E1107" s="5">
        <v>46047</v>
      </c>
      <c r="F1107" s="5">
        <v>46054</v>
      </c>
      <c r="G1107" s="5">
        <v>46061</v>
      </c>
      <c r="H1107" s="5">
        <v>46068</v>
      </c>
      <c r="I1107" s="5">
        <v>46075</v>
      </c>
      <c r="J1107" s="5">
        <v>46082</v>
      </c>
      <c r="K1107" s="5">
        <v>46089</v>
      </c>
      <c r="L1107" s="5">
        <v>46096</v>
      </c>
      <c r="M1107" s="5">
        <v>46103</v>
      </c>
      <c r="N1107" s="5">
        <v>46110</v>
      </c>
      <c r="O1107" s="5">
        <v>46117</v>
      </c>
      <c r="P1107" s="5">
        <v>46124</v>
      </c>
      <c r="Q1107" s="5">
        <v>46131</v>
      </c>
      <c r="R1107" s="5">
        <v>46138</v>
      </c>
      <c r="S1107" s="5">
        <v>46145</v>
      </c>
      <c r="T1107" s="5">
        <v>46152</v>
      </c>
      <c r="U1107" s="5">
        <v>46159</v>
      </c>
      <c r="V1107" s="5">
        <v>46166</v>
      </c>
      <c r="W1107" s="5">
        <v>46173</v>
      </c>
      <c r="X1107" s="5">
        <v>46180</v>
      </c>
      <c r="Y1107" s="5">
        <v>46187</v>
      </c>
      <c r="Z1107" s="5">
        <v>46194</v>
      </c>
      <c r="AA1107" s="5">
        <v>46201</v>
      </c>
      <c r="AB1107" s="5">
        <v>46208</v>
      </c>
      <c r="AC1107" s="5">
        <v>46215</v>
      </c>
      <c r="AD1107" s="5">
        <v>46222</v>
      </c>
      <c r="AE1107" s="5">
        <v>46229</v>
      </c>
      <c r="AF1107" s="5">
        <v>46236</v>
      </c>
      <c r="AG1107" s="5">
        <v>46243</v>
      </c>
    </row>
    <row r="1108" spans="1:33" x14ac:dyDescent="0.35">
      <c r="A1108" t="s">
        <v>1242</v>
      </c>
      <c r="B1108" s="3">
        <v>0.27100000000000002</v>
      </c>
      <c r="C1108" s="3">
        <v>0.251</v>
      </c>
      <c r="D1108" s="3">
        <v>3.2000000000000001E-2</v>
      </c>
      <c r="E1108" s="3">
        <v>0.02</v>
      </c>
      <c r="F1108" s="3">
        <v>0.01</v>
      </c>
      <c r="G1108" s="3">
        <v>1.7999999999999999E-2</v>
      </c>
      <c r="H1108" s="3">
        <v>1.2999999999999999E-2</v>
      </c>
      <c r="I1108" s="3">
        <v>4.0000000000000001E-3</v>
      </c>
      <c r="J1108" s="3">
        <v>0.01</v>
      </c>
      <c r="K1108" s="3">
        <v>1.0999999999999999E-2</v>
      </c>
      <c r="L1108" s="3">
        <v>0.03</v>
      </c>
      <c r="M1108" s="3">
        <v>2.5000000000000001E-2</v>
      </c>
      <c r="N1108" s="3">
        <v>7.0000000000000001E-3</v>
      </c>
      <c r="O1108" s="3">
        <v>0.01</v>
      </c>
      <c r="P1108" s="3">
        <v>2.4E-2</v>
      </c>
      <c r="Q1108" s="3">
        <v>8.9999999999999993E-3</v>
      </c>
      <c r="R1108" s="3">
        <v>6.0000000000000001E-3</v>
      </c>
      <c r="S1108" s="3">
        <v>8.0000000000000002E-3</v>
      </c>
      <c r="T1108" s="3">
        <v>0.218</v>
      </c>
      <c r="U1108" s="3">
        <v>1.2E-2</v>
      </c>
      <c r="V1108" s="3">
        <v>5.0000000000000001E-3</v>
      </c>
      <c r="W1108" s="3">
        <v>1.0999999999999999E-2</v>
      </c>
      <c r="X1108" s="3">
        <v>0.02</v>
      </c>
      <c r="Y1108" s="3">
        <v>1.4999999999999999E-2</v>
      </c>
      <c r="Z1108" s="3">
        <v>2.1000000000000001E-2</v>
      </c>
      <c r="AA1108" s="3">
        <v>1.7999999999999999E-2</v>
      </c>
      <c r="AB1108" s="3">
        <v>0.02</v>
      </c>
      <c r="AC1108" s="3">
        <v>2.1000000000000001E-2</v>
      </c>
      <c r="AD1108" s="3">
        <v>2.8000000000000001E-2</v>
      </c>
      <c r="AE1108" s="3">
        <v>2.1000000000000001E-2</v>
      </c>
      <c r="AF1108" s="3">
        <v>1.7000000000000001E-2</v>
      </c>
      <c r="AG1108" s="3">
        <v>1.7000000000000001E-2</v>
      </c>
    </row>
    <row r="1109" spans="1:33" x14ac:dyDescent="0.35">
      <c r="A1109" t="s">
        <v>1247</v>
      </c>
      <c r="B1109" s="3">
        <v>0.11700000000000001</v>
      </c>
      <c r="C1109" s="3">
        <v>9.4E-2</v>
      </c>
      <c r="D1109" s="3">
        <v>0.35699999999999998</v>
      </c>
      <c r="E1109" s="3">
        <v>0.34599999999999997</v>
      </c>
      <c r="F1109" s="3">
        <v>0.308</v>
      </c>
      <c r="G1109" s="3">
        <v>0.33200000000000002</v>
      </c>
      <c r="H1109" s="3">
        <v>0.30599999999999999</v>
      </c>
      <c r="I1109" s="3">
        <v>0.27600000000000002</v>
      </c>
      <c r="J1109" s="3">
        <v>0.215</v>
      </c>
      <c r="K1109" s="3">
        <v>0.16400000000000001</v>
      </c>
      <c r="L1109" s="3">
        <v>7.0000000000000007E-2</v>
      </c>
      <c r="M1109" s="3">
        <v>1.6E-2</v>
      </c>
      <c r="N1109" s="3">
        <v>0.15</v>
      </c>
      <c r="O1109" s="3">
        <v>0.126</v>
      </c>
      <c r="P1109" s="3">
        <v>0.107</v>
      </c>
      <c r="Q1109" s="3">
        <v>0.27200000000000002</v>
      </c>
      <c r="R1109" s="3">
        <v>0.13600000000000001</v>
      </c>
      <c r="S1109" s="3">
        <v>0.214</v>
      </c>
      <c r="T1109" s="3">
        <v>1.2E-2</v>
      </c>
      <c r="U1109" s="3">
        <v>0.10199999999999999</v>
      </c>
      <c r="V1109" s="3">
        <v>0.127</v>
      </c>
      <c r="W1109" s="3">
        <v>0.107</v>
      </c>
      <c r="X1109" s="3">
        <v>0.14299999999999999</v>
      </c>
      <c r="Y1109" s="3">
        <v>8.1000000000000003E-2</v>
      </c>
      <c r="Z1109" s="3">
        <v>6.7000000000000004E-2</v>
      </c>
      <c r="AA1109" s="3">
        <v>6.8000000000000005E-2</v>
      </c>
      <c r="AB1109" s="3">
        <v>7.2999999999999995E-2</v>
      </c>
      <c r="AC1109" s="3">
        <v>7.2999999999999995E-2</v>
      </c>
      <c r="AD1109" s="3">
        <v>7.6999999999999999E-2</v>
      </c>
      <c r="AE1109" s="3">
        <v>7.8E-2</v>
      </c>
      <c r="AF1109" s="3">
        <v>9.0999999999999998E-2</v>
      </c>
      <c r="AG1109" s="3">
        <v>8.3000000000000004E-2</v>
      </c>
    </row>
    <row r="1110" spans="1:33" x14ac:dyDescent="0.35">
      <c r="A1110" t="s">
        <v>1248</v>
      </c>
      <c r="B1110" s="7">
        <v>0.27</v>
      </c>
      <c r="C1110" s="7">
        <v>0.22</v>
      </c>
      <c r="D1110" s="7">
        <v>0.86</v>
      </c>
      <c r="E1110" s="7">
        <v>0.85</v>
      </c>
      <c r="F1110" s="7">
        <v>0.76</v>
      </c>
      <c r="G1110" s="7">
        <v>0.82</v>
      </c>
      <c r="H1110" s="7">
        <v>0.77</v>
      </c>
      <c r="I1110" s="7">
        <v>0.69</v>
      </c>
      <c r="J1110" s="7">
        <v>0.54</v>
      </c>
      <c r="K1110" s="7">
        <v>0.41</v>
      </c>
      <c r="L1110" s="7">
        <v>0.18</v>
      </c>
      <c r="M1110" s="7">
        <v>0.04</v>
      </c>
      <c r="N1110" s="7">
        <v>0.38</v>
      </c>
      <c r="O1110" s="7">
        <v>0.32</v>
      </c>
      <c r="P1110" s="7">
        <v>0.27</v>
      </c>
      <c r="Q1110" s="7">
        <v>0.69</v>
      </c>
      <c r="R1110" s="7">
        <v>0.35</v>
      </c>
      <c r="S1110" s="7">
        <v>0.56000000000000005</v>
      </c>
      <c r="T1110" s="7">
        <v>0.03</v>
      </c>
      <c r="U1110" s="7">
        <v>0.27</v>
      </c>
      <c r="V1110" s="7">
        <v>0.33</v>
      </c>
      <c r="W1110" s="7">
        <v>0.28000000000000003</v>
      </c>
      <c r="X1110" s="7">
        <v>0.37</v>
      </c>
      <c r="Y1110" s="7">
        <v>0.21</v>
      </c>
      <c r="Z1110" s="7">
        <v>0.17</v>
      </c>
      <c r="AA1110" s="7">
        <v>0.17</v>
      </c>
      <c r="AB1110" s="7">
        <v>0.18</v>
      </c>
      <c r="AC1110" s="7">
        <v>0.18</v>
      </c>
      <c r="AD1110" s="7">
        <v>0.19</v>
      </c>
      <c r="AE1110" s="7">
        <v>0.2</v>
      </c>
      <c r="AF1110" s="7">
        <v>0.23</v>
      </c>
      <c r="AG1110" s="7">
        <v>0.21</v>
      </c>
    </row>
    <row r="1111" spans="1:33" x14ac:dyDescent="0.35">
      <c r="A1111" t="s">
        <v>1249</v>
      </c>
      <c r="B1111" s="7">
        <v>2</v>
      </c>
      <c r="C1111" s="7">
        <v>2.09</v>
      </c>
      <c r="D1111" s="7">
        <v>1.55</v>
      </c>
      <c r="E1111" s="7">
        <v>1.61</v>
      </c>
      <c r="F1111" s="7">
        <v>1.71</v>
      </c>
      <c r="G1111" s="7">
        <v>1.66</v>
      </c>
      <c r="H1111" s="7">
        <v>1.74</v>
      </c>
      <c r="I1111" s="7">
        <v>1.81</v>
      </c>
      <c r="J1111" s="7">
        <v>1.96</v>
      </c>
      <c r="K1111" s="7">
        <v>2.0699999999999998</v>
      </c>
      <c r="L1111" s="7">
        <v>2.34</v>
      </c>
      <c r="M1111" s="7">
        <v>2.5</v>
      </c>
      <c r="N1111" s="7">
        <v>2.15</v>
      </c>
      <c r="O1111" s="7">
        <v>2.2200000000000002</v>
      </c>
      <c r="P1111" s="7">
        <v>2.27</v>
      </c>
      <c r="Q1111" s="7">
        <v>1.86</v>
      </c>
      <c r="R1111" s="7">
        <v>2.2200000000000002</v>
      </c>
      <c r="S1111" s="7">
        <v>2.0499999999999998</v>
      </c>
      <c r="T1111" s="7">
        <v>2.58</v>
      </c>
      <c r="U1111" s="7">
        <v>2.35</v>
      </c>
      <c r="V1111" s="7">
        <v>2.27</v>
      </c>
      <c r="W1111" s="7">
        <v>2.31</v>
      </c>
      <c r="X1111" s="7">
        <v>2.19</v>
      </c>
      <c r="Y1111" s="7">
        <v>2.3199999999999998</v>
      </c>
      <c r="Z1111" s="7">
        <v>2.35</v>
      </c>
      <c r="AA1111" s="7">
        <v>2.35</v>
      </c>
      <c r="AB1111" s="7">
        <v>2.33</v>
      </c>
      <c r="AC1111" s="7">
        <v>2.33</v>
      </c>
      <c r="AD1111" s="7">
        <v>2.3199999999999998</v>
      </c>
      <c r="AE1111" s="7">
        <v>2.3199999999999998</v>
      </c>
      <c r="AF1111" s="7">
        <v>2.2799999999999998</v>
      </c>
      <c r="AG1111" s="7">
        <v>2.2999999999999998</v>
      </c>
    </row>
    <row r="1112" spans="1:33" x14ac:dyDescent="0.35">
      <c r="A1112" t="s">
        <v>1250</v>
      </c>
      <c r="B1112" s="7">
        <v>2.27</v>
      </c>
      <c r="C1112" s="7">
        <v>2.2999999999999998</v>
      </c>
      <c r="D1112" s="7">
        <v>2.4</v>
      </c>
      <c r="E1112" s="7">
        <v>2.46</v>
      </c>
      <c r="F1112" s="7">
        <v>2.48</v>
      </c>
      <c r="G1112" s="7">
        <v>2.48</v>
      </c>
      <c r="H1112" s="7">
        <v>2.5</v>
      </c>
      <c r="I1112" s="7">
        <v>2.5</v>
      </c>
      <c r="J1112" s="7">
        <v>2.4900000000000002</v>
      </c>
      <c r="K1112" s="7">
        <v>2.48</v>
      </c>
      <c r="L1112" s="7">
        <v>2.52</v>
      </c>
      <c r="M1112" s="7">
        <v>2.54</v>
      </c>
      <c r="N1112" s="7">
        <v>2.5299999999999998</v>
      </c>
      <c r="O1112" s="7">
        <v>2.54</v>
      </c>
      <c r="P1112" s="7">
        <v>2.54</v>
      </c>
      <c r="Q1112" s="7">
        <v>2.5499999999999998</v>
      </c>
      <c r="R1112" s="7">
        <v>2.57</v>
      </c>
      <c r="S1112" s="7">
        <v>2.6</v>
      </c>
      <c r="T1112" s="7">
        <v>2.61</v>
      </c>
      <c r="U1112" s="7">
        <v>2.61</v>
      </c>
      <c r="V1112" s="7">
        <v>2.6</v>
      </c>
      <c r="W1112" s="7">
        <v>2.59</v>
      </c>
      <c r="X1112" s="7">
        <v>2.56</v>
      </c>
      <c r="Y1112" s="7">
        <v>2.5299999999999998</v>
      </c>
      <c r="Z1112" s="7">
        <v>2.52</v>
      </c>
      <c r="AA1112" s="7">
        <v>2.52</v>
      </c>
      <c r="AB1112" s="7">
        <v>2.5099999999999998</v>
      </c>
      <c r="AC1112" s="7">
        <v>2.52</v>
      </c>
      <c r="AD1112" s="7">
        <v>2.5099999999999998</v>
      </c>
      <c r="AE1112" s="7">
        <v>2.5099999999999998</v>
      </c>
      <c r="AF1112" s="7">
        <v>2.5099999999999998</v>
      </c>
      <c r="AG1112" s="7">
        <v>2.5099999999999998</v>
      </c>
    </row>
    <row r="1113" spans="1:33" x14ac:dyDescent="0.35">
      <c r="A1113" t="s">
        <v>1245</v>
      </c>
      <c r="B1113" s="7">
        <v>2.09</v>
      </c>
      <c r="C1113" s="7">
        <v>2.1</v>
      </c>
      <c r="D1113" s="7">
        <v>2.33</v>
      </c>
      <c r="E1113" s="7">
        <v>2.42</v>
      </c>
      <c r="F1113" s="7">
        <v>2.4500000000000002</v>
      </c>
      <c r="G1113" s="7">
        <v>2.4500000000000002</v>
      </c>
      <c r="H1113" s="7">
        <v>2.48</v>
      </c>
      <c r="I1113" s="7">
        <v>2.4900000000000002</v>
      </c>
      <c r="J1113" s="7">
        <v>2.48</v>
      </c>
      <c r="K1113" s="7">
        <v>2.4700000000000002</v>
      </c>
      <c r="L1113" s="7">
        <v>2.5099999999999998</v>
      </c>
      <c r="M1113" s="7">
        <v>2.54</v>
      </c>
      <c r="N1113" s="7">
        <v>2.52</v>
      </c>
      <c r="O1113" s="7">
        <v>2.5299999999999998</v>
      </c>
      <c r="P1113" s="7">
        <v>2.52</v>
      </c>
      <c r="Q1113" s="7">
        <v>2.54</v>
      </c>
      <c r="R1113" s="7">
        <v>2.56</v>
      </c>
      <c r="S1113" s="7">
        <v>2.59</v>
      </c>
      <c r="T1113" s="7">
        <v>2.58</v>
      </c>
      <c r="U1113" s="7">
        <v>2.6</v>
      </c>
      <c r="V1113" s="7">
        <v>2.59</v>
      </c>
      <c r="W1113" s="7">
        <v>2.58</v>
      </c>
      <c r="X1113" s="7">
        <v>2.54</v>
      </c>
      <c r="Y1113" s="7">
        <v>2.52</v>
      </c>
      <c r="Z1113" s="7">
        <v>2.5099999999999998</v>
      </c>
      <c r="AA1113" s="7">
        <v>2.5099999999999998</v>
      </c>
      <c r="AB1113" s="7">
        <v>2.5</v>
      </c>
      <c r="AC1113" s="7">
        <v>2.5099999999999998</v>
      </c>
      <c r="AD1113" s="7">
        <v>2.5</v>
      </c>
      <c r="AE1113" s="7">
        <v>2.5</v>
      </c>
      <c r="AF1113" s="7">
        <v>2.5</v>
      </c>
      <c r="AG1113" s="7">
        <v>2.5</v>
      </c>
    </row>
    <row r="1116" spans="1:33" x14ac:dyDescent="0.35">
      <c r="A1116" t="s">
        <v>1254</v>
      </c>
      <c r="B1116" s="103">
        <v>46026</v>
      </c>
      <c r="C1116" s="104">
        <v>46033</v>
      </c>
      <c r="D1116" s="103">
        <v>46040</v>
      </c>
      <c r="E1116" s="103">
        <v>46047</v>
      </c>
      <c r="F1116" s="103">
        <v>46054</v>
      </c>
      <c r="G1116" s="103">
        <v>46061</v>
      </c>
      <c r="H1116" s="103">
        <v>46068</v>
      </c>
      <c r="I1116" s="5">
        <v>46075</v>
      </c>
      <c r="J1116" s="5">
        <v>46082</v>
      </c>
      <c r="K1116" s="5">
        <v>46089</v>
      </c>
      <c r="L1116" s="5">
        <v>46096</v>
      </c>
      <c r="M1116" s="5">
        <v>46103</v>
      </c>
      <c r="N1116" s="5">
        <v>46110</v>
      </c>
      <c r="O1116" s="5">
        <v>46117</v>
      </c>
      <c r="P1116" s="5">
        <v>46124</v>
      </c>
      <c r="Q1116" s="5">
        <v>46131</v>
      </c>
      <c r="R1116" s="5">
        <v>46138</v>
      </c>
      <c r="S1116" s="5">
        <v>46145</v>
      </c>
      <c r="T1116" s="103">
        <v>46152</v>
      </c>
      <c r="U1116" s="103">
        <v>46159</v>
      </c>
      <c r="V1116" s="103">
        <v>46166</v>
      </c>
      <c r="W1116" s="103">
        <v>46173</v>
      </c>
      <c r="X1116" s="103">
        <v>46180</v>
      </c>
      <c r="Y1116" s="103">
        <v>46187</v>
      </c>
      <c r="Z1116" s="5">
        <v>46194</v>
      </c>
      <c r="AA1116" s="5">
        <v>46201</v>
      </c>
      <c r="AB1116" s="5">
        <v>46208</v>
      </c>
      <c r="AC1116" s="5">
        <v>46215</v>
      </c>
      <c r="AD1116" s="5">
        <v>46222</v>
      </c>
      <c r="AE1116" s="5">
        <v>46229</v>
      </c>
      <c r="AF1116" s="5">
        <v>46236</v>
      </c>
      <c r="AG1116" s="5">
        <v>46243</v>
      </c>
    </row>
    <row r="1117" spans="1:33" x14ac:dyDescent="0.35">
      <c r="A1117" t="s">
        <v>1241</v>
      </c>
      <c r="B1117" s="137">
        <v>176685</v>
      </c>
      <c r="C1117" s="67">
        <v>251107</v>
      </c>
      <c r="D1117" s="6">
        <v>191078</v>
      </c>
      <c r="E1117" s="6">
        <v>183879</v>
      </c>
      <c r="F1117" s="6">
        <v>143778</v>
      </c>
      <c r="G1117" s="6">
        <v>179962</v>
      </c>
      <c r="H1117" s="6">
        <v>213172</v>
      </c>
      <c r="I1117" s="6">
        <v>96543</v>
      </c>
      <c r="J1117" s="6">
        <v>75530</v>
      </c>
      <c r="K1117" s="6">
        <v>84645</v>
      </c>
      <c r="L1117" s="6">
        <v>81596</v>
      </c>
      <c r="M1117" s="6">
        <v>73797</v>
      </c>
      <c r="N1117" s="6">
        <v>85449</v>
      </c>
      <c r="O1117" s="6">
        <v>102194</v>
      </c>
      <c r="P1117" s="6">
        <v>73728</v>
      </c>
      <c r="Q1117" s="6">
        <v>79164</v>
      </c>
      <c r="R1117" s="6">
        <v>79060</v>
      </c>
      <c r="S1117" s="6">
        <v>73420</v>
      </c>
      <c r="T1117" s="137">
        <v>103207</v>
      </c>
      <c r="U1117" s="137">
        <v>99496</v>
      </c>
      <c r="V1117" s="137">
        <v>105240</v>
      </c>
      <c r="W1117" s="137">
        <v>99717</v>
      </c>
      <c r="X1117" s="137">
        <v>109751</v>
      </c>
      <c r="Y1117" s="137">
        <v>121949</v>
      </c>
      <c r="Z1117" s="6">
        <v>103516</v>
      </c>
      <c r="AA1117" s="6">
        <v>79477</v>
      </c>
      <c r="AB1117" s="6">
        <v>73587</v>
      </c>
      <c r="AC1117" s="6">
        <v>79205</v>
      </c>
      <c r="AD1117" s="6">
        <v>79426</v>
      </c>
      <c r="AE1117" s="6">
        <v>73003</v>
      </c>
      <c r="AF1117" s="6">
        <v>85391</v>
      </c>
      <c r="AG1117" s="6">
        <v>90938</v>
      </c>
    </row>
    <row r="1118" spans="1:33" x14ac:dyDescent="0.35">
      <c r="A1118" t="s">
        <v>1242</v>
      </c>
      <c r="B1118" s="31">
        <v>1.3080000000000001</v>
      </c>
      <c r="C1118" s="34">
        <v>2.1920000000000002</v>
      </c>
      <c r="D1118" s="3">
        <v>1.19</v>
      </c>
      <c r="E1118" s="3">
        <v>1.0269999999999999</v>
      </c>
      <c r="F1118" s="3">
        <v>0.82899999999999996</v>
      </c>
      <c r="G1118" s="3">
        <v>0.95799999999999996</v>
      </c>
      <c r="H1118" s="3">
        <v>1.2569999999999999</v>
      </c>
      <c r="I1118" s="3">
        <v>0.17499999999999999</v>
      </c>
      <c r="J1118" s="3">
        <v>2.7E-2</v>
      </c>
      <c r="K1118" s="3">
        <v>0.03</v>
      </c>
      <c r="L1118" s="3">
        <v>1.2E-2</v>
      </c>
      <c r="M1118" s="3">
        <v>7.0000000000000001E-3</v>
      </c>
      <c r="N1118" s="3">
        <v>0.02</v>
      </c>
      <c r="O1118" s="3">
        <v>0.11799999999999999</v>
      </c>
      <c r="P1118" s="3">
        <v>0.06</v>
      </c>
      <c r="Q1118" s="3">
        <v>5.2999999999999999E-2</v>
      </c>
      <c r="R1118" s="3">
        <v>0.05</v>
      </c>
      <c r="S1118" s="3">
        <v>3.9E-2</v>
      </c>
      <c r="T1118" s="3">
        <v>0.3</v>
      </c>
      <c r="U1118" s="3">
        <v>0.23899999999999999</v>
      </c>
      <c r="V1118" s="3">
        <v>0.314</v>
      </c>
      <c r="W1118" s="3">
        <v>0.32400000000000001</v>
      </c>
      <c r="X1118" s="3">
        <v>0.40400000000000003</v>
      </c>
      <c r="Y1118" s="3">
        <v>0.32700000000000001</v>
      </c>
      <c r="Z1118" s="3">
        <v>8.3000000000000004E-2</v>
      </c>
      <c r="AA1118" s="3">
        <v>2.1999999999999999E-2</v>
      </c>
      <c r="AB1118" s="3">
        <v>2.4E-2</v>
      </c>
      <c r="AC1118" s="3">
        <v>2.9000000000000001E-2</v>
      </c>
      <c r="AD1118" s="3">
        <v>3.4000000000000002E-2</v>
      </c>
      <c r="AE1118" s="3">
        <v>2.8000000000000001E-2</v>
      </c>
      <c r="AF1118" s="3">
        <v>0.14499999999999999</v>
      </c>
      <c r="AG1118" s="3">
        <v>0.17399999999999999</v>
      </c>
    </row>
    <row r="1119" spans="1:33" x14ac:dyDescent="0.35">
      <c r="A1119" t="s">
        <v>1243</v>
      </c>
      <c r="B1119" s="137">
        <v>100147</v>
      </c>
      <c r="C1119" s="67">
        <v>172439</v>
      </c>
      <c r="D1119" s="6">
        <v>103834</v>
      </c>
      <c r="E1119" s="6">
        <v>93146</v>
      </c>
      <c r="F1119" s="6">
        <v>65164</v>
      </c>
      <c r="G1119" s="6">
        <v>88069</v>
      </c>
      <c r="H1119" s="6">
        <v>118724</v>
      </c>
      <c r="I1119" s="6">
        <v>14396</v>
      </c>
      <c r="J1119" s="6">
        <v>1984</v>
      </c>
      <c r="K1119" s="6">
        <v>2474</v>
      </c>
      <c r="L1119">
        <v>949</v>
      </c>
      <c r="M1119">
        <v>545</v>
      </c>
      <c r="N1119" s="6">
        <v>1709</v>
      </c>
      <c r="O1119" s="6">
        <v>10773</v>
      </c>
      <c r="P1119" s="6">
        <v>4145</v>
      </c>
      <c r="Q1119" s="6">
        <v>3961</v>
      </c>
      <c r="R1119" s="6">
        <v>3740</v>
      </c>
      <c r="S1119" s="6">
        <v>2744</v>
      </c>
      <c r="T1119" s="6">
        <v>23796</v>
      </c>
      <c r="U1119" s="6">
        <v>19197</v>
      </c>
      <c r="V1119" s="6">
        <v>25125</v>
      </c>
      <c r="W1119" s="6">
        <v>24393</v>
      </c>
      <c r="X1119" s="6">
        <v>31578</v>
      </c>
      <c r="Y1119" s="6">
        <v>30043</v>
      </c>
      <c r="Z1119" s="6">
        <v>7940</v>
      </c>
      <c r="AA1119" s="6">
        <v>1734</v>
      </c>
      <c r="AB1119" s="6">
        <v>1708</v>
      </c>
      <c r="AC1119" s="6">
        <v>2202</v>
      </c>
      <c r="AD1119" s="6">
        <v>2596</v>
      </c>
      <c r="AE1119" s="6">
        <v>2019</v>
      </c>
      <c r="AF1119" s="6">
        <v>10825</v>
      </c>
      <c r="AG1119" s="6">
        <v>13501</v>
      </c>
    </row>
    <row r="1120" spans="1:33" x14ac:dyDescent="0.35">
      <c r="A1120" t="s">
        <v>1244</v>
      </c>
      <c r="B1120" s="137">
        <v>76538</v>
      </c>
      <c r="C1120" s="67">
        <v>78668</v>
      </c>
      <c r="D1120" s="6">
        <v>87244</v>
      </c>
      <c r="E1120" s="6">
        <v>90733</v>
      </c>
      <c r="F1120" s="6">
        <v>78614</v>
      </c>
      <c r="G1120" s="6">
        <v>91894</v>
      </c>
      <c r="H1120" s="6">
        <v>94448</v>
      </c>
      <c r="I1120" s="6">
        <v>82147</v>
      </c>
      <c r="J1120" s="6">
        <v>73546</v>
      </c>
      <c r="K1120" s="6">
        <v>82171</v>
      </c>
      <c r="L1120" s="6">
        <v>80647</v>
      </c>
      <c r="M1120" s="6">
        <v>73252</v>
      </c>
      <c r="N1120" s="6">
        <v>83740</v>
      </c>
      <c r="O1120" s="6">
        <v>91421</v>
      </c>
      <c r="P1120" s="6">
        <v>69583</v>
      </c>
      <c r="Q1120" s="6">
        <v>75203</v>
      </c>
      <c r="R1120" s="6">
        <v>75320</v>
      </c>
      <c r="S1120" s="6">
        <v>70676</v>
      </c>
      <c r="T1120" s="6">
        <v>79411</v>
      </c>
      <c r="U1120" s="6">
        <v>80299</v>
      </c>
      <c r="V1120" s="6">
        <v>80115</v>
      </c>
      <c r="W1120" s="6">
        <v>75324</v>
      </c>
      <c r="X1120" s="6">
        <v>78173</v>
      </c>
      <c r="Y1120" s="6">
        <v>91906</v>
      </c>
      <c r="Z1120" s="6">
        <v>95575</v>
      </c>
      <c r="AA1120" s="6">
        <v>77743</v>
      </c>
      <c r="AB1120" s="6">
        <v>71879</v>
      </c>
      <c r="AC1120" s="6">
        <v>77003</v>
      </c>
      <c r="AD1120" s="6">
        <v>76830</v>
      </c>
      <c r="AE1120" s="6">
        <v>70985</v>
      </c>
      <c r="AF1120" s="6">
        <v>74567</v>
      </c>
      <c r="AG1120" s="6">
        <v>77437</v>
      </c>
    </row>
    <row r="1121" spans="1:33" x14ac:dyDescent="0.35">
      <c r="A1121" t="s">
        <v>1245</v>
      </c>
      <c r="B1121" s="7">
        <v>8.11</v>
      </c>
      <c r="C1121" s="7">
        <v>7.54</v>
      </c>
      <c r="D1121" s="7">
        <v>8.34</v>
      </c>
      <c r="E1121" s="7">
        <v>8.3800000000000008</v>
      </c>
      <c r="F1121" s="7">
        <v>8.41</v>
      </c>
      <c r="G1121" s="7">
        <v>8.3800000000000008</v>
      </c>
      <c r="H1121" s="7">
        <v>8.41</v>
      </c>
      <c r="I1121" s="7">
        <v>8.99</v>
      </c>
      <c r="J1121" s="7">
        <v>8.92</v>
      </c>
      <c r="K1121" s="7">
        <v>8.75</v>
      </c>
      <c r="L1121" s="7">
        <v>8.83</v>
      </c>
      <c r="M1121" s="7">
        <v>8.91</v>
      </c>
      <c r="N1121" s="7">
        <v>8.9700000000000006</v>
      </c>
      <c r="O1121" s="7">
        <v>8.73</v>
      </c>
      <c r="P1121" s="7">
        <v>8.6300000000000008</v>
      </c>
      <c r="Q1121" s="7">
        <v>8.86</v>
      </c>
      <c r="R1121" s="7">
        <v>8.76</v>
      </c>
      <c r="S1121" s="7">
        <v>8.93</v>
      </c>
      <c r="T1121" s="7">
        <v>8.11</v>
      </c>
      <c r="U1121" s="7">
        <v>8.14</v>
      </c>
      <c r="V1121" s="7">
        <v>8.1199999999999992</v>
      </c>
      <c r="W1121" s="7">
        <v>8.1300000000000008</v>
      </c>
      <c r="X1121" s="7">
        <v>8.02</v>
      </c>
      <c r="Y1121" s="7">
        <v>8.27</v>
      </c>
      <c r="Z1121" s="7">
        <v>8.99</v>
      </c>
      <c r="AA1121" s="7">
        <v>9.02</v>
      </c>
      <c r="AB1121" s="7">
        <v>8.98</v>
      </c>
      <c r="AC1121" s="7">
        <v>9.01</v>
      </c>
      <c r="AD1121" s="7">
        <v>8.9700000000000006</v>
      </c>
      <c r="AE1121" s="7">
        <v>9.01</v>
      </c>
      <c r="AF1121" s="7">
        <v>8.66</v>
      </c>
      <c r="AG1121" s="7">
        <v>8.65</v>
      </c>
    </row>
    <row r="1122" spans="1:33" x14ac:dyDescent="0.35">
      <c r="B1122" s="6">
        <f>SUM(B1120)</f>
        <v>76538</v>
      </c>
      <c r="C1122" s="6">
        <f>SUM(B1119)</f>
        <v>100147</v>
      </c>
      <c r="D1122" s="6"/>
      <c r="E1122" s="6">
        <f>SUM(D1120:H1120)</f>
        <v>442933</v>
      </c>
      <c r="F1122" s="6">
        <f>SUM(D1119:H1119)</f>
        <v>468937</v>
      </c>
      <c r="T1122" s="6">
        <f>SUM(T1120:Y1120)</f>
        <v>485228</v>
      </c>
      <c r="U1122" s="6">
        <f>SUM(T1119:Y1119)</f>
        <v>154132</v>
      </c>
    </row>
    <row r="1123" spans="1:33" x14ac:dyDescent="0.35">
      <c r="B1123" s="6">
        <f>SUM(C1120)</f>
        <v>78668</v>
      </c>
      <c r="C1123" s="6">
        <f>SUM(C1119)</f>
        <v>172439</v>
      </c>
    </row>
    <row r="1124" spans="1:33" x14ac:dyDescent="0.35">
      <c r="A1124" t="s">
        <v>1254</v>
      </c>
      <c r="B1124" s="103">
        <v>46026</v>
      </c>
      <c r="C1124" s="103">
        <v>46033</v>
      </c>
      <c r="D1124" s="104">
        <v>46040</v>
      </c>
      <c r="E1124" s="104">
        <v>46047</v>
      </c>
      <c r="F1124" s="104">
        <v>46054</v>
      </c>
      <c r="G1124" s="104">
        <v>46061</v>
      </c>
      <c r="H1124" s="104">
        <v>46068</v>
      </c>
      <c r="I1124" s="5">
        <v>46075</v>
      </c>
      <c r="J1124" s="5">
        <v>46082</v>
      </c>
      <c r="K1124" s="5">
        <v>46089</v>
      </c>
      <c r="L1124" s="5">
        <v>46096</v>
      </c>
      <c r="M1124" s="5">
        <v>46103</v>
      </c>
      <c r="N1124" s="5">
        <v>46110</v>
      </c>
      <c r="O1124" s="5">
        <v>46117</v>
      </c>
      <c r="P1124" s="5">
        <v>46124</v>
      </c>
      <c r="Q1124" s="5">
        <v>46131</v>
      </c>
      <c r="R1124" s="5">
        <v>46138</v>
      </c>
      <c r="S1124" s="5">
        <v>46145</v>
      </c>
      <c r="T1124" s="5">
        <v>46152</v>
      </c>
      <c r="U1124" s="5">
        <v>46159</v>
      </c>
      <c r="V1124" s="5">
        <v>46166</v>
      </c>
      <c r="W1124" s="5">
        <v>46173</v>
      </c>
      <c r="X1124" s="5">
        <v>46180</v>
      </c>
      <c r="Y1124" s="5">
        <v>46187</v>
      </c>
      <c r="Z1124" s="5">
        <v>46194</v>
      </c>
      <c r="AA1124" s="5">
        <v>46201</v>
      </c>
      <c r="AB1124" s="5">
        <v>46208</v>
      </c>
      <c r="AC1124" s="5">
        <v>46215</v>
      </c>
      <c r="AD1124" s="5">
        <v>46222</v>
      </c>
      <c r="AE1124" s="5">
        <v>46229</v>
      </c>
      <c r="AF1124" s="5">
        <v>46236</v>
      </c>
      <c r="AG1124" s="5">
        <v>46243</v>
      </c>
    </row>
    <row r="1125" spans="1:33" x14ac:dyDescent="0.35">
      <c r="A1125" t="s">
        <v>1242</v>
      </c>
      <c r="B1125" s="138">
        <v>1.3080000000000001</v>
      </c>
      <c r="C1125" s="31">
        <v>2.1920000000000002</v>
      </c>
      <c r="D1125" s="37">
        <v>1.19</v>
      </c>
      <c r="E1125" s="37">
        <v>1.0269999999999999</v>
      </c>
      <c r="F1125" s="3">
        <v>0.82899999999999996</v>
      </c>
      <c r="G1125" s="3">
        <v>0.95799999999999996</v>
      </c>
      <c r="H1125" s="3">
        <v>1.2569999999999999</v>
      </c>
      <c r="I1125" s="3">
        <v>0.17499999999999999</v>
      </c>
      <c r="J1125" s="3">
        <v>2.7E-2</v>
      </c>
      <c r="K1125" s="3">
        <v>0.03</v>
      </c>
      <c r="L1125" s="3">
        <v>1.2E-2</v>
      </c>
      <c r="M1125" s="3">
        <v>7.0000000000000001E-3</v>
      </c>
      <c r="N1125" s="3">
        <v>0.02</v>
      </c>
      <c r="O1125" s="3">
        <v>0.11799999999999999</v>
      </c>
      <c r="P1125" s="3">
        <v>0.06</v>
      </c>
      <c r="Q1125" s="3">
        <v>5.2999999999999999E-2</v>
      </c>
      <c r="R1125" s="3">
        <v>0.05</v>
      </c>
      <c r="S1125" s="3">
        <v>3.9E-2</v>
      </c>
      <c r="T1125" s="3">
        <v>0.3</v>
      </c>
      <c r="U1125" s="3">
        <v>0.23899999999999999</v>
      </c>
      <c r="V1125" s="3">
        <v>0.314</v>
      </c>
      <c r="W1125" s="3">
        <v>0.32400000000000001</v>
      </c>
      <c r="X1125" s="3">
        <v>0.40400000000000003</v>
      </c>
      <c r="Y1125" s="3">
        <v>0.32700000000000001</v>
      </c>
      <c r="Z1125" s="3">
        <v>8.3000000000000004E-2</v>
      </c>
      <c r="AA1125" s="3">
        <v>2.1999999999999999E-2</v>
      </c>
      <c r="AB1125" s="3">
        <v>2.4E-2</v>
      </c>
      <c r="AC1125" s="3">
        <v>2.9000000000000001E-2</v>
      </c>
      <c r="AD1125" s="3">
        <v>3.4000000000000002E-2</v>
      </c>
      <c r="AE1125" s="3">
        <v>2.8000000000000001E-2</v>
      </c>
      <c r="AF1125" s="3">
        <v>0.14499999999999999</v>
      </c>
      <c r="AG1125" s="3">
        <v>0.17399999999999999</v>
      </c>
    </row>
    <row r="1126" spans="1:33" x14ac:dyDescent="0.35">
      <c r="A1126" t="s">
        <v>1247</v>
      </c>
      <c r="B1126" s="3">
        <v>6.9000000000000006E-2</v>
      </c>
      <c r="C1126" s="3">
        <v>0.13600000000000001</v>
      </c>
      <c r="D1126" s="3">
        <v>4.3999999999999997E-2</v>
      </c>
      <c r="E1126" s="3">
        <v>3.7999999999999999E-2</v>
      </c>
      <c r="F1126" s="3">
        <v>3.6999999999999998E-2</v>
      </c>
      <c r="G1126" s="3">
        <v>3.5000000000000003E-2</v>
      </c>
      <c r="H1126" s="3">
        <v>3.5999999999999997E-2</v>
      </c>
      <c r="I1126" s="3">
        <v>1E-3</v>
      </c>
      <c r="J1126" s="3">
        <v>4.9000000000000002E-2</v>
      </c>
      <c r="K1126" s="3">
        <v>5.3999999999999999E-2</v>
      </c>
      <c r="L1126" s="3">
        <v>5.7000000000000002E-2</v>
      </c>
      <c r="M1126" s="3">
        <v>0.05</v>
      </c>
      <c r="N1126" s="3">
        <v>1.7999999999999999E-2</v>
      </c>
      <c r="O1126" s="3">
        <v>0.03</v>
      </c>
      <c r="P1126" s="3">
        <v>0.04</v>
      </c>
      <c r="Q1126" s="3">
        <v>0.03</v>
      </c>
      <c r="R1126" s="3">
        <v>3.3000000000000002E-2</v>
      </c>
      <c r="S1126" s="3">
        <v>1.9E-2</v>
      </c>
      <c r="T1126" s="3">
        <v>5.6000000000000001E-2</v>
      </c>
      <c r="U1126" s="3">
        <v>0.05</v>
      </c>
      <c r="V1126" s="3">
        <v>5.3999999999999999E-2</v>
      </c>
      <c r="W1126" s="3">
        <v>4.9000000000000002E-2</v>
      </c>
      <c r="X1126" s="3">
        <v>6.3E-2</v>
      </c>
      <c r="Y1126" s="3">
        <v>4.2999999999999997E-2</v>
      </c>
      <c r="Z1126" s="3">
        <v>5.0000000000000001E-3</v>
      </c>
      <c r="AA1126" s="3">
        <v>7.0000000000000001E-3</v>
      </c>
      <c r="AB1126" s="3">
        <v>1.4E-2</v>
      </c>
      <c r="AC1126" s="3">
        <v>1.2999999999999999E-2</v>
      </c>
      <c r="AD1126" s="3">
        <v>1.2999999999999999E-2</v>
      </c>
      <c r="AE1126" s="3">
        <v>8.9999999999999993E-3</v>
      </c>
      <c r="AF1126" s="3">
        <v>6.3E-2</v>
      </c>
      <c r="AG1126" s="3">
        <v>5.5E-2</v>
      </c>
    </row>
    <row r="1127" spans="1:33" x14ac:dyDescent="0.35">
      <c r="A1127" t="s">
        <v>1248</v>
      </c>
      <c r="B1127" s="7">
        <v>0.6</v>
      </c>
      <c r="C1127" s="7">
        <v>1.19</v>
      </c>
      <c r="D1127" s="7">
        <v>0.39</v>
      </c>
      <c r="E1127" s="7">
        <v>0.33</v>
      </c>
      <c r="F1127" s="7">
        <v>0.32</v>
      </c>
      <c r="G1127" s="7">
        <v>0.3</v>
      </c>
      <c r="H1127" s="7">
        <v>0.31</v>
      </c>
      <c r="I1127" s="7">
        <v>0.01</v>
      </c>
      <c r="J1127" s="7">
        <v>0.44</v>
      </c>
      <c r="K1127" s="7">
        <v>0.47</v>
      </c>
      <c r="L1127" s="7">
        <v>0.51</v>
      </c>
      <c r="M1127" s="7">
        <v>0.45</v>
      </c>
      <c r="N1127" s="7">
        <v>0.16</v>
      </c>
      <c r="O1127" s="7">
        <v>0.27</v>
      </c>
      <c r="P1127" s="7">
        <v>0.35</v>
      </c>
      <c r="Q1127" s="7">
        <v>0.27</v>
      </c>
      <c r="R1127" s="7">
        <v>0.28999999999999998</v>
      </c>
      <c r="S1127" s="7">
        <v>0.17</v>
      </c>
      <c r="T1127" s="7">
        <v>0.48</v>
      </c>
      <c r="U1127" s="7">
        <v>0.43</v>
      </c>
      <c r="V1127" s="7">
        <v>0.46</v>
      </c>
      <c r="W1127" s="7">
        <v>0.42</v>
      </c>
      <c r="X1127" s="7">
        <v>0.53</v>
      </c>
      <c r="Y1127" s="7">
        <v>0.37</v>
      </c>
      <c r="Z1127" s="7">
        <v>0.05</v>
      </c>
      <c r="AA1127" s="7">
        <v>0.06</v>
      </c>
      <c r="AB1127" s="7">
        <v>0.12</v>
      </c>
      <c r="AC1127" s="7">
        <v>0.12</v>
      </c>
      <c r="AD1127" s="7">
        <v>0.11</v>
      </c>
      <c r="AE1127" s="7">
        <v>0.08</v>
      </c>
      <c r="AF1127" s="7">
        <v>0.56000000000000005</v>
      </c>
      <c r="AG1127" s="7">
        <v>0.49</v>
      </c>
    </row>
    <row r="1128" spans="1:33" x14ac:dyDescent="0.35">
      <c r="A1128" t="s">
        <v>1249</v>
      </c>
      <c r="B1128" s="7">
        <v>8.1</v>
      </c>
      <c r="C1128" s="7">
        <v>7.54</v>
      </c>
      <c r="D1128" s="32">
        <v>8.34</v>
      </c>
      <c r="E1128" s="32">
        <v>8.3800000000000008</v>
      </c>
      <c r="F1128" s="32">
        <v>8.4</v>
      </c>
      <c r="G1128" s="32">
        <v>8.3800000000000008</v>
      </c>
      <c r="H1128" s="32">
        <v>8.41</v>
      </c>
      <c r="I1128" s="7">
        <v>9</v>
      </c>
      <c r="J1128" s="7">
        <v>8.5299999999999994</v>
      </c>
      <c r="K1128" s="7">
        <v>8.33</v>
      </c>
      <c r="L1128" s="7">
        <v>8.35</v>
      </c>
      <c r="M1128" s="7">
        <v>8.48</v>
      </c>
      <c r="N1128" s="7">
        <v>8.81</v>
      </c>
      <c r="O1128" s="7">
        <v>8.56</v>
      </c>
      <c r="P1128" s="7">
        <v>8.4</v>
      </c>
      <c r="Q1128" s="7">
        <v>8.66</v>
      </c>
      <c r="R1128" s="7">
        <v>8.5399999999999991</v>
      </c>
      <c r="S1128" s="7">
        <v>8.7899999999999991</v>
      </c>
      <c r="T1128" s="32">
        <v>8.11</v>
      </c>
      <c r="U1128" s="32">
        <v>8.1</v>
      </c>
      <c r="V1128" s="32">
        <v>8.06</v>
      </c>
      <c r="W1128" s="32">
        <v>8.09</v>
      </c>
      <c r="X1128" s="32">
        <v>7.97</v>
      </c>
      <c r="Y1128" s="32">
        <v>8.19</v>
      </c>
      <c r="Z1128" s="7">
        <v>8.9499999999999993</v>
      </c>
      <c r="AA1128" s="7">
        <v>8.9700000000000006</v>
      </c>
      <c r="AB1128" s="7">
        <v>8.8699999999999992</v>
      </c>
      <c r="AC1128" s="7">
        <v>8.9</v>
      </c>
      <c r="AD1128" s="7">
        <v>8.8800000000000008</v>
      </c>
      <c r="AE1128" s="7">
        <v>8.93</v>
      </c>
      <c r="AF1128" s="7">
        <v>8.33</v>
      </c>
      <c r="AG1128" s="7">
        <v>8.39</v>
      </c>
    </row>
    <row r="1129" spans="1:33" x14ac:dyDescent="0.35">
      <c r="A1129" t="s">
        <v>1250</v>
      </c>
      <c r="B1129" s="7">
        <v>8.69</v>
      </c>
      <c r="C1129" s="7">
        <v>8.73</v>
      </c>
      <c r="D1129" s="7">
        <v>8.7200000000000006</v>
      </c>
      <c r="E1129" s="7">
        <v>8.7100000000000009</v>
      </c>
      <c r="F1129" s="7">
        <v>8.7200000000000006</v>
      </c>
      <c r="G1129" s="7">
        <v>8.68</v>
      </c>
      <c r="H1129" s="7">
        <v>8.7200000000000006</v>
      </c>
      <c r="I1129" s="7">
        <v>9.01</v>
      </c>
      <c r="J1129" s="7">
        <v>8.9700000000000006</v>
      </c>
      <c r="K1129" s="7">
        <v>8.8000000000000007</v>
      </c>
      <c r="L1129" s="7">
        <v>8.85</v>
      </c>
      <c r="M1129" s="7">
        <v>8.92</v>
      </c>
      <c r="N1129" s="7">
        <v>8.98</v>
      </c>
      <c r="O1129" s="7">
        <v>8.83</v>
      </c>
      <c r="P1129" s="7">
        <v>8.75</v>
      </c>
      <c r="Q1129" s="7">
        <v>8.93</v>
      </c>
      <c r="R1129" s="7">
        <v>8.83</v>
      </c>
      <c r="S1129" s="7">
        <v>8.9600000000000009</v>
      </c>
      <c r="T1129" s="7">
        <v>8.59</v>
      </c>
      <c r="U1129" s="7">
        <v>8.52</v>
      </c>
      <c r="V1129" s="7">
        <v>8.52</v>
      </c>
      <c r="W1129" s="7">
        <v>8.51</v>
      </c>
      <c r="X1129" s="7">
        <v>8.5</v>
      </c>
      <c r="Y1129" s="7">
        <v>8.56</v>
      </c>
      <c r="Z1129" s="7">
        <v>8.99</v>
      </c>
      <c r="AA1129" s="7">
        <v>9.02</v>
      </c>
      <c r="AB1129" s="7">
        <v>8.99</v>
      </c>
      <c r="AC1129" s="7">
        <v>9.02</v>
      </c>
      <c r="AD1129" s="7">
        <v>8.99</v>
      </c>
      <c r="AE1129" s="7">
        <v>9.02</v>
      </c>
      <c r="AF1129" s="7">
        <v>8.89</v>
      </c>
      <c r="AG1129" s="7">
        <v>8.8800000000000008</v>
      </c>
    </row>
    <row r="1130" spans="1:33" x14ac:dyDescent="0.35">
      <c r="A1130" t="s">
        <v>1245</v>
      </c>
      <c r="B1130" s="7">
        <v>8.11</v>
      </c>
      <c r="C1130" s="7">
        <v>7.54</v>
      </c>
      <c r="D1130" s="7">
        <v>8.34</v>
      </c>
      <c r="E1130" s="7">
        <v>8.3800000000000008</v>
      </c>
      <c r="F1130" s="7">
        <v>8.41</v>
      </c>
      <c r="G1130" s="7">
        <v>8.3800000000000008</v>
      </c>
      <c r="H1130" s="7">
        <v>8.41</v>
      </c>
      <c r="I1130" s="7">
        <v>8.99</v>
      </c>
      <c r="J1130" s="7">
        <v>8.92</v>
      </c>
      <c r="K1130" s="7">
        <v>8.75</v>
      </c>
      <c r="L1130" s="7">
        <v>8.83</v>
      </c>
      <c r="M1130" s="7">
        <v>8.91</v>
      </c>
      <c r="N1130" s="7">
        <v>8.9700000000000006</v>
      </c>
      <c r="O1130" s="7">
        <v>8.73</v>
      </c>
      <c r="P1130" s="7">
        <v>8.6300000000000008</v>
      </c>
      <c r="Q1130" s="7">
        <v>8.86</v>
      </c>
      <c r="R1130" s="7">
        <v>8.76</v>
      </c>
      <c r="S1130" s="7">
        <v>8.93</v>
      </c>
      <c r="T1130" s="7">
        <v>8.11</v>
      </c>
      <c r="U1130" s="7">
        <v>8.14</v>
      </c>
      <c r="V1130" s="7">
        <v>8.1199999999999992</v>
      </c>
      <c r="W1130" s="7">
        <v>8.1300000000000008</v>
      </c>
      <c r="X1130" s="7">
        <v>8.02</v>
      </c>
      <c r="Y1130" s="7">
        <v>8.27</v>
      </c>
      <c r="Z1130" s="7">
        <v>8.99</v>
      </c>
      <c r="AA1130" s="7">
        <v>9.02</v>
      </c>
      <c r="AB1130" s="7">
        <v>8.98</v>
      </c>
      <c r="AC1130" s="7">
        <v>9.01</v>
      </c>
      <c r="AD1130" s="7">
        <v>8.9700000000000006</v>
      </c>
      <c r="AE1130" s="7">
        <v>9.01</v>
      </c>
      <c r="AF1130" s="7">
        <v>8.66</v>
      </c>
      <c r="AG1130" s="7">
        <v>8.65</v>
      </c>
    </row>
    <row r="1132" spans="1:33" s="66" customFormat="1" x14ac:dyDescent="0.35"/>
    <row r="1136" spans="1:33" x14ac:dyDescent="0.35">
      <c r="A1136" t="s">
        <v>1240</v>
      </c>
      <c r="B1136" s="5">
        <v>46026</v>
      </c>
      <c r="C1136" s="5">
        <v>46033</v>
      </c>
      <c r="D1136" s="5">
        <v>46040</v>
      </c>
      <c r="E1136" s="5">
        <v>46047</v>
      </c>
      <c r="F1136" s="5">
        <v>46054</v>
      </c>
      <c r="G1136" s="5">
        <v>46061</v>
      </c>
      <c r="H1136" s="5">
        <v>46068</v>
      </c>
      <c r="I1136" s="5">
        <v>46075</v>
      </c>
      <c r="J1136" s="5">
        <v>46082</v>
      </c>
      <c r="K1136" s="5">
        <v>46089</v>
      </c>
      <c r="L1136" s="5">
        <v>46096</v>
      </c>
      <c r="M1136" s="5">
        <v>46103</v>
      </c>
      <c r="N1136" s="5">
        <v>46110</v>
      </c>
      <c r="O1136" s="5">
        <v>46117</v>
      </c>
      <c r="P1136" s="5">
        <v>46124</v>
      </c>
      <c r="Q1136" s="5">
        <v>46131</v>
      </c>
      <c r="R1136" s="5">
        <v>46138</v>
      </c>
      <c r="S1136" s="5">
        <v>46145</v>
      </c>
      <c r="T1136" s="5">
        <v>46152</v>
      </c>
      <c r="U1136" s="5">
        <v>46159</v>
      </c>
      <c r="V1136" s="5">
        <v>46166</v>
      </c>
      <c r="W1136" s="5">
        <v>46173</v>
      </c>
      <c r="X1136" s="5">
        <v>46180</v>
      </c>
      <c r="Y1136" s="5">
        <v>46187</v>
      </c>
      <c r="Z1136" s="5">
        <v>46194</v>
      </c>
      <c r="AA1136" s="5">
        <v>46201</v>
      </c>
      <c r="AB1136" s="5">
        <v>46208</v>
      </c>
      <c r="AC1136" s="5">
        <v>46215</v>
      </c>
      <c r="AD1136" s="5">
        <v>46222</v>
      </c>
      <c r="AE1136" s="5">
        <v>46229</v>
      </c>
      <c r="AF1136" s="5">
        <v>46236</v>
      </c>
      <c r="AG1136" s="5">
        <v>46243</v>
      </c>
    </row>
    <row r="1137" spans="1:33" x14ac:dyDescent="0.35">
      <c r="A1137" t="s">
        <v>1241</v>
      </c>
      <c r="B1137">
        <v>322</v>
      </c>
      <c r="C1137" s="6">
        <v>1666</v>
      </c>
      <c r="D1137" s="6">
        <v>4036</v>
      </c>
      <c r="E1137" s="6">
        <v>4200</v>
      </c>
      <c r="F1137" s="6">
        <v>4735</v>
      </c>
      <c r="G1137" s="6">
        <v>5628</v>
      </c>
      <c r="H1137" s="6">
        <v>5906</v>
      </c>
      <c r="I1137" s="6">
        <v>5845</v>
      </c>
      <c r="J1137" s="6">
        <v>4882</v>
      </c>
      <c r="K1137" s="6">
        <v>4495</v>
      </c>
      <c r="L1137" s="6">
        <v>4758</v>
      </c>
      <c r="M1137" s="6">
        <v>4374</v>
      </c>
      <c r="N1137" s="6">
        <v>4820</v>
      </c>
      <c r="O1137" s="6">
        <v>4615</v>
      </c>
      <c r="P1137" s="6">
        <v>4821</v>
      </c>
      <c r="Q1137" s="6">
        <v>4903</v>
      </c>
      <c r="R1137" s="6">
        <v>4808</v>
      </c>
      <c r="S1137" s="6">
        <v>4904</v>
      </c>
      <c r="T1137" s="6">
        <v>4521</v>
      </c>
      <c r="U1137" s="6">
        <v>4923</v>
      </c>
      <c r="V1137" s="6">
        <v>4679</v>
      </c>
      <c r="W1137" s="6">
        <v>4288</v>
      </c>
      <c r="X1137" s="6">
        <v>4814</v>
      </c>
      <c r="Y1137" s="6">
        <v>4670</v>
      </c>
      <c r="Z1137" s="6">
        <v>4697</v>
      </c>
      <c r="AA1137" s="6">
        <v>6374</v>
      </c>
      <c r="AB1137" s="6">
        <v>6398</v>
      </c>
      <c r="AC1137" s="6">
        <v>7187</v>
      </c>
      <c r="AD1137" s="6">
        <v>7258</v>
      </c>
      <c r="AE1137" s="6">
        <v>7248</v>
      </c>
      <c r="AF1137" s="6">
        <v>6821</v>
      </c>
      <c r="AG1137" s="6">
        <v>7156</v>
      </c>
    </row>
    <row r="1138" spans="1:33" x14ac:dyDescent="0.35">
      <c r="A1138" t="s">
        <v>1242</v>
      </c>
      <c r="B1138" s="3">
        <v>8.8999999999999996E-2</v>
      </c>
      <c r="C1138" s="3">
        <v>4.8000000000000001E-2</v>
      </c>
      <c r="D1138" s="3">
        <v>7.3999999999999996E-2</v>
      </c>
      <c r="E1138" s="3">
        <v>0.155</v>
      </c>
      <c r="F1138" s="3">
        <v>0.23</v>
      </c>
      <c r="G1138" s="3">
        <v>0.25</v>
      </c>
      <c r="H1138" s="3">
        <v>0.29299999999999998</v>
      </c>
      <c r="I1138" s="3">
        <v>0.35199999999999998</v>
      </c>
      <c r="J1138" s="3">
        <v>0.17599999999999999</v>
      </c>
      <c r="K1138" s="3">
        <v>6.6000000000000003E-2</v>
      </c>
      <c r="L1138" s="3">
        <v>2.5999999999999999E-2</v>
      </c>
      <c r="M1138" s="3">
        <v>2.5000000000000001E-2</v>
      </c>
      <c r="N1138" s="3">
        <v>1.6E-2</v>
      </c>
      <c r="O1138" s="3">
        <v>0.02</v>
      </c>
      <c r="P1138" s="3">
        <v>1.9E-2</v>
      </c>
      <c r="Q1138" s="3">
        <v>1.2E-2</v>
      </c>
      <c r="R1138" s="3">
        <v>1.7999999999999999E-2</v>
      </c>
      <c r="S1138" s="3">
        <v>1.6E-2</v>
      </c>
      <c r="T1138" s="3">
        <v>1.2999999999999999E-2</v>
      </c>
      <c r="U1138" s="3">
        <v>8.0000000000000002E-3</v>
      </c>
      <c r="V1138" s="3">
        <v>8.0000000000000002E-3</v>
      </c>
      <c r="W1138" s="3">
        <v>2.8000000000000001E-2</v>
      </c>
      <c r="X1138" s="3">
        <v>4.7E-2</v>
      </c>
      <c r="Y1138" s="3">
        <v>2.5999999999999999E-2</v>
      </c>
      <c r="Z1138" s="3">
        <v>0.01</v>
      </c>
      <c r="AA1138" s="3">
        <v>0.435</v>
      </c>
      <c r="AB1138" s="3">
        <v>0.57999999999999996</v>
      </c>
      <c r="AC1138" s="3">
        <v>0.72399999999999998</v>
      </c>
      <c r="AD1138" s="3">
        <v>0.73099999999999998</v>
      </c>
      <c r="AE1138" s="3">
        <v>0.76400000000000001</v>
      </c>
      <c r="AF1138" s="3">
        <v>0.69</v>
      </c>
      <c r="AG1138" s="3">
        <v>0.70199999999999996</v>
      </c>
    </row>
    <row r="1139" spans="1:33" x14ac:dyDescent="0.35">
      <c r="A1139" t="s">
        <v>1243</v>
      </c>
      <c r="B1139">
        <v>26</v>
      </c>
      <c r="C1139">
        <v>77</v>
      </c>
      <c r="D1139">
        <v>278</v>
      </c>
      <c r="E1139">
        <v>564</v>
      </c>
      <c r="F1139">
        <v>886</v>
      </c>
      <c r="G1139" s="6">
        <v>1124</v>
      </c>
      <c r="H1139" s="6">
        <v>1338</v>
      </c>
      <c r="I1139" s="6">
        <v>1523</v>
      </c>
      <c r="J1139">
        <v>730</v>
      </c>
      <c r="K1139">
        <v>279</v>
      </c>
      <c r="L1139">
        <v>121</v>
      </c>
      <c r="M1139">
        <v>106</v>
      </c>
      <c r="N1139">
        <v>75</v>
      </c>
      <c r="O1139">
        <v>91</v>
      </c>
      <c r="P1139">
        <v>89</v>
      </c>
      <c r="Q1139">
        <v>57</v>
      </c>
      <c r="R1139">
        <v>87</v>
      </c>
      <c r="S1139">
        <v>79</v>
      </c>
      <c r="T1139">
        <v>58</v>
      </c>
      <c r="U1139">
        <v>41</v>
      </c>
      <c r="V1139">
        <v>36</v>
      </c>
      <c r="W1139">
        <v>118</v>
      </c>
      <c r="X1139">
        <v>215</v>
      </c>
      <c r="Y1139">
        <v>117</v>
      </c>
      <c r="Z1139">
        <v>49</v>
      </c>
      <c r="AA1139" s="6">
        <v>1931</v>
      </c>
      <c r="AB1139" s="6">
        <v>2350</v>
      </c>
      <c r="AC1139" s="6">
        <v>3018</v>
      </c>
      <c r="AD1139" s="6">
        <v>3064</v>
      </c>
      <c r="AE1139" s="6">
        <v>3138</v>
      </c>
      <c r="AF1139" s="6">
        <v>2784</v>
      </c>
      <c r="AG1139" s="6">
        <v>2952</v>
      </c>
    </row>
    <row r="1140" spans="1:33" x14ac:dyDescent="0.35">
      <c r="A1140" t="s">
        <v>1244</v>
      </c>
      <c r="B1140">
        <v>296</v>
      </c>
      <c r="C1140" s="6">
        <v>1589</v>
      </c>
      <c r="D1140" s="6">
        <v>3757</v>
      </c>
      <c r="E1140" s="6">
        <v>3636</v>
      </c>
      <c r="F1140" s="6">
        <v>3849</v>
      </c>
      <c r="G1140" s="6">
        <v>4503</v>
      </c>
      <c r="H1140" s="6">
        <v>4568</v>
      </c>
      <c r="I1140" s="6">
        <v>4322</v>
      </c>
      <c r="J1140" s="6">
        <v>4152</v>
      </c>
      <c r="K1140" s="6">
        <v>4216</v>
      </c>
      <c r="L1140" s="6">
        <v>4636</v>
      </c>
      <c r="M1140" s="6">
        <v>4268</v>
      </c>
      <c r="N1140" s="6">
        <v>4745</v>
      </c>
      <c r="O1140" s="6">
        <v>4524</v>
      </c>
      <c r="P1140" s="6">
        <v>4732</v>
      </c>
      <c r="Q1140" s="6">
        <v>4846</v>
      </c>
      <c r="R1140" s="6">
        <v>4721</v>
      </c>
      <c r="S1140" s="6">
        <v>4825</v>
      </c>
      <c r="T1140" s="6">
        <v>4464</v>
      </c>
      <c r="U1140" s="6">
        <v>4882</v>
      </c>
      <c r="V1140" s="6">
        <v>4644</v>
      </c>
      <c r="W1140" s="6">
        <v>4171</v>
      </c>
      <c r="X1140" s="6">
        <v>4599</v>
      </c>
      <c r="Y1140" s="6">
        <v>4553</v>
      </c>
      <c r="Z1140" s="6">
        <v>4648</v>
      </c>
      <c r="AA1140" s="6">
        <v>4443</v>
      </c>
      <c r="AB1140" s="6">
        <v>4049</v>
      </c>
      <c r="AC1140" s="6">
        <v>4170</v>
      </c>
      <c r="AD1140" s="6">
        <v>4194</v>
      </c>
      <c r="AE1140" s="6">
        <v>4110</v>
      </c>
      <c r="AF1140" s="6">
        <v>4037</v>
      </c>
      <c r="AG1140" s="6">
        <v>4204</v>
      </c>
    </row>
    <row r="1141" spans="1:33" x14ac:dyDescent="0.35">
      <c r="A1141" t="s">
        <v>1245</v>
      </c>
      <c r="B1141" s="7">
        <v>3.49</v>
      </c>
      <c r="C1141" s="7">
        <v>2.99</v>
      </c>
      <c r="D1141" s="7">
        <v>2.98</v>
      </c>
      <c r="E1141" s="7">
        <v>2.99</v>
      </c>
      <c r="F1141" s="7">
        <v>3</v>
      </c>
      <c r="G1141" s="7">
        <v>3.02</v>
      </c>
      <c r="H1141" s="7">
        <v>3.04</v>
      </c>
      <c r="I1141" s="7">
        <v>3.03</v>
      </c>
      <c r="J1141" s="7">
        <v>3.37</v>
      </c>
      <c r="K1141" s="7">
        <v>3.49</v>
      </c>
      <c r="L1141" s="7">
        <v>3.49</v>
      </c>
      <c r="M1141" s="7">
        <v>3.48</v>
      </c>
      <c r="N1141" s="7">
        <v>3.48</v>
      </c>
      <c r="O1141" s="7">
        <v>3.48</v>
      </c>
      <c r="P1141" s="7">
        <v>3.48</v>
      </c>
      <c r="Q1141" s="7">
        <v>3.49</v>
      </c>
      <c r="R1141" s="7">
        <v>3.48</v>
      </c>
      <c r="S1141" s="7">
        <v>3.48</v>
      </c>
      <c r="T1141" s="7">
        <v>3.48</v>
      </c>
      <c r="U1141" s="7">
        <v>3.48</v>
      </c>
      <c r="V1141" s="7">
        <v>3.49</v>
      </c>
      <c r="W1141" s="7">
        <v>3.48</v>
      </c>
      <c r="X1141" s="7">
        <v>3.49</v>
      </c>
      <c r="Y1141" s="7">
        <v>3.48</v>
      </c>
      <c r="Z1141" s="7">
        <v>3.49</v>
      </c>
      <c r="AA1141" s="7">
        <v>3.05</v>
      </c>
      <c r="AB1141" s="7">
        <v>2.92</v>
      </c>
      <c r="AC1141" s="7">
        <v>2.91</v>
      </c>
      <c r="AD1141" s="7">
        <v>2.9</v>
      </c>
      <c r="AE1141" s="7">
        <v>2.92</v>
      </c>
      <c r="AF1141" s="7">
        <v>2.91</v>
      </c>
      <c r="AG1141" s="7">
        <v>2.91</v>
      </c>
    </row>
    <row r="1144" spans="1:33" x14ac:dyDescent="0.35">
      <c r="A1144" t="s">
        <v>1240</v>
      </c>
      <c r="B1144" s="5">
        <v>46026</v>
      </c>
      <c r="C1144" s="5">
        <v>46033</v>
      </c>
      <c r="D1144" s="5">
        <v>46040</v>
      </c>
      <c r="E1144" s="5">
        <v>46047</v>
      </c>
      <c r="F1144" s="5">
        <v>46054</v>
      </c>
      <c r="G1144" s="5">
        <v>46061</v>
      </c>
      <c r="H1144" s="5">
        <v>46068</v>
      </c>
      <c r="I1144" s="5">
        <v>46075</v>
      </c>
      <c r="J1144" s="5">
        <v>46082</v>
      </c>
      <c r="K1144" s="5">
        <v>46089</v>
      </c>
      <c r="L1144" s="5">
        <v>46096</v>
      </c>
      <c r="M1144" s="5">
        <v>46103</v>
      </c>
      <c r="N1144" s="5">
        <v>46110</v>
      </c>
      <c r="O1144" s="5">
        <v>46117</v>
      </c>
      <c r="P1144" s="5">
        <v>46124</v>
      </c>
      <c r="Q1144" s="5">
        <v>46131</v>
      </c>
      <c r="R1144" s="5">
        <v>46138</v>
      </c>
      <c r="S1144" s="5">
        <v>46145</v>
      </c>
      <c r="T1144" s="5">
        <v>46152</v>
      </c>
      <c r="U1144" s="5">
        <v>46159</v>
      </c>
      <c r="V1144" s="5">
        <v>46166</v>
      </c>
      <c r="W1144" s="5">
        <v>46173</v>
      </c>
      <c r="X1144" s="5">
        <v>46180</v>
      </c>
      <c r="Y1144" s="5">
        <v>46187</v>
      </c>
      <c r="Z1144" s="5">
        <v>46194</v>
      </c>
      <c r="AA1144" s="5">
        <v>46201</v>
      </c>
      <c r="AB1144" s="5">
        <v>46208</v>
      </c>
      <c r="AC1144" s="5">
        <v>46215</v>
      </c>
      <c r="AD1144" s="5">
        <v>46222</v>
      </c>
      <c r="AE1144" s="5">
        <v>46229</v>
      </c>
      <c r="AF1144" s="5">
        <v>46236</v>
      </c>
      <c r="AG1144" s="5">
        <v>46243</v>
      </c>
    </row>
    <row r="1145" spans="1:33" x14ac:dyDescent="0.35">
      <c r="A1145" t="s">
        <v>1242</v>
      </c>
      <c r="B1145" s="3">
        <v>8.8999999999999996E-2</v>
      </c>
      <c r="C1145" s="3">
        <v>4.8000000000000001E-2</v>
      </c>
      <c r="D1145" s="3">
        <v>7.3999999999999996E-2</v>
      </c>
      <c r="E1145" s="3">
        <v>0.155</v>
      </c>
      <c r="F1145" s="3">
        <v>0.23</v>
      </c>
      <c r="G1145" s="3">
        <v>0.25</v>
      </c>
      <c r="H1145" s="3">
        <v>0.29299999999999998</v>
      </c>
      <c r="I1145" s="3">
        <v>0.35199999999999998</v>
      </c>
      <c r="J1145" s="3">
        <v>0.17599999999999999</v>
      </c>
      <c r="K1145" s="3">
        <v>6.6000000000000003E-2</v>
      </c>
      <c r="L1145" s="3">
        <v>2.5999999999999999E-2</v>
      </c>
      <c r="M1145" s="3">
        <v>2.5000000000000001E-2</v>
      </c>
      <c r="N1145" s="3">
        <v>1.6E-2</v>
      </c>
      <c r="O1145" s="3">
        <v>0.02</v>
      </c>
      <c r="P1145" s="3">
        <v>1.9E-2</v>
      </c>
      <c r="Q1145" s="3">
        <v>1.2E-2</v>
      </c>
      <c r="R1145" s="3">
        <v>1.7999999999999999E-2</v>
      </c>
      <c r="S1145" s="3">
        <v>1.6E-2</v>
      </c>
      <c r="T1145" s="3">
        <v>1.2999999999999999E-2</v>
      </c>
      <c r="U1145" s="3">
        <v>8.0000000000000002E-3</v>
      </c>
      <c r="V1145" s="3">
        <v>8.0000000000000002E-3</v>
      </c>
      <c r="W1145" s="3">
        <v>2.8000000000000001E-2</v>
      </c>
      <c r="X1145" s="3">
        <v>4.7E-2</v>
      </c>
      <c r="Y1145" s="3">
        <v>2.5999999999999999E-2</v>
      </c>
      <c r="Z1145" s="3">
        <v>0.01</v>
      </c>
      <c r="AA1145" s="3">
        <v>0.435</v>
      </c>
      <c r="AB1145" s="3">
        <v>0.57999999999999996</v>
      </c>
      <c r="AC1145" s="3">
        <v>0.72399999999999998</v>
      </c>
      <c r="AD1145" s="3">
        <v>0.73099999999999998</v>
      </c>
      <c r="AE1145" s="3">
        <v>0.76400000000000001</v>
      </c>
      <c r="AF1145" s="3">
        <v>0.69</v>
      </c>
      <c r="AG1145" s="3">
        <v>0.70199999999999996</v>
      </c>
    </row>
    <row r="1146" spans="1:33" x14ac:dyDescent="0.35">
      <c r="A1146" t="s">
        <v>1247</v>
      </c>
      <c r="B1146" s="3">
        <v>0.01</v>
      </c>
      <c r="C1146" s="3">
        <v>5.1999999999999998E-2</v>
      </c>
      <c r="D1146" s="3">
        <v>7.4999999999999997E-2</v>
      </c>
      <c r="E1146" s="3">
        <v>0.108</v>
      </c>
      <c r="F1146" s="3">
        <v>0.10100000000000001</v>
      </c>
      <c r="G1146" s="3">
        <v>0.10299999999999999</v>
      </c>
      <c r="H1146" s="3">
        <v>0.10199999999999999</v>
      </c>
      <c r="I1146" s="3">
        <v>0.10199999999999999</v>
      </c>
      <c r="J1146" s="3">
        <v>4.8000000000000001E-2</v>
      </c>
      <c r="K1146" s="3">
        <v>1.2E-2</v>
      </c>
      <c r="L1146" s="3">
        <v>2.3E-2</v>
      </c>
      <c r="M1146" s="3">
        <v>6.3E-2</v>
      </c>
      <c r="N1146" s="3">
        <v>8.7999999999999995E-2</v>
      </c>
      <c r="O1146" s="3">
        <v>4.9000000000000002E-2</v>
      </c>
      <c r="P1146" s="3">
        <v>5.6000000000000001E-2</v>
      </c>
      <c r="Q1146" s="3">
        <v>4.2000000000000003E-2</v>
      </c>
      <c r="R1146" s="3">
        <v>8.3000000000000004E-2</v>
      </c>
      <c r="S1146" s="3">
        <v>3.5000000000000003E-2</v>
      </c>
      <c r="T1146" s="3">
        <v>0.04</v>
      </c>
      <c r="U1146" s="3">
        <v>0.112</v>
      </c>
      <c r="V1146" s="3">
        <v>9.7000000000000003E-2</v>
      </c>
      <c r="W1146" s="3">
        <v>2.5999999999999999E-2</v>
      </c>
      <c r="X1146" s="3">
        <v>1.4999999999999999E-2</v>
      </c>
      <c r="Y1146" s="3">
        <v>4.7E-2</v>
      </c>
      <c r="Z1146" s="3">
        <v>7.4999999999999997E-2</v>
      </c>
      <c r="AA1146" s="3">
        <v>0.14699999999999999</v>
      </c>
      <c r="AB1146" s="3">
        <v>0.153</v>
      </c>
      <c r="AC1146" s="3">
        <v>0.14299999999999999</v>
      </c>
      <c r="AD1146" s="3">
        <v>0.15</v>
      </c>
      <c r="AE1146" s="3">
        <v>0.14899999999999999</v>
      </c>
      <c r="AF1146" s="3">
        <v>0.14899999999999999</v>
      </c>
      <c r="AG1146" s="3">
        <v>0.151</v>
      </c>
    </row>
    <row r="1147" spans="1:33" x14ac:dyDescent="0.35">
      <c r="A1147" t="s">
        <v>1248</v>
      </c>
      <c r="B1147" s="7">
        <v>0.03</v>
      </c>
      <c r="C1147" s="7">
        <v>0.16</v>
      </c>
      <c r="D1147" s="7">
        <v>0.23</v>
      </c>
      <c r="E1147" s="7">
        <v>0.34</v>
      </c>
      <c r="F1147" s="7">
        <v>0.32</v>
      </c>
      <c r="G1147" s="7">
        <v>0.33</v>
      </c>
      <c r="H1147" s="7">
        <v>0.33</v>
      </c>
      <c r="I1147" s="7">
        <v>0.33</v>
      </c>
      <c r="J1147" s="7">
        <v>0.17</v>
      </c>
      <c r="K1147" s="7">
        <v>0.04</v>
      </c>
      <c r="L1147" s="7">
        <v>0.08</v>
      </c>
      <c r="M1147" s="7">
        <v>0.22</v>
      </c>
      <c r="N1147" s="7">
        <v>0.31</v>
      </c>
      <c r="O1147" s="7">
        <v>0.17</v>
      </c>
      <c r="P1147" s="7">
        <v>0.19</v>
      </c>
      <c r="Q1147" s="7">
        <v>0.15</v>
      </c>
      <c r="R1147" s="7">
        <v>0.28999999999999998</v>
      </c>
      <c r="S1147" s="7">
        <v>0.12</v>
      </c>
      <c r="T1147" s="7">
        <v>0.14000000000000001</v>
      </c>
      <c r="U1147" s="7">
        <v>0.39</v>
      </c>
      <c r="V1147" s="7">
        <v>0.34</v>
      </c>
      <c r="W1147" s="7">
        <v>0.09</v>
      </c>
      <c r="X1147" s="7">
        <v>0.05</v>
      </c>
      <c r="Y1147" s="7">
        <v>0.16</v>
      </c>
      <c r="Z1147" s="7">
        <v>0.26</v>
      </c>
      <c r="AA1147" s="7">
        <v>0.5</v>
      </c>
      <c r="AB1147" s="7">
        <v>0.51</v>
      </c>
      <c r="AC1147" s="7">
        <v>0.48</v>
      </c>
      <c r="AD1147" s="7">
        <v>0.5</v>
      </c>
      <c r="AE1147" s="7">
        <v>0.5</v>
      </c>
      <c r="AF1147" s="7">
        <v>0.5</v>
      </c>
      <c r="AG1147" s="7">
        <v>0.5</v>
      </c>
    </row>
    <row r="1148" spans="1:33" x14ac:dyDescent="0.35">
      <c r="A1148" t="s">
        <v>1249</v>
      </c>
      <c r="B1148" s="7">
        <v>3.48</v>
      </c>
      <c r="C1148" s="7">
        <v>2.87</v>
      </c>
      <c r="D1148" s="7">
        <v>2.82</v>
      </c>
      <c r="E1148" s="7">
        <v>2.79</v>
      </c>
      <c r="F1148" s="7">
        <v>2.84</v>
      </c>
      <c r="G1148" s="7">
        <v>2.85</v>
      </c>
      <c r="H1148" s="7">
        <v>2.89</v>
      </c>
      <c r="I1148" s="7">
        <v>2.9</v>
      </c>
      <c r="J1148" s="7">
        <v>3.27</v>
      </c>
      <c r="K1148" s="7">
        <v>3.46</v>
      </c>
      <c r="L1148" s="7">
        <v>3.41</v>
      </c>
      <c r="M1148" s="7">
        <v>3.27</v>
      </c>
      <c r="N1148" s="7">
        <v>3.18</v>
      </c>
      <c r="O1148" s="7">
        <v>3.32</v>
      </c>
      <c r="P1148" s="7">
        <v>3.3</v>
      </c>
      <c r="Q1148" s="7">
        <v>3.34</v>
      </c>
      <c r="R1148" s="7">
        <v>3.2</v>
      </c>
      <c r="S1148" s="7">
        <v>3.37</v>
      </c>
      <c r="T1148" s="7">
        <v>3.35</v>
      </c>
      <c r="U1148" s="7">
        <v>3.1</v>
      </c>
      <c r="V1148" s="7">
        <v>3.15</v>
      </c>
      <c r="W1148" s="7">
        <v>3.4</v>
      </c>
      <c r="X1148" s="7">
        <v>3.44</v>
      </c>
      <c r="Y1148" s="7">
        <v>3.33</v>
      </c>
      <c r="Z1148" s="7">
        <v>3.23</v>
      </c>
      <c r="AA1148" s="7">
        <v>2.88</v>
      </c>
      <c r="AB1148" s="7">
        <v>2.82</v>
      </c>
      <c r="AC1148" s="7">
        <v>2.87</v>
      </c>
      <c r="AD1148" s="7">
        <v>2.84</v>
      </c>
      <c r="AE1148" s="7">
        <v>2.85</v>
      </c>
      <c r="AF1148" s="7">
        <v>2.84</v>
      </c>
      <c r="AG1148" s="7">
        <v>2.83</v>
      </c>
    </row>
    <row r="1149" spans="1:33" x14ac:dyDescent="0.35">
      <c r="A1149" t="s">
        <v>1250</v>
      </c>
      <c r="B1149" s="7">
        <v>3.52</v>
      </c>
      <c r="C1149" s="7">
        <v>3.03</v>
      </c>
      <c r="D1149" s="7">
        <v>3.05</v>
      </c>
      <c r="E1149" s="7">
        <v>3.13</v>
      </c>
      <c r="F1149" s="7">
        <v>3.16</v>
      </c>
      <c r="G1149" s="7">
        <v>3.18</v>
      </c>
      <c r="H1149" s="7">
        <v>3.22</v>
      </c>
      <c r="I1149" s="7">
        <v>3.23</v>
      </c>
      <c r="J1149" s="7">
        <v>3.43</v>
      </c>
      <c r="K1149" s="7">
        <v>3.5</v>
      </c>
      <c r="L1149" s="7">
        <v>3.49</v>
      </c>
      <c r="M1149" s="7">
        <v>3.49</v>
      </c>
      <c r="N1149" s="7">
        <v>3.49</v>
      </c>
      <c r="O1149" s="7">
        <v>3.49</v>
      </c>
      <c r="P1149" s="7">
        <v>3.49</v>
      </c>
      <c r="Q1149" s="7">
        <v>3.49</v>
      </c>
      <c r="R1149" s="7">
        <v>3.49</v>
      </c>
      <c r="S1149" s="7">
        <v>3.49</v>
      </c>
      <c r="T1149" s="7">
        <v>3.49</v>
      </c>
      <c r="U1149" s="7">
        <v>3.49</v>
      </c>
      <c r="V1149" s="7">
        <v>3.49</v>
      </c>
      <c r="W1149" s="7">
        <v>3.49</v>
      </c>
      <c r="X1149" s="7">
        <v>3.49</v>
      </c>
      <c r="Y1149" s="7">
        <v>3.49</v>
      </c>
      <c r="Z1149" s="7">
        <v>3.49</v>
      </c>
      <c r="AA1149" s="7">
        <v>3.38</v>
      </c>
      <c r="AB1149" s="7">
        <v>3.33</v>
      </c>
      <c r="AC1149" s="7">
        <v>3.34</v>
      </c>
      <c r="AD1149" s="7">
        <v>3.34</v>
      </c>
      <c r="AE1149" s="7">
        <v>3.35</v>
      </c>
      <c r="AF1149" s="7">
        <v>3.34</v>
      </c>
      <c r="AG1149" s="7">
        <v>3.34</v>
      </c>
    </row>
    <row r="1150" spans="1:33" x14ac:dyDescent="0.35">
      <c r="A1150" t="s">
        <v>1245</v>
      </c>
      <c r="B1150" s="7">
        <v>3.49</v>
      </c>
      <c r="C1150" s="7">
        <v>2.99</v>
      </c>
      <c r="D1150" s="7">
        <v>2.98</v>
      </c>
      <c r="E1150" s="7">
        <v>2.99</v>
      </c>
      <c r="F1150" s="7">
        <v>3</v>
      </c>
      <c r="G1150" s="7">
        <v>3.02</v>
      </c>
      <c r="H1150" s="7">
        <v>3.04</v>
      </c>
      <c r="I1150" s="7">
        <v>3.03</v>
      </c>
      <c r="J1150" s="7">
        <v>3.37</v>
      </c>
      <c r="K1150" s="7">
        <v>3.49</v>
      </c>
      <c r="L1150" s="7">
        <v>3.49</v>
      </c>
      <c r="M1150" s="7">
        <v>3.48</v>
      </c>
      <c r="N1150" s="7">
        <v>3.48</v>
      </c>
      <c r="O1150" s="7">
        <v>3.48</v>
      </c>
      <c r="P1150" s="7">
        <v>3.48</v>
      </c>
      <c r="Q1150" s="7">
        <v>3.49</v>
      </c>
      <c r="R1150" s="7">
        <v>3.48</v>
      </c>
      <c r="S1150" s="7">
        <v>3.48</v>
      </c>
      <c r="T1150" s="7">
        <v>3.48</v>
      </c>
      <c r="U1150" s="7">
        <v>3.48</v>
      </c>
      <c r="V1150" s="7">
        <v>3.49</v>
      </c>
      <c r="W1150" s="7">
        <v>3.48</v>
      </c>
      <c r="X1150" s="7">
        <v>3.49</v>
      </c>
      <c r="Y1150" s="7">
        <v>3.48</v>
      </c>
      <c r="Z1150" s="7">
        <v>3.49</v>
      </c>
      <c r="AA1150" s="7">
        <v>3.05</v>
      </c>
      <c r="AB1150" s="7">
        <v>2.92</v>
      </c>
      <c r="AC1150" s="7">
        <v>2.91</v>
      </c>
      <c r="AD1150" s="7">
        <v>2.9</v>
      </c>
      <c r="AE1150" s="7">
        <v>2.92</v>
      </c>
      <c r="AF1150" s="7">
        <v>2.91</v>
      </c>
      <c r="AG1150" s="7">
        <v>2.91</v>
      </c>
    </row>
    <row r="1151" spans="1:33" s="66" customFormat="1" x14ac:dyDescent="0.35"/>
    <row r="1152" spans="1:33" x14ac:dyDescent="0.35">
      <c r="A1152" s="4" t="s">
        <v>1502</v>
      </c>
    </row>
    <row r="1154" spans="1:33" x14ac:dyDescent="0.35">
      <c r="A1154" t="s">
        <v>1240</v>
      </c>
      <c r="B1154" s="5">
        <v>46026</v>
      </c>
      <c r="C1154" s="5">
        <v>46033</v>
      </c>
      <c r="D1154" s="5">
        <v>46040</v>
      </c>
      <c r="E1154" s="5">
        <v>46047</v>
      </c>
      <c r="F1154" s="5">
        <v>46054</v>
      </c>
      <c r="G1154" s="5">
        <v>46061</v>
      </c>
      <c r="H1154" s="5">
        <v>46068</v>
      </c>
      <c r="I1154" s="5">
        <v>46075</v>
      </c>
      <c r="J1154" s="5">
        <v>46082</v>
      </c>
      <c r="K1154" s="103">
        <v>46089</v>
      </c>
      <c r="L1154" s="103">
        <v>46096</v>
      </c>
      <c r="M1154" s="103">
        <v>46103</v>
      </c>
      <c r="N1154" s="103">
        <v>46110</v>
      </c>
      <c r="O1154" s="103">
        <v>46117</v>
      </c>
      <c r="P1154" s="103">
        <v>46124</v>
      </c>
      <c r="Q1154" s="103">
        <v>46131</v>
      </c>
      <c r="R1154" s="103">
        <v>46138</v>
      </c>
      <c r="S1154" s="5">
        <v>46145</v>
      </c>
      <c r="T1154" s="5">
        <v>46152</v>
      </c>
      <c r="U1154" s="5">
        <v>46159</v>
      </c>
      <c r="V1154" s="5">
        <v>46166</v>
      </c>
      <c r="W1154" s="5">
        <v>46173</v>
      </c>
      <c r="X1154" s="5">
        <v>46180</v>
      </c>
      <c r="Y1154" s="5">
        <v>46187</v>
      </c>
      <c r="Z1154" s="5">
        <v>46194</v>
      </c>
      <c r="AA1154" s="5">
        <v>46201</v>
      </c>
      <c r="AB1154" s="103">
        <v>46208</v>
      </c>
      <c r="AC1154" s="5">
        <v>46215</v>
      </c>
      <c r="AD1154" s="5">
        <v>46222</v>
      </c>
      <c r="AE1154" s="5">
        <v>46229</v>
      </c>
      <c r="AF1154" s="5">
        <v>46236</v>
      </c>
      <c r="AG1154" s="5">
        <v>46243</v>
      </c>
    </row>
    <row r="1155" spans="1:33" x14ac:dyDescent="0.35">
      <c r="A1155" t="s">
        <v>1241</v>
      </c>
      <c r="B1155">
        <v>803</v>
      </c>
      <c r="C1155">
        <v>998</v>
      </c>
      <c r="D1155" s="6">
        <v>1078</v>
      </c>
      <c r="E1155" s="6">
        <v>1043</v>
      </c>
      <c r="F1155">
        <v>997</v>
      </c>
      <c r="G1155" s="6">
        <v>1133</v>
      </c>
      <c r="H1155" s="6">
        <v>1068</v>
      </c>
      <c r="I1155" s="6">
        <v>1026</v>
      </c>
      <c r="J1155" s="6">
        <v>1191</v>
      </c>
      <c r="K1155" s="6">
        <v>1397</v>
      </c>
      <c r="L1155" s="6">
        <v>1523</v>
      </c>
      <c r="M1155" s="6">
        <v>1471</v>
      </c>
      <c r="N1155" s="6">
        <v>1546</v>
      </c>
      <c r="O1155" s="6">
        <v>1331</v>
      </c>
      <c r="P1155" s="6">
        <v>1351</v>
      </c>
      <c r="Q1155" s="6">
        <v>1504</v>
      </c>
      <c r="R1155" s="6">
        <v>1465</v>
      </c>
      <c r="S1155" s="6">
        <v>1335</v>
      </c>
      <c r="T1155" s="6">
        <v>1197</v>
      </c>
      <c r="U1155" s="6">
        <v>1270</v>
      </c>
      <c r="V1155" s="6">
        <v>1193</v>
      </c>
      <c r="W1155" s="6">
        <v>1042</v>
      </c>
      <c r="X1155" s="6">
        <v>1267</v>
      </c>
      <c r="Y1155" s="6">
        <v>1140</v>
      </c>
      <c r="Z1155" s="6">
        <v>1282</v>
      </c>
      <c r="AA1155" s="6">
        <v>1259</v>
      </c>
      <c r="AB1155" s="137">
        <v>1300</v>
      </c>
      <c r="AC1155" s="6">
        <v>1006</v>
      </c>
      <c r="AD1155" s="6">
        <v>1354</v>
      </c>
      <c r="AE1155" s="6">
        <v>1361</v>
      </c>
      <c r="AF1155" s="6">
        <v>1453</v>
      </c>
      <c r="AG1155" s="6">
        <v>1559</v>
      </c>
    </row>
    <row r="1156" spans="1:33" x14ac:dyDescent="0.35">
      <c r="A1156" t="s">
        <v>1242</v>
      </c>
      <c r="B1156" s="3">
        <v>0</v>
      </c>
      <c r="C1156" s="3">
        <v>0</v>
      </c>
      <c r="D1156" s="3">
        <v>0</v>
      </c>
      <c r="E1156" s="3">
        <v>0</v>
      </c>
      <c r="F1156" s="3">
        <v>0</v>
      </c>
      <c r="G1156" s="3">
        <v>0</v>
      </c>
      <c r="H1156" s="3">
        <v>0</v>
      </c>
      <c r="I1156" s="3">
        <v>1E-3</v>
      </c>
      <c r="J1156" s="3">
        <v>0</v>
      </c>
      <c r="K1156" s="3">
        <v>0.24199999999999999</v>
      </c>
      <c r="L1156" s="3">
        <v>0.38300000000000001</v>
      </c>
      <c r="M1156" s="3">
        <v>0.39800000000000002</v>
      </c>
      <c r="N1156" s="3">
        <v>0.40200000000000002</v>
      </c>
      <c r="O1156" s="3">
        <v>0.32900000000000001</v>
      </c>
      <c r="P1156" s="3">
        <v>0.33300000000000002</v>
      </c>
      <c r="Q1156" s="3">
        <v>0.34699999999999998</v>
      </c>
      <c r="R1156" s="3">
        <v>0.34799999999999998</v>
      </c>
      <c r="S1156" s="3">
        <v>0.107</v>
      </c>
      <c r="T1156" s="3">
        <v>0</v>
      </c>
      <c r="U1156" s="3">
        <v>1E-3</v>
      </c>
      <c r="V1156" s="3">
        <v>7.0000000000000001E-3</v>
      </c>
      <c r="W1156" s="3">
        <v>2E-3</v>
      </c>
      <c r="X1156" s="3">
        <v>7.0000000000000001E-3</v>
      </c>
      <c r="Y1156" s="3">
        <v>8.9999999999999993E-3</v>
      </c>
      <c r="Z1156" s="3">
        <v>8.0000000000000002E-3</v>
      </c>
      <c r="AA1156" s="3">
        <v>1.4999999999999999E-2</v>
      </c>
      <c r="AB1156" s="31">
        <v>0.253</v>
      </c>
      <c r="AC1156" s="3">
        <v>2E-3</v>
      </c>
      <c r="AD1156" s="3">
        <v>0.34799999999999998</v>
      </c>
      <c r="AE1156" s="3">
        <v>0.371</v>
      </c>
      <c r="AF1156" s="3">
        <v>0.34</v>
      </c>
      <c r="AG1156" s="3">
        <v>0.36899999999999999</v>
      </c>
    </row>
    <row r="1157" spans="1:33" x14ac:dyDescent="0.35">
      <c r="A1157" t="s">
        <v>1243</v>
      </c>
      <c r="B1157">
        <v>0</v>
      </c>
      <c r="C1157">
        <v>0</v>
      </c>
      <c r="D1157">
        <v>0</v>
      </c>
      <c r="E1157">
        <v>0</v>
      </c>
      <c r="F1157">
        <v>0</v>
      </c>
      <c r="G1157">
        <v>0</v>
      </c>
      <c r="H1157">
        <v>0</v>
      </c>
      <c r="I1157">
        <v>2</v>
      </c>
      <c r="J1157">
        <v>0</v>
      </c>
      <c r="K1157">
        <v>273</v>
      </c>
      <c r="L1157">
        <v>422</v>
      </c>
      <c r="M1157">
        <v>419</v>
      </c>
      <c r="N1157">
        <v>443</v>
      </c>
      <c r="O1157">
        <v>329</v>
      </c>
      <c r="P1157">
        <v>337</v>
      </c>
      <c r="Q1157">
        <v>387</v>
      </c>
      <c r="R1157">
        <v>378</v>
      </c>
      <c r="S1157">
        <v>129</v>
      </c>
      <c r="T1157">
        <v>1</v>
      </c>
      <c r="U1157">
        <v>1</v>
      </c>
      <c r="V1157">
        <v>9</v>
      </c>
      <c r="W1157">
        <v>2</v>
      </c>
      <c r="X1157">
        <v>9</v>
      </c>
      <c r="Y1157">
        <v>10</v>
      </c>
      <c r="Z1157">
        <v>10</v>
      </c>
      <c r="AA1157">
        <v>18</v>
      </c>
      <c r="AB1157" s="30">
        <v>262</v>
      </c>
      <c r="AC1157">
        <v>2</v>
      </c>
      <c r="AD1157">
        <v>350</v>
      </c>
      <c r="AE1157">
        <v>368</v>
      </c>
      <c r="AF1157">
        <v>369</v>
      </c>
      <c r="AG1157">
        <v>420</v>
      </c>
    </row>
    <row r="1158" spans="1:33" x14ac:dyDescent="0.35">
      <c r="A1158" t="s">
        <v>1244</v>
      </c>
      <c r="B1158">
        <v>803</v>
      </c>
      <c r="C1158">
        <v>998</v>
      </c>
      <c r="D1158" s="6">
        <v>1078</v>
      </c>
      <c r="E1158" s="6">
        <v>1043</v>
      </c>
      <c r="F1158">
        <v>997</v>
      </c>
      <c r="G1158" s="6">
        <v>1133</v>
      </c>
      <c r="H1158" s="6">
        <v>1068</v>
      </c>
      <c r="I1158" s="6">
        <v>1025</v>
      </c>
      <c r="J1158" s="6">
        <v>1191</v>
      </c>
      <c r="K1158" s="6">
        <v>1125</v>
      </c>
      <c r="L1158" s="6">
        <v>1101</v>
      </c>
      <c r="M1158" s="6">
        <v>1052</v>
      </c>
      <c r="N1158" s="6">
        <v>1103</v>
      </c>
      <c r="O1158" s="6">
        <v>1002</v>
      </c>
      <c r="P1158" s="6">
        <v>1014</v>
      </c>
      <c r="Q1158" s="6">
        <v>1117</v>
      </c>
      <c r="R1158" s="6">
        <v>1087</v>
      </c>
      <c r="S1158" s="6">
        <v>1206</v>
      </c>
      <c r="T1158" s="6">
        <v>1197</v>
      </c>
      <c r="U1158" s="6">
        <v>1269</v>
      </c>
      <c r="V1158" s="6">
        <v>1185</v>
      </c>
      <c r="W1158" s="6">
        <v>1040</v>
      </c>
      <c r="X1158" s="6">
        <v>1258</v>
      </c>
      <c r="Y1158" s="6">
        <v>1130</v>
      </c>
      <c r="Z1158" s="6">
        <v>1272</v>
      </c>
      <c r="AA1158" s="6">
        <v>1241</v>
      </c>
      <c r="AB1158" s="137">
        <v>1038</v>
      </c>
      <c r="AC1158" s="6">
        <v>1004</v>
      </c>
      <c r="AD1158" s="6">
        <v>1004</v>
      </c>
      <c r="AE1158">
        <v>993</v>
      </c>
      <c r="AF1158" s="6">
        <v>1085</v>
      </c>
      <c r="AG1158" s="6">
        <v>1139</v>
      </c>
    </row>
    <row r="1159" spans="1:33" x14ac:dyDescent="0.35">
      <c r="A1159" t="s">
        <v>1245</v>
      </c>
      <c r="B1159" s="7">
        <v>3.84</v>
      </c>
      <c r="C1159" s="7">
        <v>3.84</v>
      </c>
      <c r="D1159" s="7">
        <v>3.84</v>
      </c>
      <c r="E1159" s="7">
        <v>3.84</v>
      </c>
      <c r="F1159" s="7">
        <v>3.84</v>
      </c>
      <c r="G1159" s="7">
        <v>3.84</v>
      </c>
      <c r="H1159" s="7">
        <v>3.84</v>
      </c>
      <c r="I1159" s="7">
        <v>3.84</v>
      </c>
      <c r="J1159" s="7">
        <v>3.84</v>
      </c>
      <c r="K1159" s="7">
        <v>3.46</v>
      </c>
      <c r="L1159" s="7">
        <v>3.29</v>
      </c>
      <c r="M1159" s="7">
        <v>3.31</v>
      </c>
      <c r="N1159" s="7">
        <v>3.31</v>
      </c>
      <c r="O1159" s="7">
        <v>3.29</v>
      </c>
      <c r="P1159" s="7">
        <v>3.28</v>
      </c>
      <c r="Q1159" s="7">
        <v>3.24</v>
      </c>
      <c r="R1159" s="7">
        <v>3.28</v>
      </c>
      <c r="S1159" s="7">
        <v>3.65</v>
      </c>
      <c r="T1159" s="7">
        <v>3.83</v>
      </c>
      <c r="U1159" s="7">
        <v>3.83</v>
      </c>
      <c r="V1159" s="7">
        <v>3.83</v>
      </c>
      <c r="W1159" s="7">
        <v>3.84</v>
      </c>
      <c r="X1159" s="7">
        <v>3.84</v>
      </c>
      <c r="Y1159" s="7">
        <v>3.82</v>
      </c>
      <c r="Z1159" s="7">
        <v>3.83</v>
      </c>
      <c r="AA1159" s="7">
        <v>3.82</v>
      </c>
      <c r="AB1159" s="32">
        <v>3.4</v>
      </c>
      <c r="AC1159" s="7">
        <v>3.81</v>
      </c>
      <c r="AD1159" s="7">
        <v>3.19</v>
      </c>
      <c r="AE1159" s="7">
        <v>3.22</v>
      </c>
      <c r="AF1159" s="7">
        <v>3.24</v>
      </c>
      <c r="AG1159" s="7">
        <v>3.26</v>
      </c>
    </row>
    <row r="1160" spans="1:33" x14ac:dyDescent="0.35">
      <c r="K1160" s="6">
        <f>SUM(K1158:R1158)</f>
        <v>8601</v>
      </c>
      <c r="L1160">
        <f>SUM(K1157:R1157)</f>
        <v>2988</v>
      </c>
      <c r="AB1160" s="30"/>
    </row>
    <row r="1161" spans="1:33" x14ac:dyDescent="0.35">
      <c r="A1161" t="s">
        <v>1240</v>
      </c>
      <c r="B1161" s="5">
        <v>46026</v>
      </c>
      <c r="C1161" s="5">
        <v>46033</v>
      </c>
      <c r="D1161" s="5">
        <v>46040</v>
      </c>
      <c r="E1161" s="5">
        <v>46047</v>
      </c>
      <c r="F1161" s="5">
        <v>46054</v>
      </c>
      <c r="G1161" s="5">
        <v>46061</v>
      </c>
      <c r="H1161" s="5">
        <v>46068</v>
      </c>
      <c r="I1161" s="5">
        <v>46075</v>
      </c>
      <c r="J1161" s="5">
        <v>46082</v>
      </c>
      <c r="K1161" s="5">
        <v>46089</v>
      </c>
      <c r="L1161" s="5">
        <v>46096</v>
      </c>
      <c r="M1161" s="5">
        <v>46103</v>
      </c>
      <c r="N1161" s="5">
        <v>46110</v>
      </c>
      <c r="O1161" s="5">
        <v>46117</v>
      </c>
      <c r="P1161" s="5">
        <v>46124</v>
      </c>
      <c r="Q1161" s="5">
        <v>46131</v>
      </c>
      <c r="R1161" s="5">
        <v>46138</v>
      </c>
      <c r="S1161" s="5">
        <v>46145</v>
      </c>
      <c r="T1161" s="5">
        <v>46152</v>
      </c>
      <c r="U1161" s="5">
        <v>46159</v>
      </c>
      <c r="V1161" s="5">
        <v>46166</v>
      </c>
      <c r="W1161" s="5">
        <v>46173</v>
      </c>
      <c r="X1161" s="5">
        <v>46180</v>
      </c>
      <c r="Y1161" s="5">
        <v>46187</v>
      </c>
      <c r="Z1161" s="5">
        <v>46194</v>
      </c>
      <c r="AA1161" s="5">
        <v>46201</v>
      </c>
      <c r="AB1161" s="103">
        <v>46208</v>
      </c>
      <c r="AC1161" s="5">
        <v>46215</v>
      </c>
      <c r="AD1161" s="5">
        <v>46222</v>
      </c>
      <c r="AE1161" s="5">
        <v>46229</v>
      </c>
      <c r="AF1161" s="5">
        <v>46236</v>
      </c>
      <c r="AG1161" s="5">
        <v>46243</v>
      </c>
    </row>
    <row r="1162" spans="1:33" x14ac:dyDescent="0.35">
      <c r="A1162" t="s">
        <v>1242</v>
      </c>
      <c r="B1162" s="3">
        <v>0</v>
      </c>
      <c r="C1162" s="3">
        <v>0</v>
      </c>
      <c r="D1162" s="3">
        <v>0</v>
      </c>
      <c r="E1162" s="3">
        <v>0</v>
      </c>
      <c r="F1162" s="3">
        <v>0</v>
      </c>
      <c r="G1162" s="3">
        <v>0</v>
      </c>
      <c r="H1162" s="3">
        <v>0</v>
      </c>
      <c r="I1162" s="3">
        <v>1E-3</v>
      </c>
      <c r="J1162" s="3">
        <v>0</v>
      </c>
      <c r="K1162" s="3">
        <v>0.24199999999999999</v>
      </c>
      <c r="L1162" s="3">
        <v>0.38300000000000001</v>
      </c>
      <c r="M1162" s="3">
        <v>0.39800000000000002</v>
      </c>
      <c r="N1162" s="3">
        <v>0.40200000000000002</v>
      </c>
      <c r="O1162" s="3">
        <v>0.32900000000000001</v>
      </c>
      <c r="P1162" s="3">
        <v>0.33300000000000002</v>
      </c>
      <c r="Q1162" s="3">
        <v>0.34699999999999998</v>
      </c>
      <c r="R1162" s="3">
        <v>0.34799999999999998</v>
      </c>
      <c r="S1162" s="3">
        <v>0.107</v>
      </c>
      <c r="T1162" s="3">
        <v>0</v>
      </c>
      <c r="U1162" s="3">
        <v>1E-3</v>
      </c>
      <c r="V1162" s="3">
        <v>7.0000000000000001E-3</v>
      </c>
      <c r="W1162" s="3">
        <v>2E-3</v>
      </c>
      <c r="X1162" s="3">
        <v>7.0000000000000001E-3</v>
      </c>
      <c r="Y1162" s="3">
        <v>8.9999999999999993E-3</v>
      </c>
      <c r="Z1162" s="3">
        <v>8.0000000000000002E-3</v>
      </c>
      <c r="AA1162" s="3">
        <v>1.4999999999999999E-2</v>
      </c>
      <c r="AB1162" s="31">
        <v>0.253</v>
      </c>
      <c r="AC1162" s="3">
        <v>2E-3</v>
      </c>
      <c r="AD1162" s="3">
        <v>0.34799999999999998</v>
      </c>
      <c r="AE1162" s="3">
        <v>0.371</v>
      </c>
      <c r="AF1162" s="3">
        <v>0.34</v>
      </c>
      <c r="AG1162" s="3">
        <v>0.36899999999999999</v>
      </c>
    </row>
    <row r="1163" spans="1:33" x14ac:dyDescent="0.35">
      <c r="A1163" t="s">
        <v>1247</v>
      </c>
      <c r="B1163" s="7" t="s">
        <v>1272</v>
      </c>
      <c r="C1163" s="7" t="s">
        <v>1272</v>
      </c>
      <c r="D1163" s="3">
        <v>0.50800000000000001</v>
      </c>
      <c r="E1163" s="3" t="s">
        <v>1272</v>
      </c>
      <c r="F1163" s="3">
        <v>0.36499999999999999</v>
      </c>
      <c r="G1163" t="s">
        <v>1272</v>
      </c>
      <c r="H1163" s="3">
        <v>0.53100000000000003</v>
      </c>
      <c r="I1163" s="3">
        <v>0.34</v>
      </c>
      <c r="J1163" t="s">
        <v>1272</v>
      </c>
      <c r="K1163" s="31">
        <v>0.11600000000000001</v>
      </c>
      <c r="L1163" s="31">
        <v>0.13400000000000001</v>
      </c>
      <c r="M1163" s="31">
        <v>0.125</v>
      </c>
      <c r="N1163" s="31">
        <v>0.13200000000000001</v>
      </c>
      <c r="O1163" s="31">
        <v>0.13800000000000001</v>
      </c>
      <c r="P1163" s="31">
        <v>0.13100000000000001</v>
      </c>
      <c r="Q1163" s="31">
        <v>0.13100000000000001</v>
      </c>
      <c r="R1163" s="31">
        <v>0.122</v>
      </c>
      <c r="S1163" s="3">
        <v>0.108</v>
      </c>
      <c r="T1163" s="3">
        <v>1.0999999999999999E-2</v>
      </c>
      <c r="U1163" s="3">
        <v>9.9000000000000005E-2</v>
      </c>
      <c r="V1163" s="3">
        <v>4.8000000000000001E-2</v>
      </c>
      <c r="W1163" s="3">
        <v>8.9999999999999993E-3</v>
      </c>
      <c r="X1163" s="3">
        <v>9.5000000000000001E-2</v>
      </c>
      <c r="Y1163" s="3">
        <v>0.33400000000000002</v>
      </c>
      <c r="Z1163" s="3">
        <v>0.26100000000000001</v>
      </c>
      <c r="AA1163" s="3">
        <v>0.17599999999999999</v>
      </c>
      <c r="AB1163" s="31">
        <v>0.16600000000000001</v>
      </c>
      <c r="AC1163" s="3">
        <v>0.13300000000000001</v>
      </c>
      <c r="AD1163" s="3">
        <v>0.17499999999999999</v>
      </c>
      <c r="AE1163" s="3">
        <v>0.16800000000000001</v>
      </c>
      <c r="AF1163" s="3">
        <v>0.15</v>
      </c>
      <c r="AG1163" s="3">
        <v>0.159</v>
      </c>
    </row>
    <row r="1164" spans="1:33" x14ac:dyDescent="0.35">
      <c r="A1164" t="s">
        <v>1248</v>
      </c>
      <c r="B1164" s="7" t="s">
        <v>1272</v>
      </c>
      <c r="C1164" s="7" t="s">
        <v>1272</v>
      </c>
      <c r="D1164" s="7">
        <v>1.95</v>
      </c>
      <c r="E1164" s="3" t="s">
        <v>1272</v>
      </c>
      <c r="F1164" s="7">
        <v>1.4</v>
      </c>
      <c r="G1164" t="s">
        <v>1272</v>
      </c>
      <c r="H1164" s="7">
        <v>2.04</v>
      </c>
      <c r="I1164" s="7">
        <v>1.31</v>
      </c>
      <c r="J1164" t="s">
        <v>1272</v>
      </c>
      <c r="K1164" s="7">
        <v>0.43</v>
      </c>
      <c r="L1164" s="7">
        <v>0.49</v>
      </c>
      <c r="M1164" s="7">
        <v>0.46</v>
      </c>
      <c r="N1164" s="7">
        <v>0.48</v>
      </c>
      <c r="O1164" s="7">
        <v>0.5</v>
      </c>
      <c r="P1164" s="7">
        <v>0.47</v>
      </c>
      <c r="Q1164" s="7">
        <v>0.47</v>
      </c>
      <c r="R1164" s="7">
        <v>0.44</v>
      </c>
      <c r="S1164" s="7">
        <v>0.41</v>
      </c>
      <c r="T1164" s="7">
        <v>0.04</v>
      </c>
      <c r="U1164" s="7">
        <v>0.38</v>
      </c>
      <c r="V1164" s="7">
        <v>0.18</v>
      </c>
      <c r="W1164" s="7">
        <v>0.03</v>
      </c>
      <c r="X1164" s="7">
        <v>0.36</v>
      </c>
      <c r="Y1164" s="7">
        <v>1.28</v>
      </c>
      <c r="Z1164" s="7">
        <v>1</v>
      </c>
      <c r="AA1164" s="7">
        <v>0.67</v>
      </c>
      <c r="AB1164" s="32">
        <v>0.62</v>
      </c>
      <c r="AC1164" s="7">
        <v>0.51</v>
      </c>
      <c r="AD1164" s="7">
        <v>0.63</v>
      </c>
      <c r="AE1164" s="7">
        <v>0.61</v>
      </c>
      <c r="AF1164" s="7">
        <v>0.54</v>
      </c>
      <c r="AG1164" s="7">
        <v>0.57999999999999996</v>
      </c>
    </row>
    <row r="1165" spans="1:33" x14ac:dyDescent="0.35">
      <c r="A1165" t="s">
        <v>1249</v>
      </c>
      <c r="B1165" t="s">
        <v>1272</v>
      </c>
      <c r="C1165" t="s">
        <v>1272</v>
      </c>
      <c r="D1165" s="7">
        <v>1.89</v>
      </c>
      <c r="E1165" t="s">
        <v>1272</v>
      </c>
      <c r="F1165" s="7">
        <v>2.44</v>
      </c>
      <c r="G1165" t="s">
        <v>1272</v>
      </c>
      <c r="H1165" s="7">
        <v>1.8</v>
      </c>
      <c r="I1165" s="7">
        <v>2.54</v>
      </c>
      <c r="J1165" t="s">
        <v>1272</v>
      </c>
      <c r="K1165" s="7">
        <v>3.27</v>
      </c>
      <c r="L1165" s="7">
        <v>3.15</v>
      </c>
      <c r="M1165" s="7">
        <v>3.18</v>
      </c>
      <c r="N1165" s="7">
        <v>3.15</v>
      </c>
      <c r="O1165" s="7">
        <v>3.13</v>
      </c>
      <c r="P1165" s="7">
        <v>3.13</v>
      </c>
      <c r="Q1165" s="7">
        <v>3.12</v>
      </c>
      <c r="R1165" s="7">
        <v>3.15</v>
      </c>
      <c r="S1165" s="7">
        <v>3.34</v>
      </c>
      <c r="T1165" s="7">
        <v>3.79</v>
      </c>
      <c r="U1165" s="7">
        <v>3.46</v>
      </c>
      <c r="V1165" s="7">
        <v>3.66</v>
      </c>
      <c r="W1165" s="7">
        <v>3.81</v>
      </c>
      <c r="X1165" s="7">
        <v>3.48</v>
      </c>
      <c r="Y1165" s="7">
        <v>2.56</v>
      </c>
      <c r="Z1165" s="7">
        <v>2.84</v>
      </c>
      <c r="AA1165" s="7">
        <v>3.16</v>
      </c>
      <c r="AB1165" s="32">
        <v>3.08</v>
      </c>
      <c r="AC1165" s="7">
        <v>3.31</v>
      </c>
      <c r="AD1165" s="7">
        <v>2.98</v>
      </c>
      <c r="AE1165" s="7">
        <v>3.02</v>
      </c>
      <c r="AF1165" s="7">
        <v>3.08</v>
      </c>
      <c r="AG1165" s="7">
        <v>3.07</v>
      </c>
    </row>
    <row r="1166" spans="1:33" x14ac:dyDescent="0.35">
      <c r="A1166" t="s">
        <v>1250</v>
      </c>
      <c r="B1166" s="7">
        <v>3.84</v>
      </c>
      <c r="C1166" s="7">
        <v>3.84</v>
      </c>
      <c r="D1166" s="7">
        <v>3.84</v>
      </c>
      <c r="E1166" s="7">
        <v>3.84</v>
      </c>
      <c r="F1166" s="7">
        <v>3.84</v>
      </c>
      <c r="G1166" s="7">
        <v>3.84</v>
      </c>
      <c r="H1166" s="7">
        <v>3.84</v>
      </c>
      <c r="I1166" s="7">
        <v>3.84</v>
      </c>
      <c r="J1166" s="7">
        <v>3.84</v>
      </c>
      <c r="K1166" s="7">
        <v>3.69</v>
      </c>
      <c r="L1166" s="7">
        <v>3.64</v>
      </c>
      <c r="M1166" s="7">
        <v>3.63</v>
      </c>
      <c r="N1166" s="7">
        <v>3.63</v>
      </c>
      <c r="O1166" s="7">
        <v>3.63</v>
      </c>
      <c r="P1166" s="7">
        <v>3.61</v>
      </c>
      <c r="Q1166" s="7">
        <v>3.59</v>
      </c>
      <c r="R1166" s="7">
        <v>3.59</v>
      </c>
      <c r="S1166" s="7">
        <v>3.75</v>
      </c>
      <c r="T1166" s="7">
        <v>3.83</v>
      </c>
      <c r="U1166" s="7">
        <v>3.84</v>
      </c>
      <c r="V1166" s="7">
        <v>3.84</v>
      </c>
      <c r="W1166" s="7">
        <v>3.84</v>
      </c>
      <c r="X1166" s="7">
        <v>3.84</v>
      </c>
      <c r="Y1166" s="7">
        <v>3.84</v>
      </c>
      <c r="Z1166" s="7">
        <v>3.84</v>
      </c>
      <c r="AA1166" s="7">
        <v>3.84</v>
      </c>
      <c r="AB1166" s="32">
        <v>3.7</v>
      </c>
      <c r="AC1166" s="7">
        <v>3.82</v>
      </c>
      <c r="AD1166" s="7">
        <v>3.62</v>
      </c>
      <c r="AE1166" s="7">
        <v>3.63</v>
      </c>
      <c r="AF1166" s="7">
        <v>3.62</v>
      </c>
      <c r="AG1166" s="7">
        <v>3.65</v>
      </c>
    </row>
    <row r="1167" spans="1:33" x14ac:dyDescent="0.35">
      <c r="A1167" t="s">
        <v>1245</v>
      </c>
      <c r="B1167" s="7">
        <v>3.84</v>
      </c>
      <c r="C1167" s="7">
        <v>3.84</v>
      </c>
      <c r="D1167" s="7">
        <v>3.84</v>
      </c>
      <c r="E1167" s="7">
        <v>3.84</v>
      </c>
      <c r="F1167" s="7">
        <v>3.84</v>
      </c>
      <c r="G1167" s="7">
        <v>3.84</v>
      </c>
      <c r="H1167" s="7">
        <v>3.84</v>
      </c>
      <c r="I1167" s="7">
        <v>3.84</v>
      </c>
      <c r="J1167" s="7">
        <v>3.84</v>
      </c>
      <c r="K1167" s="7">
        <v>3.46</v>
      </c>
      <c r="L1167" s="7">
        <v>3.29</v>
      </c>
      <c r="M1167" s="7">
        <v>3.31</v>
      </c>
      <c r="N1167" s="7">
        <v>3.31</v>
      </c>
      <c r="O1167" s="7">
        <v>3.29</v>
      </c>
      <c r="P1167" s="7">
        <v>3.28</v>
      </c>
      <c r="Q1167" s="7">
        <v>3.24</v>
      </c>
      <c r="R1167" s="7">
        <v>3.28</v>
      </c>
      <c r="S1167" s="7">
        <v>3.65</v>
      </c>
      <c r="T1167" s="7">
        <v>3.83</v>
      </c>
      <c r="U1167" s="7">
        <v>3.83</v>
      </c>
      <c r="V1167" s="7">
        <v>3.83</v>
      </c>
      <c r="W1167" s="7">
        <v>3.84</v>
      </c>
      <c r="X1167" s="7">
        <v>3.84</v>
      </c>
      <c r="Y1167" s="7">
        <v>3.82</v>
      </c>
      <c r="Z1167" s="7">
        <v>3.83</v>
      </c>
      <c r="AA1167" s="7">
        <v>3.82</v>
      </c>
      <c r="AB1167" s="32">
        <v>3.4</v>
      </c>
      <c r="AC1167" s="7">
        <v>3.81</v>
      </c>
      <c r="AD1167" s="7">
        <v>3.19</v>
      </c>
      <c r="AE1167" s="7">
        <v>3.22</v>
      </c>
      <c r="AF1167" s="7">
        <v>3.24</v>
      </c>
      <c r="AG1167" s="7">
        <v>3.26</v>
      </c>
    </row>
    <row r="1169" spans="1:33" s="66" customFormat="1" x14ac:dyDescent="0.35"/>
    <row r="1170" spans="1:33" x14ac:dyDescent="0.35">
      <c r="A1170" s="4" t="s">
        <v>1503</v>
      </c>
    </row>
    <row r="1172" spans="1:33" x14ac:dyDescent="0.35">
      <c r="A1172" t="s">
        <v>1240</v>
      </c>
      <c r="B1172" s="5">
        <v>46026</v>
      </c>
      <c r="C1172" s="5">
        <v>46033</v>
      </c>
      <c r="D1172" s="5">
        <v>46040</v>
      </c>
      <c r="E1172" s="5">
        <v>46047</v>
      </c>
      <c r="F1172" s="128">
        <v>46054</v>
      </c>
      <c r="G1172" s="128">
        <v>46061</v>
      </c>
      <c r="H1172" s="128">
        <v>46068</v>
      </c>
      <c r="I1172" s="128">
        <v>46075</v>
      </c>
      <c r="J1172" s="5">
        <v>46082</v>
      </c>
      <c r="K1172" s="5">
        <v>46089</v>
      </c>
      <c r="L1172" s="5">
        <v>46096</v>
      </c>
      <c r="M1172" s="5">
        <v>46103</v>
      </c>
      <c r="N1172" s="5">
        <v>46110</v>
      </c>
      <c r="O1172" s="5">
        <v>46117</v>
      </c>
      <c r="P1172" s="5">
        <v>46124</v>
      </c>
      <c r="Q1172" s="5">
        <v>46131</v>
      </c>
      <c r="R1172" s="103">
        <v>46138</v>
      </c>
      <c r="S1172" s="103">
        <v>46145</v>
      </c>
      <c r="T1172" s="103">
        <v>46152</v>
      </c>
      <c r="U1172" s="103">
        <v>46159</v>
      </c>
      <c r="V1172" s="103">
        <v>46166</v>
      </c>
      <c r="W1172" s="5">
        <v>46173</v>
      </c>
      <c r="X1172" s="5">
        <v>46180</v>
      </c>
      <c r="Y1172" s="5">
        <v>46187</v>
      </c>
      <c r="Z1172" s="5">
        <v>46194</v>
      </c>
      <c r="AA1172" s="128">
        <v>46201</v>
      </c>
      <c r="AB1172" s="128">
        <v>46208</v>
      </c>
      <c r="AC1172" s="128">
        <v>46215</v>
      </c>
      <c r="AD1172" s="128">
        <v>46222</v>
      </c>
      <c r="AE1172" s="128">
        <v>46229</v>
      </c>
      <c r="AF1172" s="5">
        <v>46236</v>
      </c>
      <c r="AG1172" s="5">
        <v>46243</v>
      </c>
    </row>
    <row r="1173" spans="1:33" x14ac:dyDescent="0.35">
      <c r="A1173" t="s">
        <v>1241</v>
      </c>
      <c r="B1173" s="6">
        <v>1995</v>
      </c>
      <c r="C1173" s="6">
        <v>2206</v>
      </c>
      <c r="D1173" s="6">
        <v>2406</v>
      </c>
      <c r="E1173" s="6">
        <v>2529</v>
      </c>
      <c r="F1173" s="6">
        <v>3233</v>
      </c>
      <c r="G1173" s="6">
        <v>3075</v>
      </c>
      <c r="H1173" s="6">
        <v>2863</v>
      </c>
      <c r="I1173" s="6">
        <v>3284</v>
      </c>
      <c r="J1173" s="6">
        <v>2961</v>
      </c>
      <c r="K1173" s="6">
        <v>2501</v>
      </c>
      <c r="L1173" s="6">
        <v>2589</v>
      </c>
      <c r="M1173" s="6">
        <v>2247</v>
      </c>
      <c r="N1173" s="6">
        <v>2406</v>
      </c>
      <c r="O1173" s="6">
        <v>2285</v>
      </c>
      <c r="P1173" s="6">
        <v>2392</v>
      </c>
      <c r="Q1173" s="6">
        <v>2323</v>
      </c>
      <c r="R1173" s="6">
        <v>3043</v>
      </c>
      <c r="S1173" s="6">
        <v>3018</v>
      </c>
      <c r="T1173" s="6">
        <v>2928</v>
      </c>
      <c r="U1173" s="6">
        <v>2804</v>
      </c>
      <c r="V1173" s="6">
        <v>2688</v>
      </c>
      <c r="W1173" s="6">
        <v>2210</v>
      </c>
      <c r="X1173" s="6">
        <v>1762</v>
      </c>
      <c r="Y1173" s="6">
        <v>1872</v>
      </c>
      <c r="Z1173" s="6">
        <v>2010</v>
      </c>
      <c r="AA1173" s="6">
        <v>2339</v>
      </c>
      <c r="AB1173" s="6">
        <v>2397</v>
      </c>
      <c r="AC1173" s="6">
        <v>2713</v>
      </c>
      <c r="AD1173" s="6">
        <v>2693</v>
      </c>
      <c r="AE1173" s="6">
        <v>2632</v>
      </c>
      <c r="AF1173" s="6">
        <v>2307</v>
      </c>
      <c r="AG1173" s="6">
        <v>2432</v>
      </c>
    </row>
    <row r="1174" spans="1:33" x14ac:dyDescent="0.35">
      <c r="A1174" t="s">
        <v>1242</v>
      </c>
      <c r="B1174" s="3">
        <v>0.01</v>
      </c>
      <c r="C1174" s="3">
        <v>1E-3</v>
      </c>
      <c r="D1174" s="3">
        <v>5.0000000000000001E-3</v>
      </c>
      <c r="E1174" s="3">
        <v>8.9999999999999993E-3</v>
      </c>
      <c r="F1174" s="3">
        <v>0.46500000000000002</v>
      </c>
      <c r="G1174" s="3">
        <v>0.45600000000000002</v>
      </c>
      <c r="H1174" s="3">
        <v>0.46800000000000003</v>
      </c>
      <c r="I1174" s="3">
        <v>0.63300000000000001</v>
      </c>
      <c r="J1174" s="3">
        <v>0.20100000000000001</v>
      </c>
      <c r="K1174" s="3">
        <v>0.01</v>
      </c>
      <c r="L1174" s="3">
        <v>6.0000000000000001E-3</v>
      </c>
      <c r="M1174" s="3">
        <v>7.0000000000000001E-3</v>
      </c>
      <c r="N1174" s="3">
        <v>8.0000000000000002E-3</v>
      </c>
      <c r="O1174" s="3">
        <v>1.0999999999999999E-2</v>
      </c>
      <c r="P1174" s="3">
        <v>6.0000000000000001E-3</v>
      </c>
      <c r="Q1174" s="3">
        <v>3.0000000000000001E-3</v>
      </c>
      <c r="R1174" s="31">
        <v>0.45600000000000002</v>
      </c>
      <c r="S1174" s="31">
        <v>0.45800000000000002</v>
      </c>
      <c r="T1174" s="31">
        <v>0.52</v>
      </c>
      <c r="U1174" s="31">
        <v>0.46300000000000002</v>
      </c>
      <c r="V1174" s="31">
        <v>0.46500000000000002</v>
      </c>
      <c r="W1174" s="3">
        <v>0.182</v>
      </c>
      <c r="X1174" s="3">
        <v>7.0000000000000001E-3</v>
      </c>
      <c r="Y1174" s="3">
        <v>8.0000000000000002E-3</v>
      </c>
      <c r="Z1174" s="3">
        <v>5.0000000000000001E-3</v>
      </c>
      <c r="AA1174" s="3">
        <v>0.372</v>
      </c>
      <c r="AB1174" s="3">
        <v>0.39800000000000002</v>
      </c>
      <c r="AC1174" s="3">
        <v>0.46</v>
      </c>
      <c r="AD1174" s="3">
        <v>0.48</v>
      </c>
      <c r="AE1174" s="3">
        <v>0.47</v>
      </c>
      <c r="AF1174" s="3">
        <v>0.215</v>
      </c>
      <c r="AG1174" s="3">
        <v>7.0000000000000001E-3</v>
      </c>
    </row>
    <row r="1175" spans="1:33" x14ac:dyDescent="0.35">
      <c r="A1175" t="s">
        <v>1243</v>
      </c>
      <c r="B1175">
        <v>21</v>
      </c>
      <c r="C1175">
        <v>3</v>
      </c>
      <c r="D1175">
        <v>11</v>
      </c>
      <c r="E1175">
        <v>22</v>
      </c>
      <c r="F1175" s="6">
        <v>1027</v>
      </c>
      <c r="G1175">
        <v>963</v>
      </c>
      <c r="H1175">
        <v>913</v>
      </c>
      <c r="I1175" s="6">
        <v>1273</v>
      </c>
      <c r="J1175">
        <v>496</v>
      </c>
      <c r="K1175">
        <v>25</v>
      </c>
      <c r="L1175">
        <v>14</v>
      </c>
      <c r="M1175">
        <v>15</v>
      </c>
      <c r="N1175">
        <v>19</v>
      </c>
      <c r="O1175">
        <v>24</v>
      </c>
      <c r="P1175">
        <v>15</v>
      </c>
      <c r="Q1175">
        <v>6</v>
      </c>
      <c r="R1175">
        <v>953</v>
      </c>
      <c r="S1175">
        <v>949</v>
      </c>
      <c r="T1175" s="6">
        <v>1002</v>
      </c>
      <c r="U1175">
        <v>887</v>
      </c>
      <c r="V1175">
        <v>853</v>
      </c>
      <c r="W1175">
        <v>340</v>
      </c>
      <c r="X1175">
        <v>13</v>
      </c>
      <c r="Y1175">
        <v>16</v>
      </c>
      <c r="Z1175">
        <v>10</v>
      </c>
      <c r="AA1175">
        <v>634</v>
      </c>
      <c r="AB1175">
        <v>682</v>
      </c>
      <c r="AC1175">
        <v>855</v>
      </c>
      <c r="AD1175">
        <v>873</v>
      </c>
      <c r="AE1175">
        <v>842</v>
      </c>
      <c r="AF1175">
        <v>409</v>
      </c>
      <c r="AG1175">
        <v>16</v>
      </c>
    </row>
    <row r="1176" spans="1:33" x14ac:dyDescent="0.35">
      <c r="A1176" t="s">
        <v>1244</v>
      </c>
      <c r="B1176" s="6">
        <v>1974</v>
      </c>
      <c r="C1176" s="6">
        <v>2203</v>
      </c>
      <c r="D1176" s="6">
        <v>2395</v>
      </c>
      <c r="E1176" s="6">
        <v>2507</v>
      </c>
      <c r="F1176" s="6">
        <v>2206</v>
      </c>
      <c r="G1176" s="6">
        <v>2112</v>
      </c>
      <c r="H1176" s="6">
        <v>1951</v>
      </c>
      <c r="I1176" s="6">
        <v>2011</v>
      </c>
      <c r="J1176" s="6">
        <v>2465</v>
      </c>
      <c r="K1176" s="6">
        <v>2476</v>
      </c>
      <c r="L1176" s="6">
        <v>2575</v>
      </c>
      <c r="M1176" s="6">
        <v>2232</v>
      </c>
      <c r="N1176" s="6">
        <v>2387</v>
      </c>
      <c r="O1176" s="6">
        <v>2261</v>
      </c>
      <c r="P1176" s="6">
        <v>2377</v>
      </c>
      <c r="Q1176" s="6">
        <v>2317</v>
      </c>
      <c r="R1176" s="6">
        <v>2090</v>
      </c>
      <c r="S1176" s="6">
        <v>2069</v>
      </c>
      <c r="T1176" s="6">
        <v>1926</v>
      </c>
      <c r="U1176" s="6">
        <v>1917</v>
      </c>
      <c r="V1176" s="6">
        <v>1835</v>
      </c>
      <c r="W1176" s="6">
        <v>1870</v>
      </c>
      <c r="X1176" s="6">
        <v>1749</v>
      </c>
      <c r="Y1176" s="6">
        <v>1856</v>
      </c>
      <c r="Z1176" s="6">
        <v>2001</v>
      </c>
      <c r="AA1176" s="10">
        <v>1705</v>
      </c>
      <c r="AB1176" s="10">
        <v>1715</v>
      </c>
      <c r="AC1176" s="10">
        <v>1858</v>
      </c>
      <c r="AD1176" s="10">
        <v>1820</v>
      </c>
      <c r="AE1176" s="10">
        <v>1790</v>
      </c>
      <c r="AF1176" s="6">
        <v>1898</v>
      </c>
      <c r="AG1176" s="6">
        <v>2416</v>
      </c>
    </row>
    <row r="1177" spans="1:33" x14ac:dyDescent="0.35">
      <c r="A1177" t="s">
        <v>1245</v>
      </c>
      <c r="B1177" s="7">
        <v>2.98</v>
      </c>
      <c r="C1177" s="7">
        <v>2.99</v>
      </c>
      <c r="D1177" s="7">
        <v>2.98</v>
      </c>
      <c r="E1177" s="7">
        <v>2.97</v>
      </c>
      <c r="F1177" s="7">
        <v>2.5499999999999998</v>
      </c>
      <c r="G1177" s="7">
        <v>2.4300000000000002</v>
      </c>
      <c r="H1177" s="7">
        <v>2.44</v>
      </c>
      <c r="I1177" s="7">
        <v>2.4</v>
      </c>
      <c r="J1177" s="7">
        <v>2.81</v>
      </c>
      <c r="K1177" s="7">
        <v>2.98</v>
      </c>
      <c r="L1177" s="7">
        <v>2.98</v>
      </c>
      <c r="M1177" s="7">
        <v>2.98</v>
      </c>
      <c r="N1177" s="7">
        <v>2.97</v>
      </c>
      <c r="O1177" s="7">
        <v>2.97</v>
      </c>
      <c r="P1177" s="7">
        <v>2.98</v>
      </c>
      <c r="Q1177" s="7">
        <v>2.98</v>
      </c>
      <c r="R1177" s="7">
        <v>2.52</v>
      </c>
      <c r="S1177" s="7">
        <v>2.41</v>
      </c>
      <c r="T1177" s="7">
        <v>2.4</v>
      </c>
      <c r="U1177" s="7">
        <v>2.39</v>
      </c>
      <c r="V1177" s="7">
        <v>2.4</v>
      </c>
      <c r="W1177" s="7">
        <v>2.78</v>
      </c>
      <c r="X1177" s="7">
        <v>2.97</v>
      </c>
      <c r="Y1177" s="7">
        <v>2.98</v>
      </c>
      <c r="Z1177" s="7">
        <v>2.97</v>
      </c>
      <c r="AA1177" s="7">
        <v>2.5</v>
      </c>
      <c r="AB1177" s="7">
        <v>2.41</v>
      </c>
      <c r="AC1177" s="7">
        <v>2.4</v>
      </c>
      <c r="AD1177" s="7">
        <v>2.39</v>
      </c>
      <c r="AE1177" s="7">
        <v>2.39</v>
      </c>
      <c r="AF1177" s="7">
        <v>2.77</v>
      </c>
      <c r="AG1177" s="7">
        <v>3.04</v>
      </c>
    </row>
    <row r="1178" spans="1:33" x14ac:dyDescent="0.35">
      <c r="F1178" s="6">
        <f>SUM(F1176:I1176)</f>
        <v>8280</v>
      </c>
      <c r="G1178" s="6">
        <f>SUM(F1175:I1175)</f>
        <v>4176</v>
      </c>
      <c r="R1178" s="6">
        <f>SUM(R1176:V1176)</f>
        <v>9837</v>
      </c>
      <c r="S1178">
        <f>SUM(R1175:V1175)</f>
        <v>4644</v>
      </c>
      <c r="AA1178" s="6">
        <f>SUM(AA1176:AE1176)</f>
        <v>8888</v>
      </c>
      <c r="AB1178">
        <f>SUM(AA1175:AE1175)</f>
        <v>3886</v>
      </c>
    </row>
    <row r="1181" spans="1:33" x14ac:dyDescent="0.35">
      <c r="A1181" t="s">
        <v>1240</v>
      </c>
      <c r="B1181" s="5">
        <v>46026</v>
      </c>
      <c r="C1181" s="5">
        <v>46033</v>
      </c>
      <c r="D1181" s="5">
        <v>46040</v>
      </c>
      <c r="E1181" s="5">
        <v>46047</v>
      </c>
      <c r="F1181" s="5">
        <v>46054</v>
      </c>
      <c r="G1181" s="5">
        <v>46061</v>
      </c>
      <c r="H1181" s="5">
        <v>46068</v>
      </c>
      <c r="I1181" s="5">
        <v>46075</v>
      </c>
      <c r="J1181" s="5">
        <v>46082</v>
      </c>
      <c r="K1181" s="5">
        <v>46089</v>
      </c>
      <c r="L1181" s="5">
        <v>46096</v>
      </c>
      <c r="M1181" s="5">
        <v>46103</v>
      </c>
      <c r="N1181" s="5">
        <v>46110</v>
      </c>
      <c r="O1181" s="5">
        <v>46117</v>
      </c>
      <c r="P1181" s="5">
        <v>46124</v>
      </c>
      <c r="Q1181" s="5">
        <v>46131</v>
      </c>
      <c r="R1181" s="5">
        <v>46138</v>
      </c>
      <c r="S1181" s="5">
        <v>46145</v>
      </c>
      <c r="T1181" s="5">
        <v>46152</v>
      </c>
      <c r="U1181" s="5">
        <v>46159</v>
      </c>
      <c r="V1181" s="5">
        <v>46166</v>
      </c>
      <c r="W1181" s="5">
        <v>46173</v>
      </c>
      <c r="X1181" s="5">
        <v>46180</v>
      </c>
      <c r="Y1181" s="5">
        <v>46187</v>
      </c>
      <c r="Z1181" s="5">
        <v>46194</v>
      </c>
      <c r="AA1181" s="103">
        <v>46201</v>
      </c>
      <c r="AB1181" s="103">
        <v>46208</v>
      </c>
      <c r="AC1181" s="103">
        <v>46215</v>
      </c>
      <c r="AD1181" s="103">
        <v>46222</v>
      </c>
      <c r="AE1181" s="103">
        <v>46229</v>
      </c>
      <c r="AF1181" s="5">
        <v>46236</v>
      </c>
      <c r="AG1181" s="5">
        <v>46243</v>
      </c>
    </row>
    <row r="1182" spans="1:33" x14ac:dyDescent="0.35">
      <c r="A1182" t="s">
        <v>1242</v>
      </c>
      <c r="B1182" s="3">
        <v>0.01</v>
      </c>
      <c r="C1182" s="3">
        <v>1E-3</v>
      </c>
      <c r="D1182" s="3">
        <v>5.0000000000000001E-3</v>
      </c>
      <c r="E1182" s="3">
        <v>8.9999999999999993E-3</v>
      </c>
      <c r="F1182" s="3">
        <v>0.46500000000000002</v>
      </c>
      <c r="G1182" s="3">
        <v>0.45600000000000002</v>
      </c>
      <c r="H1182" s="3">
        <v>0.46800000000000003</v>
      </c>
      <c r="I1182" s="3">
        <v>0.63300000000000001</v>
      </c>
      <c r="J1182" s="3">
        <v>0.20100000000000001</v>
      </c>
      <c r="K1182" s="3">
        <v>0.01</v>
      </c>
      <c r="L1182" s="3">
        <v>6.0000000000000001E-3</v>
      </c>
      <c r="M1182" s="3">
        <v>7.0000000000000001E-3</v>
      </c>
      <c r="N1182" s="3">
        <v>8.0000000000000002E-3</v>
      </c>
      <c r="O1182" s="3">
        <v>1.0999999999999999E-2</v>
      </c>
      <c r="P1182" s="3">
        <v>6.0000000000000001E-3</v>
      </c>
      <c r="Q1182" s="3">
        <v>3.0000000000000001E-3</v>
      </c>
      <c r="R1182" s="3">
        <v>0.45600000000000002</v>
      </c>
      <c r="S1182" s="3">
        <v>0.45800000000000002</v>
      </c>
      <c r="T1182" s="3">
        <v>0.52</v>
      </c>
      <c r="U1182" s="3">
        <v>0.46300000000000002</v>
      </c>
      <c r="V1182" s="3">
        <v>0.46500000000000002</v>
      </c>
      <c r="W1182" s="3">
        <v>0.182</v>
      </c>
      <c r="X1182" s="3">
        <v>7.0000000000000001E-3</v>
      </c>
      <c r="Y1182" s="3">
        <v>8.0000000000000002E-3</v>
      </c>
      <c r="Z1182" s="3">
        <v>5.0000000000000001E-3</v>
      </c>
      <c r="AA1182" s="3">
        <v>0.372</v>
      </c>
      <c r="AB1182" s="3">
        <v>0.39800000000000002</v>
      </c>
      <c r="AC1182" s="3">
        <v>0.46</v>
      </c>
      <c r="AD1182" s="3">
        <v>0.48</v>
      </c>
      <c r="AE1182" s="3">
        <v>0.47</v>
      </c>
      <c r="AF1182" s="3">
        <v>0.215</v>
      </c>
      <c r="AG1182" s="3">
        <v>7.0000000000000001E-3</v>
      </c>
    </row>
    <row r="1183" spans="1:33" x14ac:dyDescent="0.35">
      <c r="A1183" t="s">
        <v>1247</v>
      </c>
      <c r="B1183" s="3">
        <v>6.7000000000000004E-2</v>
      </c>
      <c r="C1183" s="3">
        <v>6.2E-2</v>
      </c>
      <c r="D1183" s="3">
        <v>5.8000000000000003E-2</v>
      </c>
      <c r="E1183" s="3">
        <v>8.6999999999999994E-2</v>
      </c>
      <c r="F1183" s="3">
        <v>0.11799999999999999</v>
      </c>
      <c r="G1183" s="3">
        <v>0.13400000000000001</v>
      </c>
      <c r="H1183" s="3">
        <v>0.13600000000000001</v>
      </c>
      <c r="I1183" s="3">
        <v>0.13800000000000001</v>
      </c>
      <c r="J1183" s="3">
        <v>0.08</v>
      </c>
      <c r="K1183" s="3">
        <v>6.3E-2</v>
      </c>
      <c r="L1183" s="3">
        <v>0.06</v>
      </c>
      <c r="M1183" s="3">
        <v>6.6000000000000003E-2</v>
      </c>
      <c r="N1183" s="3">
        <v>6.9000000000000006E-2</v>
      </c>
      <c r="O1183" s="3">
        <v>5.7000000000000002E-2</v>
      </c>
      <c r="P1183" s="3">
        <v>7.0999999999999994E-2</v>
      </c>
      <c r="Q1183" s="3">
        <v>5.3999999999999999E-2</v>
      </c>
      <c r="R1183" s="3">
        <v>0.114</v>
      </c>
      <c r="S1183" s="3">
        <v>0.13600000000000001</v>
      </c>
      <c r="T1183" s="3">
        <v>0.13300000000000001</v>
      </c>
      <c r="U1183" s="3">
        <v>0.13400000000000001</v>
      </c>
      <c r="V1183" s="3">
        <v>0.122</v>
      </c>
      <c r="W1183" s="3">
        <v>8.6999999999999994E-2</v>
      </c>
      <c r="X1183" s="3">
        <v>6.3E-2</v>
      </c>
      <c r="Y1183" s="3">
        <v>7.3999999999999996E-2</v>
      </c>
      <c r="Z1183" s="3">
        <v>6.8000000000000005E-2</v>
      </c>
      <c r="AA1183" s="3">
        <v>0.124</v>
      </c>
      <c r="AB1183" s="3">
        <v>0.122</v>
      </c>
      <c r="AC1183" s="3">
        <v>0.124</v>
      </c>
      <c r="AD1183" s="3">
        <v>0.127</v>
      </c>
      <c r="AE1183" s="3">
        <v>0.122</v>
      </c>
      <c r="AF1183" s="3">
        <v>8.6999999999999994E-2</v>
      </c>
      <c r="AG1183" s="3">
        <v>7.3999999999999996E-2</v>
      </c>
    </row>
    <row r="1184" spans="1:33" x14ac:dyDescent="0.35">
      <c r="A1184" t="s">
        <v>1248</v>
      </c>
      <c r="B1184" s="7">
        <v>0.2</v>
      </c>
      <c r="C1184" s="7">
        <v>0.18</v>
      </c>
      <c r="D1184" s="7">
        <v>0.17</v>
      </c>
      <c r="E1184" s="7">
        <v>0.26</v>
      </c>
      <c r="F1184" s="7">
        <v>0.33</v>
      </c>
      <c r="G1184" s="7">
        <v>0.37</v>
      </c>
      <c r="H1184" s="7">
        <v>0.38</v>
      </c>
      <c r="I1184" s="7">
        <v>0.38</v>
      </c>
      <c r="J1184" s="7">
        <v>0.23</v>
      </c>
      <c r="K1184" s="7">
        <v>0.19</v>
      </c>
      <c r="L1184" s="7">
        <v>0.18</v>
      </c>
      <c r="M1184" s="7">
        <v>0.2</v>
      </c>
      <c r="N1184" s="7">
        <v>0.2</v>
      </c>
      <c r="O1184" s="7">
        <v>0.17</v>
      </c>
      <c r="P1184" s="7">
        <v>0.21</v>
      </c>
      <c r="Q1184" s="7">
        <v>0.16</v>
      </c>
      <c r="R1184" s="7">
        <v>0.32</v>
      </c>
      <c r="S1184" s="7">
        <v>0.38</v>
      </c>
      <c r="T1184" s="7">
        <v>0.37</v>
      </c>
      <c r="U1184" s="7">
        <v>0.37</v>
      </c>
      <c r="V1184" s="7">
        <v>0.33</v>
      </c>
      <c r="W1184" s="7">
        <v>0.25</v>
      </c>
      <c r="X1184" s="7">
        <v>0.19</v>
      </c>
      <c r="Y1184" s="7">
        <v>0.22</v>
      </c>
      <c r="Z1184" s="7">
        <v>0.2</v>
      </c>
      <c r="AA1184" s="7">
        <v>0.35</v>
      </c>
      <c r="AB1184" s="7">
        <v>0.33</v>
      </c>
      <c r="AC1184" s="7">
        <v>0.34</v>
      </c>
      <c r="AD1184" s="7">
        <v>0.35</v>
      </c>
      <c r="AE1184" s="7">
        <v>0.33</v>
      </c>
      <c r="AF1184" s="7">
        <v>0.25</v>
      </c>
      <c r="AG1184" s="7">
        <v>0.22</v>
      </c>
    </row>
    <row r="1185" spans="1:33" x14ac:dyDescent="0.35">
      <c r="A1185" t="s">
        <v>1249</v>
      </c>
      <c r="B1185" s="7">
        <v>2.79</v>
      </c>
      <c r="C1185" s="7">
        <v>2.8</v>
      </c>
      <c r="D1185" s="7">
        <v>2.81</v>
      </c>
      <c r="E1185" s="7">
        <v>2.72</v>
      </c>
      <c r="F1185" s="142">
        <v>2.5099999999999998</v>
      </c>
      <c r="G1185" s="142">
        <v>2.4</v>
      </c>
      <c r="H1185" s="142">
        <v>2.4</v>
      </c>
      <c r="I1185" s="142">
        <v>2.39</v>
      </c>
      <c r="J1185" s="7">
        <v>2.67</v>
      </c>
      <c r="K1185" s="7">
        <v>2.79</v>
      </c>
      <c r="L1185" s="7">
        <v>2.8</v>
      </c>
      <c r="M1185" s="7">
        <v>2.78</v>
      </c>
      <c r="N1185" s="7">
        <v>2.77</v>
      </c>
      <c r="O1185" s="7">
        <v>2.81</v>
      </c>
      <c r="P1185" s="7">
        <v>2.77</v>
      </c>
      <c r="Q1185" s="7">
        <v>2.82</v>
      </c>
      <c r="R1185" s="7">
        <v>2.5</v>
      </c>
      <c r="S1185" s="7">
        <v>2.4</v>
      </c>
      <c r="T1185" s="7">
        <v>2.39</v>
      </c>
      <c r="U1185" s="7">
        <v>2.38</v>
      </c>
      <c r="V1185" s="7">
        <v>2.39</v>
      </c>
      <c r="W1185" s="7">
        <v>2.64</v>
      </c>
      <c r="X1185" s="7">
        <v>2.79</v>
      </c>
      <c r="Y1185" s="7">
        <v>2.76</v>
      </c>
      <c r="Z1185" s="7">
        <v>2.77</v>
      </c>
      <c r="AA1185" s="32">
        <v>2.4500000000000002</v>
      </c>
      <c r="AB1185" s="32">
        <v>2.39</v>
      </c>
      <c r="AC1185" s="32">
        <v>2.39</v>
      </c>
      <c r="AD1185" s="32">
        <v>2.37</v>
      </c>
      <c r="AE1185" s="32">
        <v>2.38</v>
      </c>
      <c r="AF1185" s="7">
        <v>2.63</v>
      </c>
      <c r="AG1185" s="7">
        <v>2.82</v>
      </c>
    </row>
    <row r="1186" spans="1:33" x14ac:dyDescent="0.35">
      <c r="A1186" t="s">
        <v>1250</v>
      </c>
      <c r="B1186" s="7">
        <v>2.98</v>
      </c>
      <c r="C1186" s="7">
        <v>2.99</v>
      </c>
      <c r="D1186" s="7">
        <v>2.98</v>
      </c>
      <c r="E1186" s="7">
        <v>2.98</v>
      </c>
      <c r="F1186" s="7">
        <v>2.84</v>
      </c>
      <c r="G1186" s="7">
        <v>2.77</v>
      </c>
      <c r="H1186" s="7">
        <v>2.78</v>
      </c>
      <c r="I1186" s="7">
        <v>2.77</v>
      </c>
      <c r="J1186" s="7">
        <v>2.9</v>
      </c>
      <c r="K1186" s="7">
        <v>2.98</v>
      </c>
      <c r="L1186" s="7">
        <v>2.98</v>
      </c>
      <c r="M1186" s="7">
        <v>2.98</v>
      </c>
      <c r="N1186" s="7">
        <v>2.98</v>
      </c>
      <c r="O1186" s="7">
        <v>2.98</v>
      </c>
      <c r="P1186" s="7">
        <v>2.98</v>
      </c>
      <c r="Q1186" s="7">
        <v>2.98</v>
      </c>
      <c r="R1186" s="7">
        <v>2.82</v>
      </c>
      <c r="S1186" s="7">
        <v>2.78</v>
      </c>
      <c r="T1186" s="7">
        <v>2.76</v>
      </c>
      <c r="U1186" s="7">
        <v>2.75</v>
      </c>
      <c r="V1186" s="7">
        <v>2.72</v>
      </c>
      <c r="W1186" s="7">
        <v>2.89</v>
      </c>
      <c r="X1186" s="7">
        <v>2.98</v>
      </c>
      <c r="Y1186" s="7">
        <v>2.98</v>
      </c>
      <c r="Z1186" s="7">
        <v>2.97</v>
      </c>
      <c r="AA1186" s="7">
        <v>2.8</v>
      </c>
      <c r="AB1186" s="7">
        <v>2.72</v>
      </c>
      <c r="AC1186" s="7">
        <v>2.72</v>
      </c>
      <c r="AD1186" s="7">
        <v>2.72</v>
      </c>
      <c r="AE1186" s="7">
        <v>2.71</v>
      </c>
      <c r="AF1186" s="7">
        <v>2.88</v>
      </c>
      <c r="AG1186" s="7">
        <v>3.04</v>
      </c>
    </row>
    <row r="1187" spans="1:33" x14ac:dyDescent="0.35">
      <c r="A1187" t="s">
        <v>1245</v>
      </c>
      <c r="B1187" s="7">
        <v>2.98</v>
      </c>
      <c r="C1187" s="7">
        <v>2.99</v>
      </c>
      <c r="D1187" s="7">
        <v>2.98</v>
      </c>
      <c r="E1187" s="7">
        <v>2.97</v>
      </c>
      <c r="F1187" s="7">
        <v>2.5499999999999998</v>
      </c>
      <c r="G1187" s="7">
        <v>2.4300000000000002</v>
      </c>
      <c r="H1187" s="7">
        <v>2.44</v>
      </c>
      <c r="I1187" s="7">
        <v>2.4</v>
      </c>
      <c r="J1187" s="7">
        <v>2.81</v>
      </c>
      <c r="K1187" s="7">
        <v>2.98</v>
      </c>
      <c r="L1187" s="7">
        <v>2.98</v>
      </c>
      <c r="M1187" s="7">
        <v>2.98</v>
      </c>
      <c r="N1187" s="7">
        <v>2.97</v>
      </c>
      <c r="O1187" s="7">
        <v>2.97</v>
      </c>
      <c r="P1187" s="7">
        <v>2.98</v>
      </c>
      <c r="Q1187" s="7">
        <v>2.98</v>
      </c>
      <c r="R1187" s="7">
        <v>2.52</v>
      </c>
      <c r="S1187" s="7">
        <v>2.41</v>
      </c>
      <c r="T1187" s="7">
        <v>2.4</v>
      </c>
      <c r="U1187" s="7">
        <v>2.39</v>
      </c>
      <c r="V1187" s="7">
        <v>2.4</v>
      </c>
      <c r="W1187" s="7">
        <v>2.78</v>
      </c>
      <c r="X1187" s="7">
        <v>2.97</v>
      </c>
      <c r="Y1187" s="7">
        <v>2.98</v>
      </c>
      <c r="Z1187" s="7">
        <v>2.97</v>
      </c>
      <c r="AA1187" s="7">
        <v>2.5</v>
      </c>
      <c r="AB1187" s="7">
        <v>2.41</v>
      </c>
      <c r="AC1187" s="7">
        <v>2.4</v>
      </c>
      <c r="AD1187" s="7">
        <v>2.39</v>
      </c>
      <c r="AE1187" s="7">
        <v>2.39</v>
      </c>
      <c r="AF1187" s="7">
        <v>2.77</v>
      </c>
      <c r="AG1187" s="7">
        <v>3.04</v>
      </c>
    </row>
    <row r="1189" spans="1:33" s="66" customFormat="1" x14ac:dyDescent="0.35"/>
    <row r="1190" spans="1:33" x14ac:dyDescent="0.35">
      <c r="A1190" s="49" t="s">
        <v>1508</v>
      </c>
    </row>
    <row r="1192" spans="1:33" x14ac:dyDescent="0.35">
      <c r="A1192" t="s">
        <v>1240</v>
      </c>
      <c r="B1192" s="5">
        <v>46026</v>
      </c>
      <c r="C1192" s="5">
        <v>46033</v>
      </c>
      <c r="D1192" s="5">
        <v>46040</v>
      </c>
      <c r="E1192" s="5">
        <v>46047</v>
      </c>
      <c r="F1192" s="128">
        <v>46054</v>
      </c>
      <c r="G1192" s="128">
        <v>46061</v>
      </c>
      <c r="H1192" s="128">
        <v>46068</v>
      </c>
      <c r="I1192" s="128">
        <v>46075</v>
      </c>
      <c r="J1192" s="128">
        <v>46082</v>
      </c>
      <c r="K1192" s="128">
        <v>46089</v>
      </c>
      <c r="L1192" s="5">
        <v>46096</v>
      </c>
      <c r="M1192" s="5">
        <v>46103</v>
      </c>
      <c r="N1192" s="5">
        <v>46110</v>
      </c>
      <c r="O1192" s="5">
        <v>46117</v>
      </c>
      <c r="P1192" s="5">
        <v>46124</v>
      </c>
      <c r="Q1192" s="5">
        <v>46131</v>
      </c>
      <c r="R1192" s="5">
        <v>46138</v>
      </c>
      <c r="S1192" s="128">
        <v>46145</v>
      </c>
      <c r="T1192" s="128">
        <v>46152</v>
      </c>
      <c r="U1192" s="128">
        <v>46159</v>
      </c>
      <c r="V1192" s="128">
        <v>46166</v>
      </c>
      <c r="W1192" s="128">
        <v>46173</v>
      </c>
      <c r="X1192" s="5">
        <v>46180</v>
      </c>
      <c r="Y1192" s="5">
        <v>46187</v>
      </c>
      <c r="Z1192" s="5">
        <v>46194</v>
      </c>
      <c r="AA1192" s="5">
        <v>46201</v>
      </c>
      <c r="AB1192" s="5">
        <v>46208</v>
      </c>
      <c r="AC1192" s="5">
        <v>46215</v>
      </c>
      <c r="AD1192" s="5">
        <v>46222</v>
      </c>
      <c r="AE1192" s="5">
        <v>46229</v>
      </c>
      <c r="AF1192" s="5">
        <v>46236</v>
      </c>
      <c r="AG1192" s="5">
        <v>46243</v>
      </c>
    </row>
    <row r="1193" spans="1:33" x14ac:dyDescent="0.35">
      <c r="A1193" t="s">
        <v>1241</v>
      </c>
      <c r="B1193" s="6">
        <v>4038</v>
      </c>
      <c r="C1193" s="6">
        <v>4770</v>
      </c>
      <c r="D1193" s="6">
        <v>4011</v>
      </c>
      <c r="E1193" s="6">
        <v>4392</v>
      </c>
      <c r="F1193" s="6">
        <v>5509</v>
      </c>
      <c r="G1193" s="6">
        <v>6770</v>
      </c>
      <c r="H1193" s="6">
        <v>6008</v>
      </c>
      <c r="I1193" s="6">
        <v>6259</v>
      </c>
      <c r="J1193" s="6">
        <v>6761</v>
      </c>
      <c r="K1193" s="6">
        <v>6630</v>
      </c>
      <c r="L1193" s="6">
        <v>6828</v>
      </c>
      <c r="M1193" s="6">
        <v>6283</v>
      </c>
      <c r="N1193" s="6">
        <v>5104</v>
      </c>
      <c r="O1193" s="6">
        <v>4313</v>
      </c>
      <c r="P1193" s="6">
        <v>3895</v>
      </c>
      <c r="Q1193" s="6">
        <v>4094</v>
      </c>
      <c r="R1193" s="6">
        <v>3757</v>
      </c>
      <c r="S1193" s="6">
        <v>4604</v>
      </c>
      <c r="T1193" s="6">
        <v>5270</v>
      </c>
      <c r="U1193" s="6">
        <v>5068</v>
      </c>
      <c r="V1193" s="6">
        <v>5304</v>
      </c>
      <c r="W1193" s="6">
        <v>4770</v>
      </c>
      <c r="X1193" s="6">
        <v>3650</v>
      </c>
      <c r="Y1193" s="6">
        <v>3830</v>
      </c>
      <c r="Z1193" s="6">
        <v>3601</v>
      </c>
      <c r="AA1193" s="6">
        <v>3743</v>
      </c>
      <c r="AB1193" s="6">
        <v>4127</v>
      </c>
      <c r="AC1193" s="6">
        <v>5219</v>
      </c>
      <c r="AD1193" s="6">
        <v>6001</v>
      </c>
      <c r="AE1193" s="6">
        <v>5630</v>
      </c>
      <c r="AF1193" s="6">
        <v>7719</v>
      </c>
      <c r="AG1193" s="6">
        <v>9188</v>
      </c>
    </row>
    <row r="1194" spans="1:33" x14ac:dyDescent="0.35">
      <c r="A1194" t="s">
        <v>1242</v>
      </c>
      <c r="B1194" s="3">
        <v>3.1E-2</v>
      </c>
      <c r="C1194" s="3">
        <v>1.4999999999999999E-2</v>
      </c>
      <c r="D1194" s="3">
        <v>4.0000000000000001E-3</v>
      </c>
      <c r="E1194" s="3">
        <v>2E-3</v>
      </c>
      <c r="F1194" s="130">
        <v>0.23499999999999999</v>
      </c>
      <c r="G1194" s="130">
        <v>0.373</v>
      </c>
      <c r="H1194" s="130">
        <v>0.27900000000000003</v>
      </c>
      <c r="I1194" s="130">
        <v>0.32500000000000001</v>
      </c>
      <c r="J1194" s="130">
        <v>0.313</v>
      </c>
      <c r="K1194" s="130">
        <v>0.316</v>
      </c>
      <c r="L1194" s="3">
        <v>6.9000000000000006E-2</v>
      </c>
      <c r="M1194" s="3">
        <v>4.2000000000000003E-2</v>
      </c>
      <c r="N1194" s="3">
        <v>1.2999999999999999E-2</v>
      </c>
      <c r="O1194" s="3">
        <v>7.0000000000000001E-3</v>
      </c>
      <c r="P1194" s="3">
        <v>8.0000000000000002E-3</v>
      </c>
      <c r="Q1194" s="3">
        <v>3.0000000000000001E-3</v>
      </c>
      <c r="R1194" s="3">
        <v>0</v>
      </c>
      <c r="S1194" s="3">
        <v>0.22700000000000001</v>
      </c>
      <c r="T1194" s="3">
        <v>0.46</v>
      </c>
      <c r="U1194" s="3">
        <v>0.53300000000000003</v>
      </c>
      <c r="V1194" s="3">
        <v>0.621</v>
      </c>
      <c r="W1194" s="3">
        <v>0.26700000000000002</v>
      </c>
      <c r="X1194" s="3">
        <v>7.0000000000000001E-3</v>
      </c>
      <c r="Y1194" s="3">
        <v>3.7999999999999999E-2</v>
      </c>
      <c r="Z1194" s="3">
        <v>4.8000000000000001E-2</v>
      </c>
      <c r="AA1194" s="3">
        <v>0.127</v>
      </c>
      <c r="AB1194" s="3">
        <v>0.21099999999999999</v>
      </c>
      <c r="AC1194" s="3">
        <v>0.52500000000000002</v>
      </c>
      <c r="AD1194" s="3">
        <v>0.58699999999999997</v>
      </c>
      <c r="AE1194" s="3">
        <v>0.503</v>
      </c>
      <c r="AF1194" s="3">
        <v>1.1619999999999999</v>
      </c>
      <c r="AG1194" s="3">
        <v>1.4219999999999999</v>
      </c>
    </row>
    <row r="1195" spans="1:33" x14ac:dyDescent="0.35">
      <c r="A1195" t="s">
        <v>1243</v>
      </c>
      <c r="B1195">
        <v>121</v>
      </c>
      <c r="C1195">
        <v>69</v>
      </c>
      <c r="D1195">
        <v>17</v>
      </c>
      <c r="E1195">
        <v>11</v>
      </c>
      <c r="F1195" s="10">
        <v>1049</v>
      </c>
      <c r="G1195" s="10">
        <v>1841</v>
      </c>
      <c r="H1195" s="10">
        <v>1310</v>
      </c>
      <c r="I1195" s="10">
        <v>1534</v>
      </c>
      <c r="J1195" s="10">
        <v>1613</v>
      </c>
      <c r="K1195" s="10">
        <v>1591</v>
      </c>
      <c r="L1195">
        <v>442</v>
      </c>
      <c r="M1195">
        <v>255</v>
      </c>
      <c r="N1195">
        <v>66</v>
      </c>
      <c r="O1195">
        <v>29</v>
      </c>
      <c r="P1195">
        <v>31</v>
      </c>
      <c r="Q1195">
        <v>13</v>
      </c>
      <c r="R1195">
        <v>0</v>
      </c>
      <c r="S1195">
        <v>852</v>
      </c>
      <c r="T1195" s="6">
        <v>1660</v>
      </c>
      <c r="U1195" s="6">
        <v>1761</v>
      </c>
      <c r="V1195" s="6">
        <v>2032</v>
      </c>
      <c r="W1195" s="6">
        <v>1006</v>
      </c>
      <c r="X1195">
        <v>26</v>
      </c>
      <c r="Y1195">
        <v>140</v>
      </c>
      <c r="Z1195">
        <v>164</v>
      </c>
      <c r="AA1195">
        <v>422</v>
      </c>
      <c r="AB1195">
        <v>718</v>
      </c>
      <c r="AC1195" s="6">
        <v>1797</v>
      </c>
      <c r="AD1195" s="6">
        <v>2219</v>
      </c>
      <c r="AE1195" s="6">
        <v>1884</v>
      </c>
      <c r="AF1195" s="6">
        <v>4149</v>
      </c>
      <c r="AG1195" s="6">
        <v>5394</v>
      </c>
    </row>
    <row r="1196" spans="1:33" x14ac:dyDescent="0.35">
      <c r="A1196" t="s">
        <v>1244</v>
      </c>
      <c r="B1196" s="6">
        <v>3917</v>
      </c>
      <c r="C1196" s="6">
        <v>4701</v>
      </c>
      <c r="D1196" s="6">
        <v>3994</v>
      </c>
      <c r="E1196" s="6">
        <v>4381</v>
      </c>
      <c r="F1196" s="10">
        <v>4460</v>
      </c>
      <c r="G1196" s="10">
        <v>4929</v>
      </c>
      <c r="H1196" s="10">
        <v>4698</v>
      </c>
      <c r="I1196" s="10">
        <v>4725</v>
      </c>
      <c r="J1196" s="10">
        <v>5148</v>
      </c>
      <c r="K1196" s="10">
        <v>5039</v>
      </c>
      <c r="L1196" s="6">
        <v>6386</v>
      </c>
      <c r="M1196" s="6">
        <v>6028</v>
      </c>
      <c r="N1196" s="6">
        <v>5038</v>
      </c>
      <c r="O1196" s="6">
        <v>4284</v>
      </c>
      <c r="P1196" s="6">
        <v>3864</v>
      </c>
      <c r="Q1196" s="6">
        <v>4081</v>
      </c>
      <c r="R1196" s="6">
        <v>3757</v>
      </c>
      <c r="S1196" s="6">
        <v>3752</v>
      </c>
      <c r="T1196" s="6">
        <v>3610</v>
      </c>
      <c r="U1196" s="6">
        <v>3307</v>
      </c>
      <c r="V1196" s="6">
        <v>3273</v>
      </c>
      <c r="W1196" s="6">
        <v>3764</v>
      </c>
      <c r="X1196" s="6">
        <v>3624</v>
      </c>
      <c r="Y1196" s="6">
        <v>3691</v>
      </c>
      <c r="Z1196" s="6">
        <v>3437</v>
      </c>
      <c r="AA1196" s="6">
        <v>3321</v>
      </c>
      <c r="AB1196" s="6">
        <v>3409</v>
      </c>
      <c r="AC1196" s="6">
        <v>3422</v>
      </c>
      <c r="AD1196" s="6">
        <v>3782</v>
      </c>
      <c r="AE1196" s="6">
        <v>3746</v>
      </c>
      <c r="AF1196" s="6">
        <v>3570</v>
      </c>
      <c r="AG1196" s="6">
        <v>3794</v>
      </c>
    </row>
    <row r="1197" spans="1:33" x14ac:dyDescent="0.35">
      <c r="A1197" t="s">
        <v>1245</v>
      </c>
      <c r="B1197" s="7">
        <v>2.5299999999999998</v>
      </c>
      <c r="C1197" s="7">
        <v>2.73</v>
      </c>
      <c r="D1197" s="7">
        <v>2.98</v>
      </c>
      <c r="E1197" s="7">
        <v>2.97</v>
      </c>
      <c r="F1197" s="7">
        <v>2.65</v>
      </c>
      <c r="G1197" s="7">
        <v>2.5299999999999998</v>
      </c>
      <c r="H1197" s="7">
        <v>2.54</v>
      </c>
      <c r="I1197" s="7">
        <v>2.54</v>
      </c>
      <c r="J1197" s="7">
        <v>2.54</v>
      </c>
      <c r="K1197" s="7">
        <v>2.5299999999999998</v>
      </c>
      <c r="L1197" s="7">
        <v>2.5299999999999998</v>
      </c>
      <c r="M1197" s="7">
        <v>2.5299999999999998</v>
      </c>
      <c r="N1197" s="7">
        <v>2.78</v>
      </c>
      <c r="O1197" s="7">
        <v>2.97</v>
      </c>
      <c r="P1197" s="7">
        <v>2.97</v>
      </c>
      <c r="Q1197" s="7">
        <v>2.99</v>
      </c>
      <c r="R1197" s="7">
        <v>2.99</v>
      </c>
      <c r="S1197" s="7">
        <v>2.71</v>
      </c>
      <c r="T1197" s="7">
        <v>2.54</v>
      </c>
      <c r="U1197" s="7">
        <v>2.5299999999999998</v>
      </c>
      <c r="V1197" s="7">
        <v>2.5299999999999998</v>
      </c>
      <c r="W1197" s="7">
        <v>2.76</v>
      </c>
      <c r="X1197" s="7">
        <v>2.97</v>
      </c>
      <c r="Y1197" s="7">
        <v>2.97</v>
      </c>
      <c r="Z1197" s="7">
        <v>2.96</v>
      </c>
      <c r="AA1197" s="7">
        <v>2.9</v>
      </c>
      <c r="AB1197" s="7">
        <v>2.82</v>
      </c>
      <c r="AC1197" s="7">
        <v>2.59</v>
      </c>
      <c r="AD1197" s="7">
        <v>2.4700000000000002</v>
      </c>
      <c r="AE1197" s="7">
        <v>2.4900000000000002</v>
      </c>
      <c r="AF1197" s="7">
        <v>2.15</v>
      </c>
      <c r="AG1197" s="7">
        <v>1.97</v>
      </c>
    </row>
    <row r="1198" spans="1:33" x14ac:dyDescent="0.35">
      <c r="F1198" s="6">
        <f>SUM(F1196:K1196)</f>
        <v>28999</v>
      </c>
      <c r="G1198" s="6">
        <f>SUM(F1195:K1195)</f>
        <v>8938</v>
      </c>
      <c r="S1198" s="6">
        <f>SUM(S1196:W1196)</f>
        <v>17706</v>
      </c>
      <c r="T1198">
        <f>SUM(S1195:W1195)</f>
        <v>7311</v>
      </c>
    </row>
    <row r="1199" spans="1:33" x14ac:dyDescent="0.35">
      <c r="A1199" t="s">
        <v>1240</v>
      </c>
      <c r="B1199" s="5">
        <v>46026</v>
      </c>
      <c r="C1199" s="5">
        <v>46033</v>
      </c>
      <c r="D1199" s="5">
        <v>46040</v>
      </c>
      <c r="E1199" s="5">
        <v>46047</v>
      </c>
      <c r="F1199" s="128">
        <v>46054</v>
      </c>
      <c r="G1199" s="128">
        <v>46061</v>
      </c>
      <c r="H1199" s="128">
        <v>46068</v>
      </c>
      <c r="I1199" s="128">
        <v>46075</v>
      </c>
      <c r="J1199" s="128">
        <v>46082</v>
      </c>
      <c r="K1199" s="128">
        <v>46089</v>
      </c>
      <c r="L1199" s="5">
        <v>46096</v>
      </c>
      <c r="M1199" s="5">
        <v>46103</v>
      </c>
      <c r="N1199" s="5">
        <v>46110</v>
      </c>
      <c r="O1199" s="5">
        <v>46117</v>
      </c>
      <c r="P1199" s="5">
        <v>46124</v>
      </c>
      <c r="Q1199" s="5">
        <v>46131</v>
      </c>
      <c r="R1199" s="5">
        <v>46138</v>
      </c>
      <c r="S1199" s="5">
        <v>46145</v>
      </c>
      <c r="T1199" s="5">
        <v>46152</v>
      </c>
      <c r="U1199" s="5">
        <v>46159</v>
      </c>
      <c r="V1199" s="5">
        <v>46166</v>
      </c>
      <c r="W1199" s="5">
        <v>46173</v>
      </c>
      <c r="X1199" s="5">
        <v>46180</v>
      </c>
      <c r="Y1199" s="5">
        <v>46187</v>
      </c>
      <c r="Z1199" s="5">
        <v>46194</v>
      </c>
      <c r="AA1199" s="5">
        <v>46201</v>
      </c>
      <c r="AB1199" s="5">
        <v>46208</v>
      </c>
      <c r="AC1199" s="5">
        <v>46215</v>
      </c>
      <c r="AD1199" s="5">
        <v>46222</v>
      </c>
      <c r="AE1199" s="5">
        <v>46229</v>
      </c>
      <c r="AF1199" s="5">
        <v>46236</v>
      </c>
      <c r="AG1199" s="5">
        <v>46243</v>
      </c>
    </row>
    <row r="1200" spans="1:33" x14ac:dyDescent="0.35">
      <c r="A1200" t="s">
        <v>1242</v>
      </c>
      <c r="B1200" s="3">
        <v>3.1E-2</v>
      </c>
      <c r="C1200" s="3">
        <v>1.4999999999999999E-2</v>
      </c>
      <c r="D1200" s="3">
        <v>4.0000000000000001E-3</v>
      </c>
      <c r="E1200" s="3">
        <v>2E-3</v>
      </c>
      <c r="F1200" s="3">
        <v>0.23499999999999999</v>
      </c>
      <c r="G1200" s="3">
        <v>0.373</v>
      </c>
      <c r="H1200" s="3">
        <v>0.27900000000000003</v>
      </c>
      <c r="I1200" s="3">
        <v>0.32500000000000001</v>
      </c>
      <c r="J1200" s="3">
        <v>0.313</v>
      </c>
      <c r="K1200" s="3">
        <v>0.316</v>
      </c>
      <c r="L1200" s="3">
        <v>6.9000000000000006E-2</v>
      </c>
      <c r="M1200" s="3">
        <v>4.2000000000000003E-2</v>
      </c>
      <c r="N1200" s="3">
        <v>1.2999999999999999E-2</v>
      </c>
      <c r="O1200" s="3">
        <v>7.0000000000000001E-3</v>
      </c>
      <c r="P1200" s="3">
        <v>8.0000000000000002E-3</v>
      </c>
      <c r="Q1200" s="3">
        <v>3.0000000000000001E-3</v>
      </c>
      <c r="R1200" s="3">
        <v>0</v>
      </c>
      <c r="S1200" s="3">
        <v>0.22700000000000001</v>
      </c>
      <c r="T1200" s="3">
        <v>0.46</v>
      </c>
      <c r="U1200" s="3">
        <v>0.53300000000000003</v>
      </c>
      <c r="V1200" s="3">
        <v>0.621</v>
      </c>
      <c r="W1200" s="3">
        <v>0.26700000000000002</v>
      </c>
      <c r="X1200" s="3">
        <v>7.0000000000000001E-3</v>
      </c>
      <c r="Y1200" s="3">
        <v>3.7999999999999999E-2</v>
      </c>
      <c r="Z1200" s="3">
        <v>4.8000000000000001E-2</v>
      </c>
      <c r="AA1200" s="3">
        <v>0.127</v>
      </c>
      <c r="AB1200" s="3">
        <v>0.21099999999999999</v>
      </c>
      <c r="AC1200" s="3">
        <v>0.52500000000000002</v>
      </c>
      <c r="AD1200" s="3">
        <v>0.58699999999999997</v>
      </c>
      <c r="AE1200" s="3">
        <v>0.503</v>
      </c>
      <c r="AF1200" s="3">
        <v>1.1619999999999999</v>
      </c>
      <c r="AG1200" s="3">
        <v>1.4219999999999999</v>
      </c>
    </row>
    <row r="1201" spans="1:33" x14ac:dyDescent="0.35">
      <c r="A1201" t="s">
        <v>1247</v>
      </c>
      <c r="B1201" s="3">
        <v>1.4E-2</v>
      </c>
      <c r="C1201" s="3">
        <v>2.5000000000000001E-2</v>
      </c>
      <c r="D1201" s="3">
        <v>0.17799999999999999</v>
      </c>
      <c r="E1201" s="3">
        <v>0.309</v>
      </c>
      <c r="F1201" s="3">
        <v>5.3999999999999999E-2</v>
      </c>
      <c r="G1201" s="3">
        <v>8.6999999999999994E-2</v>
      </c>
      <c r="H1201" s="3">
        <v>7.2999999999999995E-2</v>
      </c>
      <c r="I1201" s="3">
        <v>7.5999999999999998E-2</v>
      </c>
      <c r="J1201" s="3">
        <v>7.8E-2</v>
      </c>
      <c r="K1201" s="3">
        <v>7.8E-2</v>
      </c>
      <c r="L1201" s="3">
        <v>1.7999999999999999E-2</v>
      </c>
      <c r="M1201" s="3">
        <v>1.2999999999999999E-2</v>
      </c>
      <c r="N1201" s="3">
        <v>4.5999999999999999E-2</v>
      </c>
      <c r="O1201" s="3">
        <v>0.377</v>
      </c>
      <c r="P1201" s="3">
        <v>0.311</v>
      </c>
      <c r="Q1201" s="3">
        <v>3.9E-2</v>
      </c>
      <c r="R1201" t="s">
        <v>1272</v>
      </c>
      <c r="S1201" s="3">
        <v>6.8000000000000005E-2</v>
      </c>
      <c r="T1201" s="3">
        <v>9.9000000000000005E-2</v>
      </c>
      <c r="U1201" s="3">
        <v>0.11</v>
      </c>
      <c r="V1201" s="3">
        <v>0.11600000000000001</v>
      </c>
      <c r="W1201" s="3">
        <v>7.3999999999999996E-2</v>
      </c>
      <c r="X1201" s="3">
        <v>8.3000000000000004E-2</v>
      </c>
      <c r="Y1201" s="3">
        <v>8.0000000000000002E-3</v>
      </c>
      <c r="Z1201" s="3">
        <v>4.5999999999999999E-2</v>
      </c>
      <c r="AA1201" s="3">
        <v>7.2999999999999995E-2</v>
      </c>
      <c r="AB1201" s="3">
        <v>0.11799999999999999</v>
      </c>
      <c r="AC1201" s="3">
        <v>0.192</v>
      </c>
      <c r="AD1201" s="3">
        <v>0.28899999999999998</v>
      </c>
      <c r="AE1201" s="3">
        <v>0.29699999999999999</v>
      </c>
      <c r="AF1201" s="3">
        <v>0.248</v>
      </c>
      <c r="AG1201" s="3">
        <v>0.31</v>
      </c>
    </row>
    <row r="1202" spans="1:33" x14ac:dyDescent="0.35">
      <c r="A1202" t="s">
        <v>1248</v>
      </c>
      <c r="B1202" s="7">
        <v>0.04</v>
      </c>
      <c r="C1202" s="7">
        <v>7.0000000000000007E-2</v>
      </c>
      <c r="D1202" s="7">
        <v>0.53</v>
      </c>
      <c r="E1202" s="7">
        <v>0.92</v>
      </c>
      <c r="F1202" s="7">
        <v>0.15</v>
      </c>
      <c r="G1202" s="7">
        <v>0.24</v>
      </c>
      <c r="H1202" s="7">
        <v>0.2</v>
      </c>
      <c r="I1202" s="7">
        <v>0.21</v>
      </c>
      <c r="J1202" s="7">
        <v>0.21</v>
      </c>
      <c r="K1202" s="7">
        <v>0.21</v>
      </c>
      <c r="L1202" s="7">
        <v>0.05</v>
      </c>
      <c r="M1202" s="7">
        <v>0.03</v>
      </c>
      <c r="N1202" s="7">
        <v>0.13</v>
      </c>
      <c r="O1202" s="7">
        <v>1.1200000000000001</v>
      </c>
      <c r="P1202" s="7">
        <v>0.93</v>
      </c>
      <c r="Q1202" s="7">
        <v>0.12</v>
      </c>
      <c r="R1202" t="s">
        <v>1272</v>
      </c>
      <c r="S1202" s="7">
        <v>0.19</v>
      </c>
      <c r="T1202" s="7">
        <v>0.28000000000000003</v>
      </c>
      <c r="U1202" s="7">
        <v>0.31</v>
      </c>
      <c r="V1202" s="7">
        <v>0.33</v>
      </c>
      <c r="W1202" s="7">
        <v>0.21</v>
      </c>
      <c r="X1202" s="7">
        <v>0.25</v>
      </c>
      <c r="Y1202" s="7">
        <v>0.02</v>
      </c>
      <c r="Z1202" s="7">
        <v>0.14000000000000001</v>
      </c>
      <c r="AA1202" s="7">
        <v>0.22</v>
      </c>
      <c r="AB1202" s="7">
        <v>0.35</v>
      </c>
      <c r="AC1202" s="7">
        <v>0.56999999999999995</v>
      </c>
      <c r="AD1202" s="7">
        <v>0.86</v>
      </c>
      <c r="AE1202" s="7">
        <v>0.88</v>
      </c>
      <c r="AF1202" s="7">
        <v>0.71</v>
      </c>
      <c r="AG1202" s="7">
        <v>0.89</v>
      </c>
    </row>
    <row r="1203" spans="1:33" x14ac:dyDescent="0.35">
      <c r="A1203" t="s">
        <v>1249</v>
      </c>
      <c r="B1203" s="7">
        <v>2.5099999999999998</v>
      </c>
      <c r="C1203" s="7">
        <v>2.67</v>
      </c>
      <c r="D1203" s="7">
        <v>2.4500000000000002</v>
      </c>
      <c r="E1203" s="7">
        <v>2.06</v>
      </c>
      <c r="F1203" s="129">
        <v>2.63</v>
      </c>
      <c r="G1203" s="129">
        <v>2.52</v>
      </c>
      <c r="H1203" s="129">
        <v>2.5299999999999998</v>
      </c>
      <c r="I1203" s="129">
        <v>2.5299999999999998</v>
      </c>
      <c r="J1203" s="129">
        <v>2.5299999999999998</v>
      </c>
      <c r="K1203" s="129">
        <v>2.52</v>
      </c>
      <c r="L1203" s="7">
        <v>2.52</v>
      </c>
      <c r="M1203" s="7">
        <v>2.5099999999999998</v>
      </c>
      <c r="N1203" s="7">
        <v>2.66</v>
      </c>
      <c r="O1203" s="7">
        <v>1.86</v>
      </c>
      <c r="P1203" s="7">
        <v>2.0499999999999998</v>
      </c>
      <c r="Q1203" s="7">
        <v>2.87</v>
      </c>
      <c r="R1203" t="s">
        <v>1272</v>
      </c>
      <c r="S1203" s="129">
        <v>2.67</v>
      </c>
      <c r="T1203" s="129">
        <v>2.5299999999999998</v>
      </c>
      <c r="U1203" s="129">
        <v>2.5299999999999998</v>
      </c>
      <c r="V1203" s="129">
        <v>2.5099999999999998</v>
      </c>
      <c r="W1203" s="129">
        <v>2.66</v>
      </c>
      <c r="X1203" s="7">
        <v>2.73</v>
      </c>
      <c r="Y1203" s="7">
        <v>2.95</v>
      </c>
      <c r="Z1203" s="7">
        <v>2.85</v>
      </c>
      <c r="AA1203" s="7">
        <v>2.74</v>
      </c>
      <c r="AB1203" s="7">
        <v>2.61</v>
      </c>
      <c r="AC1203" s="7">
        <v>2.38</v>
      </c>
      <c r="AD1203" s="7">
        <v>2.11</v>
      </c>
      <c r="AE1203" s="7">
        <v>2.08</v>
      </c>
      <c r="AF1203" s="7">
        <v>2.15</v>
      </c>
      <c r="AG1203" s="7">
        <v>1.97</v>
      </c>
    </row>
    <row r="1204" spans="1:33" x14ac:dyDescent="0.35">
      <c r="A1204" t="s">
        <v>1250</v>
      </c>
      <c r="B1204" s="7">
        <v>2.5499999999999998</v>
      </c>
      <c r="C1204" s="7">
        <v>2.74</v>
      </c>
      <c r="D1204" s="7">
        <v>2.99</v>
      </c>
      <c r="E1204" s="7">
        <v>2.98</v>
      </c>
      <c r="F1204" s="7">
        <v>2.78</v>
      </c>
      <c r="G1204" s="7">
        <v>2.77</v>
      </c>
      <c r="H1204" s="7">
        <v>2.73</v>
      </c>
      <c r="I1204" s="7">
        <v>2.74</v>
      </c>
      <c r="J1204" s="7">
        <v>2.74</v>
      </c>
      <c r="K1204" s="7">
        <v>2.74</v>
      </c>
      <c r="L1204" s="7">
        <v>2.57</v>
      </c>
      <c r="M1204" s="7">
        <v>2.54</v>
      </c>
      <c r="N1204" s="7">
        <v>2.79</v>
      </c>
      <c r="O1204" s="7">
        <v>2.98</v>
      </c>
      <c r="P1204" s="7">
        <v>2.98</v>
      </c>
      <c r="Q1204" s="7">
        <v>2.99</v>
      </c>
      <c r="R1204" s="7">
        <v>2.99</v>
      </c>
      <c r="S1204" s="7">
        <v>2.86</v>
      </c>
      <c r="T1204" s="7">
        <v>2.81</v>
      </c>
      <c r="U1204" s="7">
        <v>2.84</v>
      </c>
      <c r="V1204" s="7">
        <v>2.85</v>
      </c>
      <c r="W1204" s="7">
        <v>2.88</v>
      </c>
      <c r="X1204" s="7">
        <v>2.98</v>
      </c>
      <c r="Y1204" s="7">
        <v>2.98</v>
      </c>
      <c r="Z1204" s="7">
        <v>2.98</v>
      </c>
      <c r="AA1204" s="7">
        <v>2.96</v>
      </c>
      <c r="AB1204" s="7">
        <v>2.96</v>
      </c>
      <c r="AC1204" s="7">
        <v>2.95</v>
      </c>
      <c r="AD1204" s="7">
        <v>2.97</v>
      </c>
      <c r="AE1204" s="7">
        <v>2.96</v>
      </c>
      <c r="AF1204" s="7">
        <v>2.86</v>
      </c>
      <c r="AG1204" s="7">
        <v>2.85</v>
      </c>
    </row>
    <row r="1205" spans="1:33" x14ac:dyDescent="0.35">
      <c r="A1205" t="s">
        <v>1245</v>
      </c>
      <c r="B1205" s="7">
        <v>2.5299999999999998</v>
      </c>
      <c r="C1205" s="7">
        <v>2.73</v>
      </c>
      <c r="D1205" s="7">
        <v>2.98</v>
      </c>
      <c r="E1205" s="7">
        <v>2.97</v>
      </c>
      <c r="F1205" s="7">
        <v>2.65</v>
      </c>
      <c r="G1205" s="7">
        <v>2.5299999999999998</v>
      </c>
      <c r="H1205" s="7">
        <v>2.54</v>
      </c>
      <c r="I1205" s="7">
        <v>2.54</v>
      </c>
      <c r="J1205" s="7">
        <v>2.54</v>
      </c>
      <c r="K1205" s="7">
        <v>2.5299999999999998</v>
      </c>
      <c r="L1205" s="7">
        <v>2.5299999999999998</v>
      </c>
      <c r="M1205" s="7">
        <v>2.5299999999999998</v>
      </c>
      <c r="N1205" s="7">
        <v>2.78</v>
      </c>
      <c r="O1205" s="7">
        <v>2.97</v>
      </c>
      <c r="P1205" s="7">
        <v>2.97</v>
      </c>
      <c r="Q1205" s="7">
        <v>2.99</v>
      </c>
      <c r="R1205" s="7">
        <v>2.99</v>
      </c>
      <c r="S1205" s="7">
        <v>2.71</v>
      </c>
      <c r="T1205" s="7">
        <v>2.54</v>
      </c>
      <c r="U1205" s="7">
        <v>2.5299999999999998</v>
      </c>
      <c r="V1205" s="7">
        <v>2.5299999999999998</v>
      </c>
      <c r="W1205" s="7">
        <v>2.76</v>
      </c>
      <c r="X1205" s="7">
        <v>2.97</v>
      </c>
      <c r="Y1205" s="7">
        <v>2.97</v>
      </c>
      <c r="Z1205" s="7">
        <v>2.96</v>
      </c>
      <c r="AA1205" s="7">
        <v>2.9</v>
      </c>
      <c r="AB1205" s="7">
        <v>2.82</v>
      </c>
      <c r="AC1205" s="7">
        <v>2.59</v>
      </c>
      <c r="AD1205" s="7">
        <v>2.4700000000000002</v>
      </c>
      <c r="AE1205" s="7">
        <v>2.4900000000000002</v>
      </c>
      <c r="AF1205" s="7">
        <v>2.15</v>
      </c>
      <c r="AG1205" s="7">
        <v>1.97</v>
      </c>
    </row>
    <row r="1207" spans="1:33" x14ac:dyDescent="0.35">
      <c r="A1207" t="s">
        <v>1254</v>
      </c>
      <c r="B1207" s="5">
        <v>46026</v>
      </c>
      <c r="C1207" s="5">
        <v>46033</v>
      </c>
      <c r="D1207" s="5">
        <v>46040</v>
      </c>
      <c r="E1207" s="5">
        <v>46047</v>
      </c>
      <c r="F1207" s="5">
        <v>46054</v>
      </c>
      <c r="G1207" s="5">
        <v>46061</v>
      </c>
      <c r="H1207" s="5">
        <v>46068</v>
      </c>
      <c r="I1207" s="5">
        <v>46075</v>
      </c>
      <c r="J1207" s="5">
        <v>46082</v>
      </c>
      <c r="K1207" s="5">
        <v>46089</v>
      </c>
      <c r="L1207" s="5">
        <v>46096</v>
      </c>
      <c r="M1207" s="5">
        <v>46103</v>
      </c>
      <c r="N1207" s="5">
        <v>46110</v>
      </c>
      <c r="O1207" s="5">
        <v>46117</v>
      </c>
      <c r="P1207" s="5">
        <v>46124</v>
      </c>
      <c r="Q1207" s="5">
        <v>46131</v>
      </c>
      <c r="R1207" s="5">
        <v>46138</v>
      </c>
      <c r="S1207" s="5">
        <v>46145</v>
      </c>
      <c r="T1207" s="5">
        <v>46152</v>
      </c>
      <c r="U1207" s="5">
        <v>46159</v>
      </c>
      <c r="V1207" s="5">
        <v>46166</v>
      </c>
      <c r="W1207" s="5">
        <v>46173</v>
      </c>
      <c r="X1207" s="128">
        <v>46180</v>
      </c>
      <c r="Y1207" s="128">
        <v>46187</v>
      </c>
      <c r="Z1207" s="128">
        <v>46194</v>
      </c>
      <c r="AA1207" s="128">
        <v>46201</v>
      </c>
      <c r="AB1207" s="5">
        <v>46208</v>
      </c>
      <c r="AC1207" s="5">
        <v>46215</v>
      </c>
      <c r="AD1207" s="5">
        <v>46222</v>
      </c>
      <c r="AE1207" s="5">
        <v>46229</v>
      </c>
      <c r="AF1207" s="5">
        <v>46236</v>
      </c>
      <c r="AG1207" s="5">
        <v>46243</v>
      </c>
    </row>
    <row r="1208" spans="1:33" x14ac:dyDescent="0.35">
      <c r="A1208" t="s">
        <v>1241</v>
      </c>
      <c r="B1208">
        <v>646</v>
      </c>
      <c r="C1208">
        <v>940</v>
      </c>
      <c r="D1208" s="6">
        <v>1166</v>
      </c>
      <c r="E1208" s="6">
        <v>1219</v>
      </c>
      <c r="F1208" s="6">
        <v>1154</v>
      </c>
      <c r="G1208" s="6">
        <v>1012</v>
      </c>
      <c r="H1208">
        <v>952</v>
      </c>
      <c r="I1208">
        <v>903</v>
      </c>
      <c r="J1208" s="6">
        <v>1024</v>
      </c>
      <c r="K1208" s="6">
        <v>1061</v>
      </c>
      <c r="L1208" s="6">
        <v>1097</v>
      </c>
      <c r="M1208" s="6">
        <v>1047</v>
      </c>
      <c r="N1208" s="6">
        <v>1149</v>
      </c>
      <c r="O1208" s="6">
        <v>1202</v>
      </c>
      <c r="P1208" s="6">
        <v>1148</v>
      </c>
      <c r="Q1208" s="6">
        <v>1141</v>
      </c>
      <c r="R1208" s="6">
        <v>1053</v>
      </c>
      <c r="S1208">
        <v>965</v>
      </c>
      <c r="T1208" s="6">
        <v>1035</v>
      </c>
      <c r="U1208" s="6">
        <v>1459</v>
      </c>
      <c r="V1208" s="6">
        <v>1775</v>
      </c>
      <c r="W1208" s="6">
        <v>1991</v>
      </c>
      <c r="X1208" s="6">
        <v>2704</v>
      </c>
      <c r="Y1208" s="6">
        <v>2386</v>
      </c>
      <c r="Z1208" s="6">
        <v>2478</v>
      </c>
      <c r="AA1208" s="6">
        <v>2240</v>
      </c>
      <c r="AB1208" s="6">
        <v>2085</v>
      </c>
      <c r="AC1208" s="6">
        <v>1946</v>
      </c>
      <c r="AD1208" s="6">
        <v>2008</v>
      </c>
      <c r="AE1208" s="6">
        <v>1980</v>
      </c>
      <c r="AF1208" s="6">
        <v>1739</v>
      </c>
      <c r="AG1208" s="6">
        <v>1575</v>
      </c>
    </row>
    <row r="1209" spans="1:33" x14ac:dyDescent="0.35">
      <c r="A1209" t="s">
        <v>1242</v>
      </c>
      <c r="B1209" s="3">
        <v>0.27</v>
      </c>
      <c r="C1209" s="3">
        <v>0.39500000000000002</v>
      </c>
      <c r="D1209" s="3">
        <v>0.28000000000000003</v>
      </c>
      <c r="E1209" s="3">
        <v>0.219</v>
      </c>
      <c r="F1209" s="3">
        <v>0.14000000000000001</v>
      </c>
      <c r="G1209" s="3">
        <v>2.3E-2</v>
      </c>
      <c r="H1209" s="3">
        <v>0</v>
      </c>
      <c r="I1209" s="3">
        <v>0.01</v>
      </c>
      <c r="J1209" s="3">
        <v>1E-3</v>
      </c>
      <c r="K1209" s="3">
        <v>5.0000000000000001E-3</v>
      </c>
      <c r="L1209" s="3">
        <v>8.0000000000000002E-3</v>
      </c>
      <c r="M1209" s="3">
        <v>5.5E-2</v>
      </c>
      <c r="N1209" s="3">
        <v>1.6E-2</v>
      </c>
      <c r="O1209" s="3">
        <v>4.1000000000000002E-2</v>
      </c>
      <c r="P1209" s="3">
        <v>6.2E-2</v>
      </c>
      <c r="Q1209" s="3">
        <v>4.0000000000000001E-3</v>
      </c>
      <c r="R1209" s="3">
        <v>7.0000000000000001E-3</v>
      </c>
      <c r="S1209" s="3">
        <v>3.0000000000000001E-3</v>
      </c>
      <c r="T1209" s="3">
        <v>3.0000000000000001E-3</v>
      </c>
      <c r="U1209" s="3">
        <v>1.6E-2</v>
      </c>
      <c r="V1209" s="3">
        <v>2.3E-2</v>
      </c>
      <c r="W1209" s="3">
        <v>0.191</v>
      </c>
      <c r="X1209" s="3">
        <v>0.68</v>
      </c>
      <c r="Y1209" s="3">
        <v>0.58199999999999996</v>
      </c>
      <c r="Z1209" s="3">
        <v>0.69</v>
      </c>
      <c r="AA1209" s="3">
        <v>0.59599999999999997</v>
      </c>
      <c r="AB1209" s="3">
        <v>0.33100000000000002</v>
      </c>
      <c r="AC1209" s="3">
        <v>0.25600000000000001</v>
      </c>
      <c r="AD1209" s="3">
        <v>0.219</v>
      </c>
      <c r="AE1209" s="3">
        <v>0.23499999999999999</v>
      </c>
      <c r="AF1209" s="3">
        <v>0.182</v>
      </c>
      <c r="AG1209" s="3">
        <v>0.13400000000000001</v>
      </c>
    </row>
    <row r="1210" spans="1:33" x14ac:dyDescent="0.35">
      <c r="A1210" t="s">
        <v>1243</v>
      </c>
      <c r="B1210">
        <v>137</v>
      </c>
      <c r="C1210">
        <v>266</v>
      </c>
      <c r="D1210">
        <v>255</v>
      </c>
      <c r="E1210">
        <v>219</v>
      </c>
      <c r="F1210">
        <v>142</v>
      </c>
      <c r="G1210">
        <v>22</v>
      </c>
      <c r="H1210">
        <v>0</v>
      </c>
      <c r="I1210">
        <v>9</v>
      </c>
      <c r="J1210">
        <v>1</v>
      </c>
      <c r="K1210">
        <v>5</v>
      </c>
      <c r="L1210">
        <v>8</v>
      </c>
      <c r="M1210">
        <v>54</v>
      </c>
      <c r="N1210">
        <v>18</v>
      </c>
      <c r="O1210">
        <v>48</v>
      </c>
      <c r="P1210">
        <v>67</v>
      </c>
      <c r="Q1210">
        <v>5</v>
      </c>
      <c r="R1210">
        <v>8</v>
      </c>
      <c r="S1210">
        <v>3</v>
      </c>
      <c r="T1210">
        <v>3</v>
      </c>
      <c r="U1210">
        <v>22</v>
      </c>
      <c r="V1210">
        <v>40</v>
      </c>
      <c r="W1210">
        <v>319</v>
      </c>
      <c r="X1210" s="6">
        <v>1095</v>
      </c>
      <c r="Y1210">
        <v>878</v>
      </c>
      <c r="Z1210" s="6">
        <v>1012</v>
      </c>
      <c r="AA1210">
        <v>837</v>
      </c>
      <c r="AB1210">
        <v>519</v>
      </c>
      <c r="AC1210">
        <v>397</v>
      </c>
      <c r="AD1210">
        <v>360</v>
      </c>
      <c r="AE1210">
        <v>377</v>
      </c>
      <c r="AF1210">
        <v>267</v>
      </c>
      <c r="AG1210">
        <v>186</v>
      </c>
    </row>
    <row r="1211" spans="1:33" x14ac:dyDescent="0.35">
      <c r="A1211" t="s">
        <v>1244</v>
      </c>
      <c r="B1211">
        <v>509</v>
      </c>
      <c r="C1211">
        <v>674</v>
      </c>
      <c r="D1211">
        <v>911</v>
      </c>
      <c r="E1211" s="6">
        <v>1000</v>
      </c>
      <c r="F1211" s="6">
        <v>1012</v>
      </c>
      <c r="G1211">
        <v>990</v>
      </c>
      <c r="H1211">
        <v>952</v>
      </c>
      <c r="I1211">
        <v>895</v>
      </c>
      <c r="J1211" s="6">
        <v>1023</v>
      </c>
      <c r="K1211" s="6">
        <v>1056</v>
      </c>
      <c r="L1211" s="6">
        <v>1089</v>
      </c>
      <c r="M1211">
        <v>993</v>
      </c>
      <c r="N1211" s="6">
        <v>1131</v>
      </c>
      <c r="O1211" s="6">
        <v>1154</v>
      </c>
      <c r="P1211" s="6">
        <v>1081</v>
      </c>
      <c r="Q1211" s="6">
        <v>1136</v>
      </c>
      <c r="R1211" s="6">
        <v>1045</v>
      </c>
      <c r="S1211">
        <v>962</v>
      </c>
      <c r="T1211" s="6">
        <v>1032</v>
      </c>
      <c r="U1211" s="6">
        <v>1437</v>
      </c>
      <c r="V1211" s="6">
        <v>1735</v>
      </c>
      <c r="W1211" s="6">
        <v>1672</v>
      </c>
      <c r="X1211" s="6">
        <v>1609</v>
      </c>
      <c r="Y1211" s="6">
        <v>1508</v>
      </c>
      <c r="Z1211" s="6">
        <v>1466</v>
      </c>
      <c r="AA1211" s="6">
        <v>1404</v>
      </c>
      <c r="AB1211" s="6">
        <v>1566</v>
      </c>
      <c r="AC1211" s="6">
        <v>1549</v>
      </c>
      <c r="AD1211" s="6">
        <v>1648</v>
      </c>
      <c r="AE1211" s="6">
        <v>1603</v>
      </c>
      <c r="AF1211" s="6">
        <v>1472</v>
      </c>
      <c r="AG1211" s="6">
        <v>1389</v>
      </c>
    </row>
    <row r="1212" spans="1:33" x14ac:dyDescent="0.35">
      <c r="A1212" t="s">
        <v>1245</v>
      </c>
      <c r="B1212" s="7">
        <v>10.039999999999999</v>
      </c>
      <c r="C1212" s="7">
        <v>10.06</v>
      </c>
      <c r="D1212" s="7">
        <v>10.06</v>
      </c>
      <c r="E1212" s="7">
        <v>10.050000000000001</v>
      </c>
      <c r="F1212" s="7">
        <v>10.57</v>
      </c>
      <c r="G1212" s="7">
        <v>10.84</v>
      </c>
      <c r="H1212" s="7">
        <v>10.98</v>
      </c>
      <c r="I1212" s="7">
        <v>10.95</v>
      </c>
      <c r="J1212" s="7">
        <v>10.71</v>
      </c>
      <c r="K1212" s="7">
        <v>10.52</v>
      </c>
      <c r="L1212" s="7">
        <v>10.47</v>
      </c>
      <c r="M1212" s="7">
        <v>10.4</v>
      </c>
      <c r="N1212" s="7">
        <v>10.41</v>
      </c>
      <c r="O1212" s="7">
        <v>10.26</v>
      </c>
      <c r="P1212" s="7">
        <v>10.29</v>
      </c>
      <c r="Q1212" s="7">
        <v>10.39</v>
      </c>
      <c r="R1212" s="7">
        <v>10.73</v>
      </c>
      <c r="S1212" s="7">
        <v>10.96</v>
      </c>
      <c r="T1212" s="7">
        <v>10.96</v>
      </c>
      <c r="U1212" s="7">
        <v>10.8</v>
      </c>
      <c r="V1212" s="7">
        <v>10.81</v>
      </c>
      <c r="W1212" s="7">
        <v>10.08</v>
      </c>
      <c r="X1212" s="7">
        <v>9.64</v>
      </c>
      <c r="Y1212" s="7">
        <v>9.75</v>
      </c>
      <c r="Z1212" s="7">
        <v>9.8699999999999992</v>
      </c>
      <c r="AA1212" s="7">
        <v>9.8699999999999992</v>
      </c>
      <c r="AB1212" s="7">
        <v>10.09</v>
      </c>
      <c r="AC1212" s="7">
        <v>10.38</v>
      </c>
      <c r="AD1212" s="7">
        <v>10.46</v>
      </c>
      <c r="AE1212" s="7">
        <v>10.43</v>
      </c>
      <c r="AF1212" s="7">
        <v>10.5</v>
      </c>
      <c r="AG1212" s="7">
        <v>10.4</v>
      </c>
    </row>
    <row r="1213" spans="1:33" x14ac:dyDescent="0.35">
      <c r="X1213" s="6">
        <f>SUM(X1211:AA1211)</f>
        <v>5987</v>
      </c>
      <c r="Y1213" s="6">
        <f>SUM(X1210:AA1210)</f>
        <v>3822</v>
      </c>
    </row>
    <row r="1214" spans="1:33" x14ac:dyDescent="0.35">
      <c r="A1214" t="s">
        <v>1254</v>
      </c>
      <c r="B1214" s="5">
        <v>46026</v>
      </c>
      <c r="C1214" s="5">
        <v>46033</v>
      </c>
      <c r="D1214" s="5">
        <v>46040</v>
      </c>
      <c r="E1214" s="5">
        <v>46047</v>
      </c>
      <c r="F1214" s="5">
        <v>46054</v>
      </c>
      <c r="G1214" s="5">
        <v>46061</v>
      </c>
      <c r="H1214" s="5">
        <v>46068</v>
      </c>
      <c r="I1214" s="5">
        <v>46075</v>
      </c>
      <c r="J1214" s="5">
        <v>46082</v>
      </c>
      <c r="K1214" s="5">
        <v>46089</v>
      </c>
      <c r="L1214" s="5">
        <v>46096</v>
      </c>
      <c r="M1214" s="5">
        <v>46103</v>
      </c>
      <c r="N1214" s="5">
        <v>46110</v>
      </c>
      <c r="O1214" s="5">
        <v>46117</v>
      </c>
      <c r="P1214" s="5">
        <v>46124</v>
      </c>
      <c r="Q1214" s="5">
        <v>46131</v>
      </c>
      <c r="R1214" s="5">
        <v>46138</v>
      </c>
      <c r="S1214" s="5">
        <v>46145</v>
      </c>
      <c r="T1214" s="5">
        <v>46152</v>
      </c>
      <c r="U1214" s="5">
        <v>46159</v>
      </c>
      <c r="V1214" s="5">
        <v>46166</v>
      </c>
      <c r="W1214" s="5">
        <v>46173</v>
      </c>
      <c r="X1214" s="5">
        <v>46180</v>
      </c>
      <c r="Y1214" s="5">
        <v>46187</v>
      </c>
      <c r="Z1214" s="5">
        <v>46194</v>
      </c>
      <c r="AA1214" s="5">
        <v>46201</v>
      </c>
      <c r="AB1214" s="5">
        <v>46208</v>
      </c>
      <c r="AC1214" s="5">
        <v>46215</v>
      </c>
      <c r="AD1214" s="5">
        <v>46222</v>
      </c>
      <c r="AE1214" s="5">
        <v>46229</v>
      </c>
      <c r="AF1214" s="5">
        <v>46236</v>
      </c>
      <c r="AG1214" s="5">
        <v>46243</v>
      </c>
    </row>
    <row r="1215" spans="1:33" x14ac:dyDescent="0.35">
      <c r="A1215" t="s">
        <v>1242</v>
      </c>
      <c r="B1215" s="3">
        <v>0.27</v>
      </c>
      <c r="C1215" s="3">
        <v>0.39500000000000002</v>
      </c>
      <c r="D1215" s="6">
        <v>0.28000000000000003</v>
      </c>
      <c r="E1215" s="6">
        <v>0.219</v>
      </c>
      <c r="F1215" s="6">
        <v>0.14000000000000001</v>
      </c>
      <c r="G1215" s="6">
        <v>2.3E-2</v>
      </c>
      <c r="H1215" s="3">
        <v>0</v>
      </c>
      <c r="I1215" s="3">
        <v>0.01</v>
      </c>
      <c r="J1215" s="6">
        <v>1E-3</v>
      </c>
      <c r="K1215" s="6">
        <v>5.0000000000000001E-3</v>
      </c>
      <c r="L1215" s="6">
        <v>8.0000000000000002E-3</v>
      </c>
      <c r="M1215" s="6">
        <v>5.5E-2</v>
      </c>
      <c r="N1215" s="6">
        <v>1.6E-2</v>
      </c>
      <c r="O1215" s="6">
        <v>4.1000000000000002E-2</v>
      </c>
      <c r="P1215" s="6">
        <v>6.2E-2</v>
      </c>
      <c r="Q1215" s="6">
        <v>4.0000000000000001E-3</v>
      </c>
      <c r="R1215" s="6">
        <v>7.0000000000000001E-3</v>
      </c>
      <c r="S1215" s="3">
        <v>3.0000000000000001E-3</v>
      </c>
      <c r="T1215" s="6">
        <v>3.0000000000000001E-3</v>
      </c>
      <c r="U1215" s="6">
        <v>1.6E-2</v>
      </c>
      <c r="V1215" s="6">
        <v>2.3E-2</v>
      </c>
      <c r="W1215" s="6">
        <v>0.191</v>
      </c>
      <c r="X1215" s="6">
        <v>0.68</v>
      </c>
      <c r="Y1215" s="6">
        <v>0.58199999999999996</v>
      </c>
      <c r="Z1215" s="6">
        <v>0.69</v>
      </c>
      <c r="AA1215" s="6">
        <v>0.59599999999999997</v>
      </c>
      <c r="AB1215" s="6">
        <v>0.33100000000000002</v>
      </c>
      <c r="AC1215" s="6">
        <v>0.25600000000000001</v>
      </c>
      <c r="AD1215" s="6">
        <v>0.219</v>
      </c>
      <c r="AE1215" s="6">
        <v>0.23499999999999999</v>
      </c>
      <c r="AF1215" s="6">
        <v>0.182</v>
      </c>
      <c r="AG1215" s="6">
        <v>0.13400000000000001</v>
      </c>
    </row>
    <row r="1216" spans="1:33" x14ac:dyDescent="0.35">
      <c r="A1216" t="s">
        <v>1247</v>
      </c>
      <c r="B1216" s="3">
        <v>4.2999999999999997E-2</v>
      </c>
      <c r="C1216" s="3">
        <v>4.2000000000000003E-2</v>
      </c>
      <c r="D1216" s="3">
        <v>0.03</v>
      </c>
      <c r="E1216" s="3">
        <v>1.7000000000000001E-2</v>
      </c>
      <c r="F1216" s="3">
        <v>1.0999999999999999E-2</v>
      </c>
      <c r="G1216" s="3">
        <v>0.38</v>
      </c>
      <c r="H1216" s="3">
        <v>-1E-3</v>
      </c>
      <c r="I1216" s="3">
        <v>0.13600000000000001</v>
      </c>
      <c r="J1216" s="3">
        <v>3.4000000000000002E-2</v>
      </c>
      <c r="K1216" s="3">
        <v>5.1999999999999998E-2</v>
      </c>
      <c r="L1216" s="3">
        <v>0.27400000000000002</v>
      </c>
      <c r="M1216" s="3">
        <v>7.0999999999999994E-2</v>
      </c>
      <c r="N1216" s="3">
        <v>7.4999999999999997E-2</v>
      </c>
      <c r="O1216" s="3">
        <v>7.0999999999999994E-2</v>
      </c>
      <c r="P1216" s="3">
        <v>0.01</v>
      </c>
      <c r="Q1216" s="3">
        <v>8.1000000000000003E-2</v>
      </c>
      <c r="R1216" s="3">
        <v>0.36799999999999999</v>
      </c>
      <c r="S1216" s="3">
        <v>0.437</v>
      </c>
      <c r="T1216" s="3">
        <v>0.373</v>
      </c>
      <c r="U1216" s="3">
        <v>0.36099999999999999</v>
      </c>
      <c r="V1216" s="3">
        <v>0.442</v>
      </c>
      <c r="W1216" s="3">
        <v>6.8000000000000005E-2</v>
      </c>
      <c r="X1216" s="3">
        <v>0.08</v>
      </c>
      <c r="Y1216" s="3">
        <v>6.6000000000000003E-2</v>
      </c>
      <c r="Z1216" s="3">
        <v>6.2E-2</v>
      </c>
      <c r="AA1216" s="3">
        <v>6.3E-2</v>
      </c>
      <c r="AB1216" s="3">
        <v>6.8000000000000005E-2</v>
      </c>
      <c r="AC1216" s="3">
        <v>8.5000000000000006E-2</v>
      </c>
      <c r="AD1216" s="3">
        <v>6.8000000000000005E-2</v>
      </c>
      <c r="AE1216" s="3">
        <v>5.7000000000000002E-2</v>
      </c>
      <c r="AF1216" s="3">
        <v>5.7000000000000002E-2</v>
      </c>
      <c r="AG1216" s="3">
        <v>5.1999999999999998E-2</v>
      </c>
    </row>
    <row r="1217" spans="1:33" x14ac:dyDescent="0.35">
      <c r="A1217" t="s">
        <v>1248</v>
      </c>
      <c r="B1217" s="7">
        <v>0.45</v>
      </c>
      <c r="C1217" s="7">
        <v>0.45</v>
      </c>
      <c r="D1217" s="7">
        <v>0.31</v>
      </c>
      <c r="E1217" s="7">
        <v>0.17</v>
      </c>
      <c r="F1217" s="7">
        <v>0.12</v>
      </c>
      <c r="G1217" s="7">
        <v>4.17</v>
      </c>
      <c r="H1217" s="7">
        <v>-0.01</v>
      </c>
      <c r="I1217" s="7">
        <v>1.5</v>
      </c>
      <c r="J1217" s="7">
        <v>0.37</v>
      </c>
      <c r="K1217" s="7">
        <v>0.55000000000000004</v>
      </c>
      <c r="L1217" s="7">
        <v>2.88</v>
      </c>
      <c r="M1217" s="7">
        <v>0.75</v>
      </c>
      <c r="N1217" s="7">
        <v>0.78</v>
      </c>
      <c r="O1217" s="7">
        <v>0.74</v>
      </c>
      <c r="P1217" s="7">
        <v>0.1</v>
      </c>
      <c r="Q1217" s="7">
        <v>0.84</v>
      </c>
      <c r="R1217" s="7">
        <v>3.97</v>
      </c>
      <c r="S1217" s="7">
        <v>4.8</v>
      </c>
      <c r="T1217" s="7">
        <v>4.0999999999999996</v>
      </c>
      <c r="U1217" s="7">
        <v>3.94</v>
      </c>
      <c r="V1217" s="7">
        <v>4.8600000000000003</v>
      </c>
      <c r="W1217" s="7">
        <v>0.72</v>
      </c>
      <c r="X1217" s="6">
        <v>0.84</v>
      </c>
      <c r="Y1217" s="7">
        <v>0.69</v>
      </c>
      <c r="Z1217" s="6">
        <v>0.65</v>
      </c>
      <c r="AA1217" s="7">
        <v>0.66</v>
      </c>
      <c r="AB1217" s="7">
        <v>0.72</v>
      </c>
      <c r="AC1217" s="7">
        <v>0.92</v>
      </c>
      <c r="AD1217" s="7">
        <v>0.73</v>
      </c>
      <c r="AE1217" s="7">
        <v>0.61</v>
      </c>
      <c r="AF1217" s="7">
        <v>0.61</v>
      </c>
      <c r="AG1217" s="7">
        <v>0.55000000000000004</v>
      </c>
    </row>
    <row r="1218" spans="1:33" s="145" customFormat="1" x14ac:dyDescent="0.35">
      <c r="A1218" s="145" t="s">
        <v>1249</v>
      </c>
      <c r="B1218" s="145">
        <v>10.01</v>
      </c>
      <c r="C1218" s="145">
        <v>10.050000000000001</v>
      </c>
      <c r="D1218" s="145">
        <v>10.039999999999999</v>
      </c>
      <c r="E1218" s="145">
        <v>10.029999999999999</v>
      </c>
      <c r="F1218" s="145">
        <v>10.52</v>
      </c>
      <c r="G1218" s="145">
        <v>6.8</v>
      </c>
      <c r="H1218" s="145">
        <v>10.99</v>
      </c>
      <c r="I1218" s="145">
        <v>9.49</v>
      </c>
      <c r="J1218" s="145">
        <v>10.34</v>
      </c>
      <c r="K1218" s="145">
        <v>9.9700000000000006</v>
      </c>
      <c r="L1218" s="145">
        <v>7.65</v>
      </c>
      <c r="M1218" s="145">
        <v>9.77</v>
      </c>
      <c r="N1218" s="145">
        <v>9.65</v>
      </c>
      <c r="O1218" s="145">
        <v>9.61</v>
      </c>
      <c r="P1218" s="145">
        <v>10.210000000000001</v>
      </c>
      <c r="Q1218" s="145">
        <v>9.56</v>
      </c>
      <c r="R1218" s="145">
        <v>6.82</v>
      </c>
      <c r="S1218" s="145">
        <v>6.19</v>
      </c>
      <c r="T1218" s="145">
        <v>6.89</v>
      </c>
      <c r="U1218" s="145">
        <v>6.96</v>
      </c>
      <c r="V1218" s="145">
        <v>6.12</v>
      </c>
      <c r="W1218" s="145">
        <v>9.7799999999999994</v>
      </c>
      <c r="X1218" s="145">
        <v>9.64</v>
      </c>
      <c r="Y1218" s="145">
        <v>9.75</v>
      </c>
      <c r="Z1218" s="145">
        <v>9.8699999999999992</v>
      </c>
      <c r="AA1218" s="145">
        <v>9.8699999999999992</v>
      </c>
      <c r="AB1218" s="145">
        <v>9.86</v>
      </c>
      <c r="AC1218" s="145">
        <v>9.8800000000000008</v>
      </c>
      <c r="AD1218" s="145">
        <v>10.029999999999999</v>
      </c>
      <c r="AE1218" s="145">
        <v>10.09</v>
      </c>
      <c r="AF1218" s="145">
        <v>10.11</v>
      </c>
      <c r="AG1218" s="145">
        <v>10.029999999999999</v>
      </c>
    </row>
    <row r="1219" spans="1:33" x14ac:dyDescent="0.35">
      <c r="A1219" t="s">
        <v>1250</v>
      </c>
      <c r="B1219" s="7">
        <v>10.46</v>
      </c>
      <c r="C1219" s="7">
        <v>10.49</v>
      </c>
      <c r="D1219" s="7">
        <v>10.35</v>
      </c>
      <c r="E1219" s="7">
        <v>10.210000000000001</v>
      </c>
      <c r="F1219" s="7">
        <v>10.64</v>
      </c>
      <c r="G1219" s="7">
        <v>10.97</v>
      </c>
      <c r="H1219" s="7">
        <v>10.98</v>
      </c>
      <c r="I1219" s="7">
        <v>10.99</v>
      </c>
      <c r="J1219" s="7">
        <v>10.71</v>
      </c>
      <c r="K1219" s="7">
        <v>10.52</v>
      </c>
      <c r="L1219" s="7">
        <v>10.53</v>
      </c>
      <c r="M1219" s="7">
        <v>10.51</v>
      </c>
      <c r="N1219" s="7">
        <v>10.43</v>
      </c>
      <c r="O1219" s="7">
        <v>10.34</v>
      </c>
      <c r="P1219" s="7">
        <v>10.32</v>
      </c>
      <c r="Q1219" s="7">
        <v>10.4</v>
      </c>
      <c r="R1219" s="7">
        <v>10.79</v>
      </c>
      <c r="S1219" s="7">
        <v>10.99</v>
      </c>
      <c r="T1219" s="7">
        <v>10.99</v>
      </c>
      <c r="U1219" s="7">
        <v>10.89</v>
      </c>
      <c r="V1219" s="7">
        <v>10.98</v>
      </c>
      <c r="W1219" s="7">
        <v>10.5</v>
      </c>
      <c r="X1219" s="7">
        <v>10.48</v>
      </c>
      <c r="Y1219" s="7">
        <v>10.45</v>
      </c>
      <c r="Z1219" s="7">
        <v>10.52</v>
      </c>
      <c r="AA1219" s="7">
        <v>10.53</v>
      </c>
      <c r="AB1219" s="7">
        <v>10.58</v>
      </c>
      <c r="AC1219" s="7">
        <v>10.8</v>
      </c>
      <c r="AD1219" s="7">
        <v>10.76</v>
      </c>
      <c r="AE1219" s="7">
        <v>10.7</v>
      </c>
      <c r="AF1219" s="7">
        <v>10.72</v>
      </c>
      <c r="AG1219" s="7">
        <v>10.58</v>
      </c>
    </row>
    <row r="1220" spans="1:33" x14ac:dyDescent="0.35">
      <c r="A1220" t="s">
        <v>1245</v>
      </c>
      <c r="B1220" s="7">
        <v>10.039999999999999</v>
      </c>
      <c r="C1220" s="7">
        <v>10.06</v>
      </c>
      <c r="D1220" s="7">
        <v>10.06</v>
      </c>
      <c r="E1220" s="7">
        <v>10.050000000000001</v>
      </c>
      <c r="F1220" s="7">
        <v>10.57</v>
      </c>
      <c r="G1220" s="7">
        <v>10.84</v>
      </c>
      <c r="H1220" s="7">
        <v>10.98</v>
      </c>
      <c r="I1220" s="7">
        <v>10.95</v>
      </c>
      <c r="J1220" s="7">
        <v>10.71</v>
      </c>
      <c r="K1220" s="7">
        <v>10.52</v>
      </c>
      <c r="L1220" s="7">
        <v>10.47</v>
      </c>
      <c r="M1220" s="7">
        <v>10.4</v>
      </c>
      <c r="N1220" s="7">
        <v>10.41</v>
      </c>
      <c r="O1220" s="7">
        <v>10.26</v>
      </c>
      <c r="P1220" s="7">
        <v>10.29</v>
      </c>
      <c r="Q1220" s="7">
        <v>10.39</v>
      </c>
      <c r="R1220" s="7">
        <v>10.73</v>
      </c>
      <c r="S1220" s="7">
        <v>10.96</v>
      </c>
      <c r="T1220" s="7">
        <v>10.96</v>
      </c>
      <c r="U1220" s="7">
        <v>10.8</v>
      </c>
      <c r="V1220" s="7">
        <v>10.81</v>
      </c>
      <c r="W1220" s="7">
        <v>10.08</v>
      </c>
      <c r="X1220" s="7">
        <v>9.64</v>
      </c>
      <c r="Y1220" s="7">
        <v>9.75</v>
      </c>
      <c r="Z1220" s="7">
        <v>9.8699999999999992</v>
      </c>
      <c r="AA1220" s="7">
        <v>9.8699999999999992</v>
      </c>
      <c r="AB1220" s="7">
        <v>10.09</v>
      </c>
      <c r="AC1220" s="7">
        <v>10.38</v>
      </c>
      <c r="AD1220" s="7">
        <v>10.46</v>
      </c>
      <c r="AE1220" s="7">
        <v>10.43</v>
      </c>
      <c r="AF1220" s="7">
        <v>10.5</v>
      </c>
      <c r="AG1220" s="7">
        <v>10.4</v>
      </c>
    </row>
    <row r="1223" spans="1:33" s="66" customFormat="1" x14ac:dyDescent="0.35"/>
    <row r="1224" spans="1:33" s="51" customFormat="1" x14ac:dyDescent="0.35">
      <c r="A1224" s="147" t="s">
        <v>1511</v>
      </c>
    </row>
    <row r="1226" spans="1:33" x14ac:dyDescent="0.35">
      <c r="A1226" t="s">
        <v>1240</v>
      </c>
      <c r="B1226" s="5">
        <v>46026</v>
      </c>
      <c r="C1226" s="5">
        <v>46033</v>
      </c>
      <c r="D1226" s="5">
        <v>46040</v>
      </c>
      <c r="E1226" s="5">
        <v>46047</v>
      </c>
      <c r="F1226" s="5">
        <v>46054</v>
      </c>
      <c r="G1226" s="5">
        <v>46061</v>
      </c>
      <c r="H1226" s="5">
        <v>46068</v>
      </c>
      <c r="I1226" s="5">
        <v>46075</v>
      </c>
      <c r="J1226" s="5">
        <v>46082</v>
      </c>
      <c r="K1226" s="5">
        <v>46089</v>
      </c>
      <c r="L1226" s="5">
        <v>46096</v>
      </c>
      <c r="M1226" s="5">
        <v>46103</v>
      </c>
      <c r="N1226" s="5">
        <v>46110</v>
      </c>
      <c r="O1226" s="5">
        <v>46117</v>
      </c>
      <c r="P1226" s="5">
        <v>46124</v>
      </c>
      <c r="Q1226" s="5">
        <v>46131</v>
      </c>
      <c r="R1226" s="5">
        <v>46138</v>
      </c>
      <c r="S1226" s="5">
        <v>46145</v>
      </c>
      <c r="T1226" s="5">
        <v>46152</v>
      </c>
      <c r="U1226" s="128">
        <v>46159</v>
      </c>
      <c r="V1226" s="128">
        <v>46166</v>
      </c>
      <c r="W1226" s="5">
        <v>46173</v>
      </c>
      <c r="X1226" s="5">
        <v>46180</v>
      </c>
      <c r="Y1226" s="5">
        <v>46187</v>
      </c>
      <c r="Z1226" s="5">
        <v>46194</v>
      </c>
      <c r="AA1226" s="5">
        <v>46201</v>
      </c>
      <c r="AB1226" s="5">
        <v>46208</v>
      </c>
      <c r="AC1226" s="128">
        <v>46215</v>
      </c>
      <c r="AD1226" s="128">
        <v>46222</v>
      </c>
      <c r="AE1226" s="5">
        <v>46229</v>
      </c>
      <c r="AF1226" s="5">
        <v>46236</v>
      </c>
      <c r="AG1226" s="5">
        <v>46243</v>
      </c>
    </row>
    <row r="1227" spans="1:33" x14ac:dyDescent="0.35">
      <c r="A1227" t="s">
        <v>1241</v>
      </c>
      <c r="B1227">
        <v>325</v>
      </c>
      <c r="C1227">
        <v>404</v>
      </c>
      <c r="D1227">
        <v>405</v>
      </c>
      <c r="E1227">
        <v>437</v>
      </c>
      <c r="F1227">
        <v>379</v>
      </c>
      <c r="G1227">
        <v>599</v>
      </c>
      <c r="H1227">
        <v>496</v>
      </c>
      <c r="I1227" s="6">
        <v>1322</v>
      </c>
      <c r="J1227">
        <v>943</v>
      </c>
      <c r="K1227">
        <v>418</v>
      </c>
      <c r="L1227">
        <v>525</v>
      </c>
      <c r="M1227">
        <v>478</v>
      </c>
      <c r="N1227">
        <v>494</v>
      </c>
      <c r="O1227">
        <v>558</v>
      </c>
      <c r="P1227">
        <v>569</v>
      </c>
      <c r="Q1227">
        <v>769</v>
      </c>
      <c r="R1227">
        <v>672</v>
      </c>
      <c r="S1227">
        <v>758</v>
      </c>
      <c r="T1227">
        <v>923</v>
      </c>
      <c r="U1227" s="6">
        <v>4408</v>
      </c>
      <c r="V1227" s="6">
        <v>2335</v>
      </c>
      <c r="W1227" s="6">
        <v>1256</v>
      </c>
      <c r="X1227" s="6">
        <v>1027</v>
      </c>
      <c r="Y1227">
        <v>954</v>
      </c>
      <c r="Z1227">
        <v>936</v>
      </c>
      <c r="AA1227">
        <v>794</v>
      </c>
      <c r="AB1227">
        <v>805</v>
      </c>
      <c r="AC1227" s="6">
        <v>1846</v>
      </c>
      <c r="AD1227" s="6">
        <v>1154</v>
      </c>
      <c r="AE1227">
        <v>773</v>
      </c>
      <c r="AF1227">
        <v>683</v>
      </c>
      <c r="AG1227">
        <v>598</v>
      </c>
    </row>
    <row r="1228" spans="1:33" x14ac:dyDescent="0.35">
      <c r="A1228" t="s">
        <v>1242</v>
      </c>
      <c r="B1228" s="3">
        <v>0</v>
      </c>
      <c r="C1228" s="3">
        <v>5.0000000000000001E-3</v>
      </c>
      <c r="D1228" s="3">
        <v>0</v>
      </c>
      <c r="E1228" s="3">
        <v>0</v>
      </c>
      <c r="F1228" s="152">
        <v>0.14399999999999999</v>
      </c>
      <c r="G1228" s="130">
        <v>0.70899999999999996</v>
      </c>
      <c r="H1228" s="130">
        <v>0.57299999999999995</v>
      </c>
      <c r="I1228" s="130">
        <v>2.39</v>
      </c>
      <c r="J1228" s="130">
        <v>1.401</v>
      </c>
      <c r="K1228" s="3">
        <v>1.9E-2</v>
      </c>
      <c r="L1228" s="3">
        <v>0.159</v>
      </c>
      <c r="M1228" s="3">
        <v>0.19700000000000001</v>
      </c>
      <c r="N1228" s="3">
        <v>0.372</v>
      </c>
      <c r="O1228" s="3">
        <v>0.56100000000000005</v>
      </c>
      <c r="P1228" s="3">
        <v>0.376</v>
      </c>
      <c r="Q1228" s="3">
        <v>0.42199999999999999</v>
      </c>
      <c r="R1228" s="3">
        <v>0.27600000000000002</v>
      </c>
      <c r="S1228" s="3">
        <v>0.37</v>
      </c>
      <c r="T1228" s="3">
        <v>0.61899999999999999</v>
      </c>
      <c r="U1228" s="3">
        <v>4.3360000000000003</v>
      </c>
      <c r="V1228" s="3">
        <v>1.032</v>
      </c>
      <c r="W1228" s="3">
        <v>0.185</v>
      </c>
      <c r="X1228" s="3">
        <v>0.123</v>
      </c>
      <c r="Y1228" s="3">
        <v>6.2E-2</v>
      </c>
      <c r="Z1228" s="3">
        <v>4.2999999999999997E-2</v>
      </c>
      <c r="AA1228" s="3">
        <v>8.0000000000000002E-3</v>
      </c>
      <c r="AB1228" s="3">
        <v>0.01</v>
      </c>
      <c r="AC1228" s="3">
        <v>1.405</v>
      </c>
      <c r="AD1228" s="3">
        <v>0.54900000000000004</v>
      </c>
      <c r="AE1228" s="3">
        <v>2.3E-2</v>
      </c>
      <c r="AF1228" s="3">
        <v>2.3E-2</v>
      </c>
      <c r="AG1228" s="3">
        <v>2E-3</v>
      </c>
    </row>
    <row r="1229" spans="1:33" x14ac:dyDescent="0.35">
      <c r="A1229" t="s">
        <v>1243</v>
      </c>
      <c r="B1229">
        <v>0</v>
      </c>
      <c r="C1229">
        <v>2</v>
      </c>
      <c r="D1229">
        <v>0</v>
      </c>
      <c r="E1229">
        <v>0</v>
      </c>
      <c r="F1229">
        <v>48</v>
      </c>
      <c r="G1229">
        <v>249</v>
      </c>
      <c r="H1229">
        <v>181</v>
      </c>
      <c r="I1229">
        <v>932</v>
      </c>
      <c r="J1229">
        <v>550</v>
      </c>
      <c r="K1229">
        <v>8</v>
      </c>
      <c r="L1229">
        <v>72</v>
      </c>
      <c r="M1229">
        <v>79</v>
      </c>
      <c r="N1229">
        <v>134</v>
      </c>
      <c r="O1229">
        <v>201</v>
      </c>
      <c r="P1229">
        <v>156</v>
      </c>
      <c r="Q1229">
        <v>228</v>
      </c>
      <c r="R1229">
        <v>145</v>
      </c>
      <c r="S1229">
        <v>205</v>
      </c>
      <c r="T1229">
        <v>353</v>
      </c>
      <c r="U1229" s="6">
        <v>3582</v>
      </c>
      <c r="V1229" s="6">
        <v>1186</v>
      </c>
      <c r="W1229">
        <v>196</v>
      </c>
      <c r="X1229">
        <v>113</v>
      </c>
      <c r="Y1229">
        <v>56</v>
      </c>
      <c r="Z1229">
        <v>38</v>
      </c>
      <c r="AA1229">
        <v>6</v>
      </c>
      <c r="AB1229">
        <v>8</v>
      </c>
      <c r="AC1229" s="6">
        <v>1078</v>
      </c>
      <c r="AD1229">
        <v>409</v>
      </c>
      <c r="AE1229">
        <v>18</v>
      </c>
      <c r="AF1229">
        <v>15</v>
      </c>
      <c r="AG1229">
        <v>1</v>
      </c>
    </row>
    <row r="1230" spans="1:33" x14ac:dyDescent="0.35">
      <c r="A1230" t="s">
        <v>1244</v>
      </c>
      <c r="B1230">
        <v>325</v>
      </c>
      <c r="C1230">
        <v>402</v>
      </c>
      <c r="D1230">
        <v>405</v>
      </c>
      <c r="E1230">
        <v>437</v>
      </c>
      <c r="F1230">
        <v>331</v>
      </c>
      <c r="G1230">
        <v>350</v>
      </c>
      <c r="H1230">
        <v>315</v>
      </c>
      <c r="I1230">
        <v>390</v>
      </c>
      <c r="J1230">
        <v>393</v>
      </c>
      <c r="K1230">
        <v>410</v>
      </c>
      <c r="L1230">
        <v>453</v>
      </c>
      <c r="M1230">
        <v>399</v>
      </c>
      <c r="N1230">
        <v>360</v>
      </c>
      <c r="O1230">
        <v>357</v>
      </c>
      <c r="P1230">
        <v>414</v>
      </c>
      <c r="Q1230">
        <v>541</v>
      </c>
      <c r="R1230">
        <v>527</v>
      </c>
      <c r="S1230">
        <v>553</v>
      </c>
      <c r="T1230">
        <v>570</v>
      </c>
      <c r="U1230">
        <v>826</v>
      </c>
      <c r="V1230" s="6">
        <v>1149</v>
      </c>
      <c r="W1230" s="6">
        <v>1060</v>
      </c>
      <c r="X1230">
        <v>914</v>
      </c>
      <c r="Y1230">
        <v>899</v>
      </c>
      <c r="Z1230">
        <v>898</v>
      </c>
      <c r="AA1230">
        <v>788</v>
      </c>
      <c r="AB1230">
        <v>797</v>
      </c>
      <c r="AC1230">
        <v>768</v>
      </c>
      <c r="AD1230">
        <v>745</v>
      </c>
      <c r="AE1230">
        <v>755</v>
      </c>
      <c r="AF1230">
        <v>668</v>
      </c>
      <c r="AG1230">
        <v>597</v>
      </c>
    </row>
    <row r="1231" spans="1:33" x14ac:dyDescent="0.35">
      <c r="A1231" t="s">
        <v>1245</v>
      </c>
      <c r="B1231" s="7">
        <v>3.96</v>
      </c>
      <c r="C1231" s="7">
        <v>3.96</v>
      </c>
      <c r="D1231" s="7">
        <v>3.97</v>
      </c>
      <c r="E1231" s="7">
        <v>3.96</v>
      </c>
      <c r="F1231" s="7">
        <v>3.7</v>
      </c>
      <c r="G1231" s="7">
        <v>2.96</v>
      </c>
      <c r="H1231" s="7">
        <v>2.95</v>
      </c>
      <c r="I1231" s="7">
        <v>2.0699999999999998</v>
      </c>
      <c r="J1231" s="7">
        <v>2.59</v>
      </c>
      <c r="K1231" s="7">
        <v>3.9</v>
      </c>
      <c r="L1231" s="7">
        <v>3.63</v>
      </c>
      <c r="M1231" s="7">
        <v>3.55</v>
      </c>
      <c r="N1231" s="7">
        <v>3.59</v>
      </c>
      <c r="O1231" s="7">
        <v>2.96</v>
      </c>
      <c r="P1231" s="7">
        <v>2.95</v>
      </c>
      <c r="Q1231" s="7">
        <v>2.97</v>
      </c>
      <c r="R1231" s="7">
        <v>2.9</v>
      </c>
      <c r="S1231" s="7">
        <v>2.75</v>
      </c>
      <c r="T1231" s="7">
        <v>2.61</v>
      </c>
      <c r="U1231" s="7">
        <v>1.71</v>
      </c>
      <c r="V1231" s="7">
        <v>1.97</v>
      </c>
      <c r="W1231" s="7">
        <v>2.46</v>
      </c>
      <c r="X1231" s="7">
        <v>2.54</v>
      </c>
      <c r="Y1231" s="7">
        <v>2.5499999999999998</v>
      </c>
      <c r="Z1231" s="7">
        <v>2.61</v>
      </c>
      <c r="AA1231" s="7">
        <v>2.64</v>
      </c>
      <c r="AB1231" s="7">
        <v>2.56</v>
      </c>
      <c r="AC1231" s="7">
        <v>2.04</v>
      </c>
      <c r="AD1231" s="7">
        <v>2.2799999999999998</v>
      </c>
      <c r="AE1231" s="7">
        <v>2.64</v>
      </c>
      <c r="AF1231" s="7">
        <v>2.68</v>
      </c>
      <c r="AG1231" s="7">
        <v>2.82</v>
      </c>
    </row>
    <row r="1232" spans="1:33" x14ac:dyDescent="0.35">
      <c r="B1232" s="7"/>
      <c r="C1232" s="7"/>
      <c r="D1232" s="7"/>
      <c r="E1232" s="7"/>
      <c r="F1232" s="7"/>
      <c r="G1232" s="20">
        <f>SUM(G1230:J1230)</f>
        <v>1448</v>
      </c>
      <c r="H1232" s="20">
        <f>SUM(G1229:J1229)</f>
        <v>1912</v>
      </c>
      <c r="I1232" s="7"/>
      <c r="J1232" s="7"/>
      <c r="K1232" s="7"/>
      <c r="L1232" s="7"/>
      <c r="M1232" s="7"/>
      <c r="N1232" s="7"/>
      <c r="O1232" s="7"/>
      <c r="P1232" s="7"/>
      <c r="Q1232" s="7"/>
      <c r="R1232" s="7"/>
      <c r="S1232" s="7"/>
      <c r="T1232" s="7"/>
      <c r="U1232" s="20">
        <f>SUM(U1230:V1230)</f>
        <v>1975</v>
      </c>
      <c r="V1232" s="20">
        <f>SUM(U1229:V1229)</f>
        <v>4768</v>
      </c>
      <c r="W1232" s="7"/>
      <c r="X1232" s="7"/>
      <c r="Y1232" s="7"/>
      <c r="Z1232" s="7"/>
      <c r="AA1232" s="7"/>
      <c r="AB1232" s="7"/>
      <c r="AC1232" s="20">
        <f>SUM(AC1230:AD1230)</f>
        <v>1513</v>
      </c>
      <c r="AD1232" s="20">
        <f>SUM(AC1229:AD1229)</f>
        <v>1487</v>
      </c>
      <c r="AE1232" s="7"/>
      <c r="AF1232" s="7"/>
      <c r="AG1232" s="7"/>
    </row>
    <row r="1234" spans="1:33" x14ac:dyDescent="0.35">
      <c r="A1234" t="s">
        <v>1240</v>
      </c>
      <c r="B1234" s="5">
        <v>46026</v>
      </c>
      <c r="C1234" s="5">
        <v>46033</v>
      </c>
      <c r="D1234" s="5">
        <v>46040</v>
      </c>
      <c r="E1234" s="5">
        <v>46047</v>
      </c>
      <c r="F1234" s="5">
        <v>46054</v>
      </c>
      <c r="G1234" s="5">
        <v>46061</v>
      </c>
      <c r="H1234" s="5">
        <v>46068</v>
      </c>
      <c r="I1234" s="5">
        <v>46075</v>
      </c>
      <c r="J1234" s="5">
        <v>46082</v>
      </c>
      <c r="K1234" s="5">
        <v>46089</v>
      </c>
      <c r="L1234" s="5">
        <v>46096</v>
      </c>
      <c r="M1234" s="5">
        <v>46103</v>
      </c>
      <c r="N1234" s="5">
        <v>46110</v>
      </c>
      <c r="O1234" s="5">
        <v>46117</v>
      </c>
      <c r="P1234" s="5">
        <v>46124</v>
      </c>
      <c r="Q1234" s="5">
        <v>46131</v>
      </c>
      <c r="R1234" s="5">
        <v>46138</v>
      </c>
      <c r="S1234" s="5">
        <v>46145</v>
      </c>
      <c r="T1234" s="5">
        <v>46152</v>
      </c>
      <c r="U1234" s="5">
        <v>46159</v>
      </c>
      <c r="V1234" s="5">
        <v>46166</v>
      </c>
      <c r="W1234" s="5">
        <v>46173</v>
      </c>
      <c r="X1234" s="5">
        <v>46180</v>
      </c>
      <c r="Y1234" s="5">
        <v>46187</v>
      </c>
      <c r="Z1234" s="5">
        <v>46194</v>
      </c>
      <c r="AA1234" s="5">
        <v>46201</v>
      </c>
      <c r="AB1234" s="5">
        <v>46208</v>
      </c>
      <c r="AC1234" s="128">
        <v>46215</v>
      </c>
      <c r="AD1234" s="128">
        <v>46222</v>
      </c>
      <c r="AE1234" s="5">
        <v>46229</v>
      </c>
      <c r="AF1234" s="5">
        <v>46236</v>
      </c>
      <c r="AG1234" s="5">
        <v>46243</v>
      </c>
    </row>
    <row r="1235" spans="1:33" x14ac:dyDescent="0.35">
      <c r="A1235" t="s">
        <v>1242</v>
      </c>
      <c r="B1235" s="3">
        <v>0</v>
      </c>
      <c r="C1235" s="3">
        <v>5.0000000000000001E-3</v>
      </c>
      <c r="D1235" s="3">
        <v>0</v>
      </c>
      <c r="E1235" s="3">
        <v>0</v>
      </c>
      <c r="F1235" s="3">
        <v>0.14399999999999999</v>
      </c>
      <c r="G1235" s="3">
        <v>0.70899999999999996</v>
      </c>
      <c r="H1235" s="3">
        <v>0.57299999999999995</v>
      </c>
      <c r="I1235" s="3">
        <v>2.39</v>
      </c>
      <c r="J1235" s="3">
        <v>1.401</v>
      </c>
      <c r="K1235" s="3">
        <v>1.9E-2</v>
      </c>
      <c r="L1235" s="3">
        <v>0.159</v>
      </c>
      <c r="M1235" s="3">
        <v>0.19700000000000001</v>
      </c>
      <c r="N1235" s="3">
        <v>0.372</v>
      </c>
      <c r="O1235" s="3">
        <v>0.56100000000000005</v>
      </c>
      <c r="P1235" s="3">
        <v>0.376</v>
      </c>
      <c r="Q1235" s="3">
        <v>0.42199999999999999</v>
      </c>
      <c r="R1235" s="3">
        <v>0.27600000000000002</v>
      </c>
      <c r="S1235" s="3">
        <v>0.37</v>
      </c>
      <c r="T1235" s="3">
        <v>0.61899999999999999</v>
      </c>
      <c r="U1235" s="3">
        <v>4.3360000000000003</v>
      </c>
      <c r="V1235" s="3">
        <v>1.032</v>
      </c>
      <c r="W1235" s="3">
        <v>0.185</v>
      </c>
      <c r="X1235" s="3">
        <v>0.123</v>
      </c>
      <c r="Y1235" s="3">
        <v>6.2E-2</v>
      </c>
      <c r="Z1235" s="3">
        <v>4.2999999999999997E-2</v>
      </c>
      <c r="AA1235" s="3">
        <v>8.0000000000000002E-3</v>
      </c>
      <c r="AB1235" s="3">
        <v>0.01</v>
      </c>
      <c r="AC1235" s="3">
        <v>1.405</v>
      </c>
      <c r="AD1235" s="3">
        <v>0.54900000000000004</v>
      </c>
      <c r="AE1235" s="3">
        <v>2.3E-2</v>
      </c>
      <c r="AF1235" s="3">
        <v>2.3E-2</v>
      </c>
      <c r="AG1235" s="3">
        <v>2E-3</v>
      </c>
    </row>
    <row r="1236" spans="1:33" x14ac:dyDescent="0.35">
      <c r="A1236" t="s">
        <v>1247</v>
      </c>
      <c r="B1236" s="3">
        <v>0.154</v>
      </c>
      <c r="C1236" s="3">
        <v>7.6999999999999999E-2</v>
      </c>
      <c r="D1236" s="3">
        <v>9.6000000000000002E-2</v>
      </c>
      <c r="E1236" s="3">
        <v>5.6000000000000001E-2</v>
      </c>
      <c r="F1236" s="3">
        <v>0.113</v>
      </c>
      <c r="G1236" s="3">
        <v>0.20599999999999999</v>
      </c>
      <c r="H1236" s="3">
        <v>0.17899999999999999</v>
      </c>
      <c r="I1236" s="3">
        <v>0.46100000000000002</v>
      </c>
      <c r="J1236" s="3">
        <v>0.32800000000000001</v>
      </c>
      <c r="K1236" s="3">
        <v>0.14399999999999999</v>
      </c>
      <c r="L1236" s="3">
        <v>0.378</v>
      </c>
      <c r="M1236" s="3">
        <v>0.434</v>
      </c>
      <c r="N1236" s="3">
        <v>7.6999999999999999E-2</v>
      </c>
      <c r="O1236" s="3">
        <v>0.16800000000000001</v>
      </c>
      <c r="P1236" s="3">
        <v>0.155</v>
      </c>
      <c r="Q1236" s="3">
        <v>0.14399999999999999</v>
      </c>
      <c r="R1236" s="3">
        <v>0.121</v>
      </c>
      <c r="S1236" s="3">
        <v>0.188</v>
      </c>
      <c r="T1236" s="3">
        <v>0.223</v>
      </c>
      <c r="U1236" s="130">
        <v>0.52700000000000002</v>
      </c>
      <c r="V1236" s="130">
        <v>0.29199999999999998</v>
      </c>
      <c r="W1236" s="3">
        <v>4.7E-2</v>
      </c>
      <c r="X1236" s="3">
        <v>5.7000000000000002E-2</v>
      </c>
      <c r="Y1236" s="3">
        <v>4.3999999999999997E-2</v>
      </c>
      <c r="Z1236" s="3">
        <v>8.2000000000000003E-2</v>
      </c>
      <c r="AA1236" s="3">
        <v>5.0000000000000001E-3</v>
      </c>
      <c r="AB1236" s="3">
        <v>-3.7999999999999999E-2</v>
      </c>
      <c r="AC1236" s="3">
        <v>0.19500000000000001</v>
      </c>
      <c r="AD1236" s="3">
        <v>0.13</v>
      </c>
      <c r="AE1236" s="3">
        <v>-4.1000000000000002E-2</v>
      </c>
      <c r="AF1236" s="3">
        <v>-4.1000000000000002E-2</v>
      </c>
      <c r="AG1236" s="3">
        <v>-3.5999999999999997E-2</v>
      </c>
    </row>
    <row r="1237" spans="1:33" x14ac:dyDescent="0.35">
      <c r="A1237" t="s">
        <v>1248</v>
      </c>
      <c r="B1237" s="7">
        <v>0.61</v>
      </c>
      <c r="C1237" s="7">
        <v>0.3</v>
      </c>
      <c r="D1237" s="7">
        <v>0.38</v>
      </c>
      <c r="E1237" s="7">
        <v>0.22</v>
      </c>
      <c r="F1237" s="7">
        <v>0.44</v>
      </c>
      <c r="G1237" s="7">
        <v>0.77</v>
      </c>
      <c r="H1237" s="7">
        <v>0.65</v>
      </c>
      <c r="I1237" s="7">
        <v>1.77</v>
      </c>
      <c r="J1237" s="7">
        <v>1.27</v>
      </c>
      <c r="K1237" s="7">
        <v>0.56999999999999995</v>
      </c>
      <c r="L1237" s="7">
        <v>1.5</v>
      </c>
      <c r="M1237" s="7">
        <v>1.71</v>
      </c>
      <c r="N1237" s="7">
        <v>0.28999999999999998</v>
      </c>
      <c r="O1237" s="7">
        <v>0.6</v>
      </c>
      <c r="P1237" s="7">
        <v>0.54</v>
      </c>
      <c r="Q1237" s="7">
        <v>0.5</v>
      </c>
      <c r="R1237" s="7">
        <v>0.4</v>
      </c>
      <c r="S1237" s="7">
        <v>0.64</v>
      </c>
      <c r="T1237" s="7">
        <v>0.75</v>
      </c>
      <c r="U1237" s="7">
        <v>1.91</v>
      </c>
      <c r="V1237" s="7">
        <v>0.81</v>
      </c>
      <c r="W1237" s="7">
        <v>0.12</v>
      </c>
      <c r="X1237" s="7">
        <v>0.15</v>
      </c>
      <c r="Y1237" s="7">
        <v>0.12</v>
      </c>
      <c r="Z1237" s="7">
        <v>0.22</v>
      </c>
      <c r="AA1237" s="7">
        <v>0.01</v>
      </c>
      <c r="AB1237" s="7">
        <v>-0.1</v>
      </c>
      <c r="AC1237" s="7">
        <v>0.49</v>
      </c>
      <c r="AD1237" s="7">
        <v>0.33</v>
      </c>
      <c r="AE1237" s="7">
        <v>-0.11</v>
      </c>
      <c r="AF1237" s="7">
        <v>-0.11</v>
      </c>
      <c r="AG1237" s="7">
        <v>-0.1</v>
      </c>
    </row>
    <row r="1238" spans="1:33" x14ac:dyDescent="0.35">
      <c r="A1238" t="s">
        <v>1249</v>
      </c>
      <c r="B1238" s="7">
        <v>3.35</v>
      </c>
      <c r="C1238" s="7">
        <v>3.66</v>
      </c>
      <c r="D1238" s="7">
        <v>3.59</v>
      </c>
      <c r="E1238" s="7">
        <v>3.74</v>
      </c>
      <c r="F1238" s="7">
        <v>3.45</v>
      </c>
      <c r="G1238" s="129">
        <v>2.96</v>
      </c>
      <c r="H1238" s="129">
        <v>2.95</v>
      </c>
      <c r="I1238" s="129">
        <v>2.0699999999999998</v>
      </c>
      <c r="J1238" s="129">
        <v>2.59</v>
      </c>
      <c r="K1238" s="7">
        <v>3.38</v>
      </c>
      <c r="L1238" s="7">
        <v>2.46</v>
      </c>
      <c r="M1238" s="7">
        <v>2.2400000000000002</v>
      </c>
      <c r="N1238" s="7">
        <v>3.51</v>
      </c>
      <c r="O1238" s="7">
        <v>2.97</v>
      </c>
      <c r="P1238" s="7">
        <v>2.96</v>
      </c>
      <c r="Q1238" s="7">
        <v>2.97</v>
      </c>
      <c r="R1238" s="7">
        <v>2.89</v>
      </c>
      <c r="S1238" s="7">
        <v>2.75</v>
      </c>
      <c r="T1238" s="7">
        <v>2.6</v>
      </c>
      <c r="U1238" s="7">
        <v>1.71</v>
      </c>
      <c r="V1238" s="7">
        <v>1.96</v>
      </c>
      <c r="W1238" s="7">
        <v>2.46</v>
      </c>
      <c r="X1238" s="7">
        <v>2.4700000000000002</v>
      </c>
      <c r="Y1238" s="7">
        <v>2.4700000000000002</v>
      </c>
      <c r="Z1238" s="7">
        <v>2.4300000000000002</v>
      </c>
      <c r="AA1238" s="7">
        <v>2.64</v>
      </c>
      <c r="AB1238" s="7">
        <v>2.69</v>
      </c>
      <c r="AC1238" s="129">
        <v>2.04</v>
      </c>
      <c r="AD1238" s="129">
        <v>2.2000000000000002</v>
      </c>
      <c r="AE1238" s="7">
        <v>2.79</v>
      </c>
      <c r="AF1238" s="7">
        <v>2.82</v>
      </c>
      <c r="AG1238" s="7">
        <v>2.92</v>
      </c>
    </row>
    <row r="1239" spans="1:33" x14ac:dyDescent="0.35">
      <c r="A1239" t="s">
        <v>1250</v>
      </c>
      <c r="B1239" s="7">
        <v>3.96</v>
      </c>
      <c r="C1239" s="7">
        <v>3.97</v>
      </c>
      <c r="D1239" s="7">
        <v>3.97</v>
      </c>
      <c r="E1239" s="7">
        <v>3.96</v>
      </c>
      <c r="F1239" s="7">
        <v>3.9</v>
      </c>
      <c r="G1239" s="7">
        <v>3.73</v>
      </c>
      <c r="H1239" s="7">
        <v>3.6</v>
      </c>
      <c r="I1239" s="7">
        <v>3.84</v>
      </c>
      <c r="J1239" s="7">
        <v>3.86</v>
      </c>
      <c r="K1239" s="7">
        <v>3.95</v>
      </c>
      <c r="L1239" s="7">
        <v>3.96</v>
      </c>
      <c r="M1239" s="7">
        <v>3.95</v>
      </c>
      <c r="N1239" s="7">
        <v>3.8</v>
      </c>
      <c r="O1239" s="7">
        <v>3.57</v>
      </c>
      <c r="P1239" s="7">
        <v>3.5</v>
      </c>
      <c r="Q1239" s="7">
        <v>3.47</v>
      </c>
      <c r="R1239" s="7">
        <v>3.29</v>
      </c>
      <c r="S1239" s="7">
        <v>3.38</v>
      </c>
      <c r="T1239" s="7">
        <v>3.35</v>
      </c>
      <c r="U1239" s="7">
        <v>3.62</v>
      </c>
      <c r="V1239" s="7">
        <v>2.77</v>
      </c>
      <c r="W1239" s="7">
        <v>2.58</v>
      </c>
      <c r="X1239" s="7">
        <v>2.62</v>
      </c>
      <c r="Y1239" s="7">
        <v>2.59</v>
      </c>
      <c r="Z1239" s="7">
        <v>2.65</v>
      </c>
      <c r="AA1239" s="7">
        <v>2.66</v>
      </c>
      <c r="AB1239" s="7">
        <v>2.59</v>
      </c>
      <c r="AC1239" s="7">
        <v>2.5299999999999998</v>
      </c>
      <c r="AD1239" s="7">
        <v>2.5299999999999998</v>
      </c>
      <c r="AE1239" s="7">
        <v>2.68</v>
      </c>
      <c r="AF1239" s="7">
        <v>2.71</v>
      </c>
      <c r="AG1239" s="7">
        <v>2.82</v>
      </c>
    </row>
    <row r="1240" spans="1:33" x14ac:dyDescent="0.35">
      <c r="A1240" t="s">
        <v>1245</v>
      </c>
      <c r="B1240" s="7">
        <v>3.96</v>
      </c>
      <c r="C1240" s="7">
        <v>3.96</v>
      </c>
      <c r="D1240" s="7">
        <v>3.97</v>
      </c>
      <c r="E1240" s="7">
        <v>3.96</v>
      </c>
      <c r="F1240" s="7">
        <v>3.7</v>
      </c>
      <c r="G1240" s="7">
        <v>2.96</v>
      </c>
      <c r="H1240" s="7">
        <v>2.95</v>
      </c>
      <c r="I1240" s="7">
        <v>2.0699999999999998</v>
      </c>
      <c r="J1240" s="7">
        <v>2.59</v>
      </c>
      <c r="K1240" s="7">
        <v>3.9</v>
      </c>
      <c r="L1240" s="7">
        <v>3.63</v>
      </c>
      <c r="M1240" s="7">
        <v>3.55</v>
      </c>
      <c r="N1240" s="7">
        <v>3.59</v>
      </c>
      <c r="O1240" s="7">
        <v>2.96</v>
      </c>
      <c r="P1240" s="7">
        <v>2.95</v>
      </c>
      <c r="Q1240" s="7">
        <v>2.97</v>
      </c>
      <c r="R1240" s="7">
        <v>2.9</v>
      </c>
      <c r="S1240" s="7">
        <v>2.75</v>
      </c>
      <c r="T1240" s="7">
        <v>2.61</v>
      </c>
      <c r="U1240" s="7">
        <v>1.71</v>
      </c>
      <c r="V1240" s="7">
        <v>1.97</v>
      </c>
      <c r="W1240" s="7">
        <v>2.46</v>
      </c>
      <c r="X1240" s="7">
        <v>2.54</v>
      </c>
      <c r="Y1240" s="7">
        <v>2.5499999999999998</v>
      </c>
      <c r="Z1240" s="7">
        <v>2.61</v>
      </c>
      <c r="AA1240" s="7">
        <v>2.64</v>
      </c>
      <c r="AB1240" s="7">
        <v>2.56</v>
      </c>
      <c r="AC1240" s="7">
        <v>2.04</v>
      </c>
      <c r="AD1240" s="7">
        <v>2.2799999999999998</v>
      </c>
      <c r="AE1240" s="7">
        <v>2.64</v>
      </c>
      <c r="AF1240" s="7">
        <v>2.68</v>
      </c>
      <c r="AG1240" s="7">
        <v>2.82</v>
      </c>
    </row>
    <row r="1242" spans="1:33" s="66" customFormat="1" x14ac:dyDescent="0.35"/>
    <row r="1243" spans="1:33" x14ac:dyDescent="0.35">
      <c r="A1243" s="147" t="s">
        <v>291</v>
      </c>
    </row>
    <row r="1245" spans="1:33" x14ac:dyDescent="0.35">
      <c r="A1245" t="s">
        <v>1240</v>
      </c>
      <c r="B1245" s="5">
        <v>46026</v>
      </c>
      <c r="C1245" s="5">
        <v>46033</v>
      </c>
      <c r="D1245" s="5">
        <v>46040</v>
      </c>
      <c r="E1245" s="5">
        <v>46047</v>
      </c>
      <c r="F1245" s="5">
        <v>46054</v>
      </c>
      <c r="G1245" s="5">
        <v>46061</v>
      </c>
      <c r="H1245" s="5">
        <v>46068</v>
      </c>
      <c r="I1245" s="5">
        <v>46075</v>
      </c>
      <c r="J1245" s="5">
        <v>46082</v>
      </c>
      <c r="K1245" s="5">
        <v>46089</v>
      </c>
      <c r="L1245" s="5">
        <v>46096</v>
      </c>
      <c r="M1245" s="5">
        <v>46103</v>
      </c>
      <c r="N1245" s="5">
        <v>46110</v>
      </c>
      <c r="O1245" s="5">
        <v>46117</v>
      </c>
      <c r="P1245" s="5">
        <v>46124</v>
      </c>
      <c r="Q1245" s="5">
        <v>46131</v>
      </c>
      <c r="R1245" s="5">
        <v>46138</v>
      </c>
      <c r="S1245" s="5">
        <v>46145</v>
      </c>
      <c r="T1245" s="5">
        <v>46152</v>
      </c>
      <c r="U1245" s="5">
        <v>46159</v>
      </c>
      <c r="V1245" s="5">
        <v>46166</v>
      </c>
      <c r="W1245" s="5">
        <v>46173</v>
      </c>
      <c r="X1245" s="5">
        <v>46180</v>
      </c>
      <c r="Y1245" s="5">
        <v>46187</v>
      </c>
      <c r="Z1245" s="5">
        <v>46194</v>
      </c>
      <c r="AA1245" s="5">
        <v>46201</v>
      </c>
      <c r="AB1245" s="5">
        <v>46208</v>
      </c>
      <c r="AC1245" s="5">
        <v>46215</v>
      </c>
      <c r="AD1245" s="5">
        <v>46222</v>
      </c>
      <c r="AE1245" s="5">
        <v>46229</v>
      </c>
      <c r="AF1245" s="5">
        <v>46236</v>
      </c>
      <c r="AG1245" s="5">
        <v>46243</v>
      </c>
    </row>
    <row r="1246" spans="1:33" x14ac:dyDescent="0.35">
      <c r="A1246" t="s">
        <v>1241</v>
      </c>
      <c r="B1246">
        <v>13</v>
      </c>
      <c r="C1246">
        <v>40</v>
      </c>
      <c r="D1246">
        <v>59</v>
      </c>
      <c r="E1246">
        <v>36</v>
      </c>
      <c r="F1246">
        <v>21</v>
      </c>
      <c r="G1246">
        <v>22</v>
      </c>
      <c r="H1246">
        <v>32</v>
      </c>
      <c r="I1246">
        <v>2</v>
      </c>
      <c r="J1246">
        <v>17</v>
      </c>
      <c r="K1246">
        <v>8</v>
      </c>
      <c r="L1246">
        <v>7</v>
      </c>
      <c r="M1246">
        <v>34</v>
      </c>
      <c r="N1246">
        <v>18</v>
      </c>
      <c r="O1246">
        <v>19</v>
      </c>
      <c r="P1246">
        <v>13</v>
      </c>
      <c r="Q1246">
        <v>50</v>
      </c>
      <c r="R1246">
        <v>2</v>
      </c>
      <c r="S1246">
        <v>2</v>
      </c>
      <c r="T1246">
        <v>6</v>
      </c>
      <c r="U1246">
        <v>15</v>
      </c>
      <c r="V1246">
        <v>12</v>
      </c>
      <c r="W1246">
        <v>10</v>
      </c>
      <c r="X1246">
        <v>4</v>
      </c>
      <c r="Y1246">
        <v>12</v>
      </c>
      <c r="Z1246">
        <v>6</v>
      </c>
      <c r="AA1246">
        <v>3</v>
      </c>
      <c r="AB1246">
        <v>6</v>
      </c>
      <c r="AC1246">
        <v>11</v>
      </c>
      <c r="AD1246">
        <v>16</v>
      </c>
      <c r="AE1246">
        <v>7</v>
      </c>
      <c r="AF1246">
        <v>17</v>
      </c>
      <c r="AG1246">
        <v>14</v>
      </c>
    </row>
    <row r="1247" spans="1:33" x14ac:dyDescent="0.35">
      <c r="A1247" t="s">
        <v>1242</v>
      </c>
      <c r="B1247" s="3">
        <v>0</v>
      </c>
      <c r="C1247" s="3">
        <v>0</v>
      </c>
      <c r="D1247" s="3">
        <v>7.0999999999999994E-2</v>
      </c>
      <c r="E1247" s="3">
        <v>0</v>
      </c>
      <c r="F1247" s="3">
        <v>0</v>
      </c>
      <c r="G1247" s="3">
        <v>0</v>
      </c>
      <c r="H1247" s="3">
        <v>6.3E-2</v>
      </c>
      <c r="I1247" s="3">
        <v>0</v>
      </c>
      <c r="J1247" s="3">
        <v>0</v>
      </c>
      <c r="K1247" s="3">
        <v>0</v>
      </c>
      <c r="L1247" s="3">
        <v>0</v>
      </c>
      <c r="M1247" s="3">
        <v>0</v>
      </c>
      <c r="N1247" s="3">
        <v>0</v>
      </c>
      <c r="O1247" s="3">
        <v>0</v>
      </c>
      <c r="P1247" s="3">
        <v>0</v>
      </c>
      <c r="Q1247" s="3">
        <v>0.61299999999999999</v>
      </c>
      <c r="R1247" s="3">
        <v>0</v>
      </c>
      <c r="S1247" s="3">
        <v>0</v>
      </c>
      <c r="T1247" s="3">
        <v>0</v>
      </c>
      <c r="U1247" s="3">
        <v>0</v>
      </c>
      <c r="V1247" s="3">
        <v>0</v>
      </c>
      <c r="W1247" s="3">
        <v>0</v>
      </c>
      <c r="X1247" s="3">
        <v>0</v>
      </c>
      <c r="Y1247" s="3">
        <v>0</v>
      </c>
      <c r="Z1247" s="3">
        <v>0</v>
      </c>
      <c r="AA1247" s="3">
        <v>0</v>
      </c>
      <c r="AB1247" s="3">
        <v>0</v>
      </c>
      <c r="AC1247" s="3">
        <v>0</v>
      </c>
      <c r="AD1247" s="3">
        <v>0</v>
      </c>
      <c r="AE1247" s="3">
        <v>0</v>
      </c>
      <c r="AF1247" s="3">
        <v>0</v>
      </c>
      <c r="AG1247" s="3">
        <v>0</v>
      </c>
    </row>
    <row r="1248" spans="1:33" x14ac:dyDescent="0.35">
      <c r="A1248" t="s">
        <v>1243</v>
      </c>
      <c r="B1248">
        <v>0</v>
      </c>
      <c r="C1248">
        <v>0</v>
      </c>
      <c r="D1248">
        <v>4</v>
      </c>
      <c r="E1248">
        <v>0</v>
      </c>
      <c r="F1248">
        <v>0</v>
      </c>
      <c r="G1248">
        <v>0</v>
      </c>
      <c r="H1248">
        <v>2</v>
      </c>
      <c r="I1248">
        <v>0</v>
      </c>
      <c r="J1248">
        <v>0</v>
      </c>
      <c r="K1248">
        <v>0</v>
      </c>
      <c r="L1248">
        <v>0</v>
      </c>
      <c r="M1248">
        <v>0</v>
      </c>
      <c r="N1248">
        <v>0</v>
      </c>
      <c r="O1248">
        <v>0</v>
      </c>
      <c r="P1248">
        <v>0</v>
      </c>
      <c r="Q1248">
        <v>19</v>
      </c>
      <c r="R1248">
        <v>0</v>
      </c>
      <c r="S1248">
        <v>0</v>
      </c>
      <c r="T1248">
        <v>0</v>
      </c>
      <c r="U1248">
        <v>0</v>
      </c>
      <c r="V1248">
        <v>0</v>
      </c>
      <c r="W1248">
        <v>0</v>
      </c>
      <c r="X1248">
        <v>0</v>
      </c>
      <c r="Y1248">
        <v>0</v>
      </c>
      <c r="Z1248">
        <v>0</v>
      </c>
      <c r="AA1248">
        <v>0</v>
      </c>
      <c r="AB1248">
        <v>0</v>
      </c>
      <c r="AC1248">
        <v>0</v>
      </c>
      <c r="AD1248">
        <v>0</v>
      </c>
      <c r="AE1248">
        <v>0</v>
      </c>
      <c r="AF1248">
        <v>0</v>
      </c>
      <c r="AG1248">
        <v>0</v>
      </c>
    </row>
    <row r="1249" spans="1:33" x14ac:dyDescent="0.35">
      <c r="A1249" t="s">
        <v>1244</v>
      </c>
      <c r="B1249">
        <v>13</v>
      </c>
      <c r="C1249">
        <v>40</v>
      </c>
      <c r="D1249">
        <v>55</v>
      </c>
      <c r="E1249">
        <v>36</v>
      </c>
      <c r="F1249">
        <v>21</v>
      </c>
      <c r="G1249">
        <v>22</v>
      </c>
      <c r="H1249">
        <v>30</v>
      </c>
      <c r="I1249">
        <v>2</v>
      </c>
      <c r="J1249">
        <v>17</v>
      </c>
      <c r="K1249">
        <v>8</v>
      </c>
      <c r="L1249">
        <v>7</v>
      </c>
      <c r="M1249">
        <v>34</v>
      </c>
      <c r="N1249">
        <v>18</v>
      </c>
      <c r="O1249">
        <v>19</v>
      </c>
      <c r="P1249">
        <v>13</v>
      </c>
      <c r="Q1249">
        <v>31</v>
      </c>
      <c r="R1249">
        <v>2</v>
      </c>
      <c r="S1249">
        <v>2</v>
      </c>
      <c r="T1249">
        <v>6</v>
      </c>
      <c r="U1249">
        <v>15</v>
      </c>
      <c r="V1249">
        <v>12</v>
      </c>
      <c r="W1249">
        <v>10</v>
      </c>
      <c r="X1249">
        <v>4</v>
      </c>
      <c r="Y1249">
        <v>12</v>
      </c>
      <c r="Z1249">
        <v>6</v>
      </c>
      <c r="AA1249">
        <v>3</v>
      </c>
      <c r="AB1249">
        <v>6</v>
      </c>
      <c r="AC1249">
        <v>11</v>
      </c>
      <c r="AD1249">
        <v>16</v>
      </c>
      <c r="AE1249">
        <v>7</v>
      </c>
      <c r="AF1249">
        <v>17</v>
      </c>
      <c r="AG1249">
        <v>14</v>
      </c>
    </row>
    <row r="1250" spans="1:33" x14ac:dyDescent="0.35">
      <c r="A1250" t="s">
        <v>1245</v>
      </c>
      <c r="B1250" s="7">
        <v>2.99</v>
      </c>
      <c r="C1250" s="7">
        <v>2.97</v>
      </c>
      <c r="D1250" s="7">
        <v>2.41</v>
      </c>
      <c r="E1250" s="7">
        <v>2.91</v>
      </c>
      <c r="F1250" s="7">
        <v>2.99</v>
      </c>
      <c r="G1250" s="7">
        <v>2.2000000000000002</v>
      </c>
      <c r="H1250" s="7">
        <v>2.62</v>
      </c>
      <c r="I1250" s="7">
        <v>2.99</v>
      </c>
      <c r="J1250" s="7">
        <v>2.98</v>
      </c>
      <c r="K1250" s="7">
        <v>2.99</v>
      </c>
      <c r="L1250" s="7">
        <v>2.99</v>
      </c>
      <c r="M1250" s="7">
        <v>1.98</v>
      </c>
      <c r="N1250" s="7">
        <v>2.99</v>
      </c>
      <c r="O1250" s="7">
        <v>2.99</v>
      </c>
      <c r="P1250" s="7">
        <v>2.87</v>
      </c>
      <c r="Q1250" s="7">
        <v>1.54</v>
      </c>
      <c r="R1250" s="7">
        <v>2.99</v>
      </c>
      <c r="S1250" s="7">
        <v>2.99</v>
      </c>
      <c r="T1250" s="7">
        <v>2.99</v>
      </c>
      <c r="U1250" s="7">
        <v>2.99</v>
      </c>
      <c r="V1250" s="7">
        <v>2.99</v>
      </c>
      <c r="W1250" s="7">
        <v>2.75</v>
      </c>
      <c r="X1250" s="7">
        <v>3.07</v>
      </c>
      <c r="Y1250" s="7">
        <v>3.04</v>
      </c>
      <c r="Z1250" s="7">
        <v>3.04</v>
      </c>
      <c r="AA1250" s="7">
        <v>2.99</v>
      </c>
      <c r="AB1250" s="7">
        <v>2.99</v>
      </c>
      <c r="AC1250" s="7">
        <v>3.02</v>
      </c>
      <c r="AD1250" s="7">
        <v>3.07</v>
      </c>
      <c r="AE1250" s="7">
        <v>2.8</v>
      </c>
      <c r="AF1250" s="7">
        <v>2.96</v>
      </c>
      <c r="AG1250" s="7">
        <v>2.98</v>
      </c>
    </row>
    <row r="1252" spans="1:33" x14ac:dyDescent="0.35">
      <c r="A1252" t="s">
        <v>1240</v>
      </c>
      <c r="B1252" s="5">
        <v>46026</v>
      </c>
      <c r="C1252" s="5">
        <v>46033</v>
      </c>
      <c r="D1252" s="5">
        <v>46040</v>
      </c>
      <c r="E1252" s="5">
        <v>46047</v>
      </c>
      <c r="F1252" s="5">
        <v>46054</v>
      </c>
      <c r="G1252" s="5">
        <v>46061</v>
      </c>
      <c r="H1252" s="5">
        <v>46068</v>
      </c>
      <c r="I1252" s="5">
        <v>46075</v>
      </c>
      <c r="J1252" s="5">
        <v>46082</v>
      </c>
      <c r="K1252" s="5">
        <v>46089</v>
      </c>
      <c r="L1252" s="5">
        <v>46096</v>
      </c>
      <c r="M1252" s="5">
        <v>46103</v>
      </c>
      <c r="N1252" s="5">
        <v>46110</v>
      </c>
      <c r="O1252" s="5">
        <v>46117</v>
      </c>
      <c r="P1252" s="5">
        <v>46124</v>
      </c>
      <c r="Q1252" s="5">
        <v>46131</v>
      </c>
      <c r="R1252" s="5">
        <v>46138</v>
      </c>
      <c r="S1252" s="5">
        <v>46145</v>
      </c>
      <c r="T1252" s="5">
        <v>46152</v>
      </c>
      <c r="U1252" s="5">
        <v>46159</v>
      </c>
      <c r="V1252" s="5">
        <v>46166</v>
      </c>
      <c r="W1252" s="5">
        <v>46173</v>
      </c>
      <c r="X1252" s="5">
        <v>46180</v>
      </c>
      <c r="Y1252" s="5">
        <v>46187</v>
      </c>
      <c r="Z1252" s="5">
        <v>46194</v>
      </c>
      <c r="AA1252" s="5">
        <v>46201</v>
      </c>
      <c r="AB1252" s="5">
        <v>46208</v>
      </c>
      <c r="AC1252" s="5">
        <v>46215</v>
      </c>
      <c r="AD1252" s="5">
        <v>46222</v>
      </c>
      <c r="AE1252" s="5">
        <v>46229</v>
      </c>
      <c r="AF1252" s="5">
        <v>46236</v>
      </c>
      <c r="AG1252" s="5">
        <v>46243</v>
      </c>
    </row>
    <row r="1253" spans="1:33" x14ac:dyDescent="0.35">
      <c r="A1253" t="s">
        <v>1293</v>
      </c>
      <c r="B1253" s="3">
        <v>0</v>
      </c>
      <c r="C1253" s="3">
        <v>0</v>
      </c>
      <c r="D1253" s="3">
        <v>7.0000000000000001E-3</v>
      </c>
      <c r="E1253" s="3">
        <v>0</v>
      </c>
      <c r="F1253" s="3">
        <v>0</v>
      </c>
      <c r="G1253" s="3">
        <v>0</v>
      </c>
      <c r="H1253" s="3">
        <v>0</v>
      </c>
      <c r="I1253" s="3">
        <v>0</v>
      </c>
      <c r="J1253" s="3">
        <v>0</v>
      </c>
      <c r="K1253" s="3">
        <v>0</v>
      </c>
      <c r="L1253" s="3">
        <v>0</v>
      </c>
      <c r="M1253" s="3">
        <v>0</v>
      </c>
      <c r="N1253" s="3">
        <v>0</v>
      </c>
      <c r="O1253" s="3">
        <v>0</v>
      </c>
      <c r="P1253" s="3">
        <v>0</v>
      </c>
      <c r="Q1253" s="3">
        <v>0.24199999999999999</v>
      </c>
      <c r="R1253" s="3">
        <v>0</v>
      </c>
      <c r="S1253" s="3">
        <v>0</v>
      </c>
      <c r="T1253" s="3">
        <v>0</v>
      </c>
      <c r="U1253" s="3">
        <v>0</v>
      </c>
      <c r="V1253" s="3">
        <v>0</v>
      </c>
      <c r="W1253" s="3">
        <v>0</v>
      </c>
      <c r="X1253" s="3">
        <v>0</v>
      </c>
      <c r="Y1253" s="3">
        <v>0</v>
      </c>
      <c r="Z1253" s="3">
        <v>0</v>
      </c>
      <c r="AA1253" s="3">
        <v>0</v>
      </c>
      <c r="AB1253" s="3">
        <v>0</v>
      </c>
      <c r="AC1253" s="3">
        <v>0</v>
      </c>
      <c r="AD1253" s="3">
        <v>0</v>
      </c>
      <c r="AE1253" s="3">
        <v>0</v>
      </c>
      <c r="AF1253" s="3">
        <v>0</v>
      </c>
      <c r="AG1253" s="3">
        <v>0</v>
      </c>
    </row>
    <row r="1254" spans="1:33" x14ac:dyDescent="0.35">
      <c r="A1254" t="s">
        <v>1247</v>
      </c>
      <c r="B1254" t="s">
        <v>1272</v>
      </c>
      <c r="C1254" s="3">
        <v>5.8999999999999997E-2</v>
      </c>
      <c r="D1254" s="3">
        <v>0.41799999999999998</v>
      </c>
      <c r="E1254" t="s">
        <v>1272</v>
      </c>
      <c r="F1254" t="s">
        <v>1272</v>
      </c>
      <c r="G1254" t="s">
        <v>1272</v>
      </c>
      <c r="H1254" s="3">
        <v>0.46600000000000003</v>
      </c>
      <c r="I1254" t="s">
        <v>1272</v>
      </c>
      <c r="J1254" t="s">
        <v>1272</v>
      </c>
      <c r="K1254" t="s">
        <v>1272</v>
      </c>
      <c r="L1254" t="s">
        <v>1272</v>
      </c>
      <c r="M1254" t="s">
        <v>1272</v>
      </c>
      <c r="N1254" t="s">
        <v>1272</v>
      </c>
      <c r="O1254" t="s">
        <v>1272</v>
      </c>
      <c r="P1254" t="s">
        <v>1272</v>
      </c>
      <c r="Q1254" s="3">
        <v>0.42599999999999999</v>
      </c>
      <c r="R1254" t="s">
        <v>1272</v>
      </c>
      <c r="S1254" t="s">
        <v>1272</v>
      </c>
      <c r="T1254" t="s">
        <v>1272</v>
      </c>
      <c r="U1254" t="s">
        <v>1272</v>
      </c>
      <c r="V1254" t="s">
        <v>1272</v>
      </c>
      <c r="W1254" t="s">
        <v>1272</v>
      </c>
      <c r="X1254" t="s">
        <v>1272</v>
      </c>
      <c r="Y1254" t="s">
        <v>1272</v>
      </c>
      <c r="Z1254" t="s">
        <v>1272</v>
      </c>
      <c r="AA1254" t="s">
        <v>1272</v>
      </c>
      <c r="AB1254" t="s">
        <v>1272</v>
      </c>
      <c r="AC1254" t="s">
        <v>1272</v>
      </c>
      <c r="AD1254" t="s">
        <v>1272</v>
      </c>
      <c r="AE1254" t="s">
        <v>1272</v>
      </c>
      <c r="AF1254" t="s">
        <v>1272</v>
      </c>
      <c r="AG1254" s="3">
        <v>0.112</v>
      </c>
    </row>
    <row r="1255" spans="1:33" x14ac:dyDescent="0.35">
      <c r="A1255" t="s">
        <v>1248</v>
      </c>
      <c r="B1255" t="s">
        <v>1272</v>
      </c>
      <c r="C1255" s="7">
        <v>0.18</v>
      </c>
      <c r="D1255" s="7">
        <v>1.07</v>
      </c>
      <c r="E1255" t="s">
        <v>1272</v>
      </c>
      <c r="F1255" t="s">
        <v>1272</v>
      </c>
      <c r="G1255" t="s">
        <v>1272</v>
      </c>
      <c r="H1255" s="7">
        <v>1.3</v>
      </c>
      <c r="I1255" t="s">
        <v>1272</v>
      </c>
      <c r="J1255" t="s">
        <v>1272</v>
      </c>
      <c r="K1255" t="s">
        <v>1272</v>
      </c>
      <c r="L1255" t="s">
        <v>1272</v>
      </c>
      <c r="M1255" t="s">
        <v>1272</v>
      </c>
      <c r="N1255" t="s">
        <v>1272</v>
      </c>
      <c r="O1255" t="s">
        <v>1272</v>
      </c>
      <c r="P1255" t="s">
        <v>1272</v>
      </c>
      <c r="Q1255" s="7">
        <v>0.85</v>
      </c>
      <c r="R1255" t="s">
        <v>1272</v>
      </c>
      <c r="S1255" t="s">
        <v>1272</v>
      </c>
      <c r="T1255" t="s">
        <v>1272</v>
      </c>
      <c r="U1255" t="s">
        <v>1272</v>
      </c>
      <c r="V1255" t="s">
        <v>1272</v>
      </c>
      <c r="W1255" t="s">
        <v>1272</v>
      </c>
      <c r="X1255" t="s">
        <v>1272</v>
      </c>
      <c r="Y1255" t="s">
        <v>1272</v>
      </c>
      <c r="Z1255" t="s">
        <v>1272</v>
      </c>
      <c r="AA1255" t="s">
        <v>1272</v>
      </c>
      <c r="AB1255" t="s">
        <v>1272</v>
      </c>
      <c r="AC1255" t="s">
        <v>1272</v>
      </c>
      <c r="AD1255" t="s">
        <v>1272</v>
      </c>
      <c r="AE1255" t="s">
        <v>1272</v>
      </c>
      <c r="AF1255" t="s">
        <v>1272</v>
      </c>
      <c r="AG1255" s="7">
        <v>0.33</v>
      </c>
    </row>
    <row r="1256" spans="1:33" x14ac:dyDescent="0.35">
      <c r="A1256" t="s">
        <v>1249</v>
      </c>
      <c r="B1256" t="s">
        <v>1272</v>
      </c>
      <c r="C1256" s="7">
        <v>2.79</v>
      </c>
      <c r="D1256" s="7">
        <v>1.49</v>
      </c>
      <c r="E1256" t="s">
        <v>1272</v>
      </c>
      <c r="F1256" t="s">
        <v>1272</v>
      </c>
      <c r="G1256" t="s">
        <v>1272</v>
      </c>
      <c r="H1256" s="7">
        <v>1.49</v>
      </c>
      <c r="I1256" t="s">
        <v>1272</v>
      </c>
      <c r="J1256" t="s">
        <v>1272</v>
      </c>
      <c r="K1256" t="s">
        <v>1272</v>
      </c>
      <c r="L1256" t="s">
        <v>1272</v>
      </c>
      <c r="M1256" t="s">
        <v>1272</v>
      </c>
      <c r="N1256" t="s">
        <v>1272</v>
      </c>
      <c r="O1256" t="s">
        <v>1272</v>
      </c>
      <c r="P1256" t="s">
        <v>1272</v>
      </c>
      <c r="Q1256" s="7">
        <v>1.1499999999999999</v>
      </c>
      <c r="R1256" t="s">
        <v>1272</v>
      </c>
      <c r="S1256" t="s">
        <v>1272</v>
      </c>
      <c r="T1256" t="s">
        <v>1272</v>
      </c>
      <c r="U1256" t="s">
        <v>1272</v>
      </c>
      <c r="V1256" t="s">
        <v>1272</v>
      </c>
      <c r="W1256" t="s">
        <v>1272</v>
      </c>
      <c r="X1256" t="s">
        <v>1272</v>
      </c>
      <c r="Y1256" t="s">
        <v>1272</v>
      </c>
      <c r="Z1256" t="s">
        <v>1272</v>
      </c>
      <c r="AA1256" t="s">
        <v>1272</v>
      </c>
      <c r="AB1256" t="s">
        <v>1272</v>
      </c>
      <c r="AC1256" t="s">
        <v>1272</v>
      </c>
      <c r="AD1256" t="s">
        <v>1272</v>
      </c>
      <c r="AE1256" t="s">
        <v>1272</v>
      </c>
      <c r="AF1256" t="s">
        <v>1272</v>
      </c>
      <c r="AG1256" s="7">
        <v>2.65</v>
      </c>
    </row>
    <row r="1257" spans="1:33" x14ac:dyDescent="0.35">
      <c r="A1257" t="s">
        <v>1245</v>
      </c>
      <c r="B1257" s="7">
        <v>2.99</v>
      </c>
      <c r="C1257" s="7">
        <v>2.97</v>
      </c>
      <c r="D1257" s="7">
        <v>2.41</v>
      </c>
      <c r="E1257" s="7">
        <v>2.91</v>
      </c>
      <c r="F1257" s="7">
        <v>2.99</v>
      </c>
      <c r="G1257" s="7">
        <v>2.2000000000000002</v>
      </c>
      <c r="H1257" s="7">
        <v>2.62</v>
      </c>
      <c r="I1257" s="7">
        <v>2.99</v>
      </c>
      <c r="J1257" s="7">
        <v>2.98</v>
      </c>
      <c r="K1257" s="7">
        <v>2.99</v>
      </c>
      <c r="L1257" s="7">
        <v>2.99</v>
      </c>
      <c r="M1257" s="7">
        <v>1.98</v>
      </c>
      <c r="N1257" s="7">
        <v>2.99</v>
      </c>
      <c r="O1257" s="7">
        <v>2.99</v>
      </c>
      <c r="P1257" s="7">
        <v>2.87</v>
      </c>
      <c r="Q1257" s="7">
        <v>1.54</v>
      </c>
      <c r="R1257" s="7">
        <v>2.99</v>
      </c>
      <c r="S1257" s="7">
        <v>2.99</v>
      </c>
      <c r="T1257" s="7">
        <v>2.99</v>
      </c>
      <c r="U1257" s="7">
        <v>2.99</v>
      </c>
      <c r="V1257" s="7">
        <v>2.99</v>
      </c>
      <c r="W1257" s="7">
        <v>2.75</v>
      </c>
      <c r="X1257" s="7">
        <v>3.07</v>
      </c>
      <c r="Y1257" s="7">
        <v>3.04</v>
      </c>
      <c r="Z1257" s="7">
        <v>3.04</v>
      </c>
      <c r="AA1257" s="7">
        <v>2.99</v>
      </c>
      <c r="AB1257" s="7">
        <v>2.99</v>
      </c>
      <c r="AC1257" s="7">
        <v>3.02</v>
      </c>
      <c r="AD1257" s="7">
        <v>3.07</v>
      </c>
      <c r="AE1257" s="7">
        <v>2.8</v>
      </c>
      <c r="AF1257" s="7">
        <v>2.96</v>
      </c>
      <c r="AG1257" s="7">
        <v>2.98</v>
      </c>
    </row>
    <row r="1259" spans="1:33" x14ac:dyDescent="0.35">
      <c r="A1259" s="49" t="s">
        <v>1549</v>
      </c>
      <c r="X1259" s="51"/>
    </row>
    <row r="1260" spans="1:33" x14ac:dyDescent="0.35">
      <c r="A1260" t="s">
        <v>1254</v>
      </c>
      <c r="B1260" s="5">
        <v>46026</v>
      </c>
      <c r="C1260" s="5">
        <v>46033</v>
      </c>
      <c r="D1260" s="5">
        <v>46040</v>
      </c>
      <c r="E1260" s="5">
        <v>46047</v>
      </c>
      <c r="F1260" s="5">
        <v>46054</v>
      </c>
      <c r="G1260" s="5">
        <v>46061</v>
      </c>
      <c r="H1260" s="5">
        <v>46068</v>
      </c>
      <c r="I1260" s="5">
        <v>46075</v>
      </c>
      <c r="J1260" s="5">
        <v>46082</v>
      </c>
      <c r="K1260" s="5">
        <v>46089</v>
      </c>
      <c r="L1260" s="5">
        <v>46096</v>
      </c>
      <c r="M1260" s="5">
        <v>46103</v>
      </c>
      <c r="N1260" s="5">
        <v>46110</v>
      </c>
      <c r="O1260" s="5">
        <v>46117</v>
      </c>
      <c r="P1260" s="5">
        <v>46124</v>
      </c>
      <c r="Q1260" s="5">
        <v>46131</v>
      </c>
      <c r="R1260" s="5">
        <v>46138</v>
      </c>
      <c r="S1260" s="160">
        <v>46145</v>
      </c>
      <c r="T1260" s="160">
        <v>46152</v>
      </c>
      <c r="U1260" s="160">
        <v>46159</v>
      </c>
      <c r="V1260" s="160">
        <v>46166</v>
      </c>
      <c r="W1260" s="160">
        <v>46173</v>
      </c>
      <c r="X1260" s="5">
        <v>46180</v>
      </c>
      <c r="Y1260" s="5">
        <v>46187</v>
      </c>
      <c r="Z1260" s="5">
        <v>46194</v>
      </c>
      <c r="AA1260" s="5">
        <v>46201</v>
      </c>
      <c r="AB1260" s="5">
        <v>46208</v>
      </c>
      <c r="AC1260" s="5">
        <v>46215</v>
      </c>
      <c r="AD1260" s="5">
        <v>46222</v>
      </c>
      <c r="AE1260" s="5">
        <v>46229</v>
      </c>
      <c r="AF1260" s="5">
        <v>46236</v>
      </c>
      <c r="AG1260" s="5">
        <v>46243</v>
      </c>
    </row>
    <row r="1261" spans="1:33" x14ac:dyDescent="0.35">
      <c r="A1261" t="s">
        <v>1241</v>
      </c>
      <c r="B1261" s="6">
        <v>1577</v>
      </c>
      <c r="C1261" s="6">
        <v>1919</v>
      </c>
      <c r="D1261" s="6">
        <v>2448</v>
      </c>
      <c r="E1261" s="6">
        <v>2687</v>
      </c>
      <c r="F1261" s="6">
        <v>2550</v>
      </c>
      <c r="G1261" s="6">
        <v>2529</v>
      </c>
      <c r="H1261" s="6">
        <v>2449</v>
      </c>
      <c r="I1261" s="6">
        <v>2518</v>
      </c>
      <c r="J1261" s="6">
        <v>2562</v>
      </c>
      <c r="K1261" s="6">
        <v>1991</v>
      </c>
      <c r="L1261" s="6">
        <v>1807</v>
      </c>
      <c r="M1261" s="6">
        <v>2050</v>
      </c>
      <c r="N1261" s="6">
        <v>2063</v>
      </c>
      <c r="O1261" s="6">
        <v>1689</v>
      </c>
      <c r="P1261" s="6">
        <v>1728</v>
      </c>
      <c r="Q1261" s="6">
        <v>1808</v>
      </c>
      <c r="R1261" s="6">
        <v>1844</v>
      </c>
      <c r="S1261" s="6">
        <v>2018</v>
      </c>
      <c r="T1261" s="6">
        <v>2045</v>
      </c>
      <c r="U1261" s="6">
        <v>2059</v>
      </c>
      <c r="V1261" s="6">
        <v>1832</v>
      </c>
      <c r="W1261" s="6">
        <v>1519</v>
      </c>
      <c r="X1261" s="6">
        <v>1741</v>
      </c>
      <c r="Y1261" s="6">
        <v>1494</v>
      </c>
      <c r="Z1261" s="6">
        <v>1846</v>
      </c>
      <c r="AA1261" s="6">
        <v>1914</v>
      </c>
      <c r="AB1261" s="6">
        <v>1849</v>
      </c>
      <c r="AC1261" s="6">
        <v>1945</v>
      </c>
      <c r="AD1261" s="6">
        <v>1763</v>
      </c>
      <c r="AE1261" s="6">
        <v>1657</v>
      </c>
      <c r="AF1261" s="6">
        <v>1420</v>
      </c>
      <c r="AG1261" s="6">
        <v>1592</v>
      </c>
    </row>
    <row r="1262" spans="1:33" x14ac:dyDescent="0.35">
      <c r="A1262" t="s">
        <v>1242</v>
      </c>
      <c r="B1262" s="3">
        <v>0.39</v>
      </c>
      <c r="C1262" s="3">
        <v>0.41199999999999998</v>
      </c>
      <c r="D1262" s="3">
        <v>0.70499999999999996</v>
      </c>
      <c r="E1262" s="3">
        <v>0.73099999999999998</v>
      </c>
      <c r="F1262" s="3">
        <v>0.38100000000000001</v>
      </c>
      <c r="G1262" s="3">
        <v>0.55900000000000005</v>
      </c>
      <c r="H1262" s="3">
        <v>0.52600000000000002</v>
      </c>
      <c r="I1262" s="3">
        <v>0.57099999999999995</v>
      </c>
      <c r="J1262" s="3">
        <v>0.56799999999999995</v>
      </c>
      <c r="K1262" s="3">
        <v>0.30099999999999999</v>
      </c>
      <c r="L1262" s="3">
        <v>0.26100000000000001</v>
      </c>
      <c r="M1262" s="3">
        <v>0.371</v>
      </c>
      <c r="N1262" s="3">
        <v>0.25600000000000001</v>
      </c>
      <c r="O1262" s="3">
        <v>0.158</v>
      </c>
      <c r="P1262" s="3">
        <v>0.16300000000000001</v>
      </c>
      <c r="Q1262" s="3">
        <v>0.16500000000000001</v>
      </c>
      <c r="R1262" s="3">
        <v>0.11600000000000001</v>
      </c>
      <c r="S1262" s="3">
        <v>0.31900000000000001</v>
      </c>
      <c r="T1262" s="3">
        <v>0.379</v>
      </c>
      <c r="U1262" s="3">
        <v>0.36299999999999999</v>
      </c>
      <c r="V1262" s="3">
        <v>0.28399999999999997</v>
      </c>
      <c r="W1262" s="3">
        <v>1.6E-2</v>
      </c>
      <c r="X1262" s="3">
        <v>1.4E-2</v>
      </c>
      <c r="Y1262" s="3">
        <v>6.0999999999999999E-2</v>
      </c>
      <c r="Z1262" s="3">
        <v>0.05</v>
      </c>
      <c r="AA1262" s="130">
        <v>0.28399999999999997</v>
      </c>
      <c r="AB1262" s="130">
        <v>0.34399999999999997</v>
      </c>
      <c r="AC1262" s="130">
        <v>0.41199999999999998</v>
      </c>
      <c r="AD1262" s="130">
        <v>0.36099999999999999</v>
      </c>
      <c r="AE1262" s="130">
        <v>0.40400000000000003</v>
      </c>
      <c r="AF1262" s="3">
        <v>4.2000000000000003E-2</v>
      </c>
      <c r="AG1262" s="3">
        <v>0.33500000000000002</v>
      </c>
    </row>
    <row r="1263" spans="1:33" x14ac:dyDescent="0.35">
      <c r="A1263" t="s">
        <v>1243</v>
      </c>
      <c r="B1263">
        <v>442</v>
      </c>
      <c r="C1263">
        <v>560</v>
      </c>
      <c r="D1263">
        <v>1013</v>
      </c>
      <c r="E1263" s="10">
        <v>1135</v>
      </c>
      <c r="F1263" s="122">
        <v>704</v>
      </c>
      <c r="G1263" s="122">
        <v>907</v>
      </c>
      <c r="H1263" s="122">
        <v>845</v>
      </c>
      <c r="I1263" s="122">
        <v>915</v>
      </c>
      <c r="J1263" s="122">
        <v>928</v>
      </c>
      <c r="K1263" s="155">
        <v>460</v>
      </c>
      <c r="L1263" s="155">
        <v>374</v>
      </c>
      <c r="M1263" s="155">
        <v>555</v>
      </c>
      <c r="N1263" s="155">
        <v>420</v>
      </c>
      <c r="O1263" s="156">
        <v>230</v>
      </c>
      <c r="P1263" s="156">
        <v>242</v>
      </c>
      <c r="Q1263" s="156">
        <v>256</v>
      </c>
      <c r="R1263" s="156">
        <v>192</v>
      </c>
      <c r="S1263">
        <v>488</v>
      </c>
      <c r="T1263">
        <v>562</v>
      </c>
      <c r="U1263">
        <v>549</v>
      </c>
      <c r="V1263">
        <v>405</v>
      </c>
      <c r="W1263">
        <v>25</v>
      </c>
      <c r="X1263">
        <v>24</v>
      </c>
      <c r="Y1263">
        <v>86</v>
      </c>
      <c r="Z1263">
        <v>88</v>
      </c>
      <c r="AA1263">
        <v>423</v>
      </c>
      <c r="AB1263">
        <v>473</v>
      </c>
      <c r="AC1263">
        <v>567</v>
      </c>
      <c r="AD1263">
        <v>467</v>
      </c>
      <c r="AE1263">
        <v>477</v>
      </c>
      <c r="AF1263">
        <v>57</v>
      </c>
      <c r="AG1263">
        <v>400</v>
      </c>
    </row>
    <row r="1264" spans="1:33" x14ac:dyDescent="0.35">
      <c r="A1264" t="s">
        <v>1244</v>
      </c>
      <c r="B1264" s="6">
        <v>1135</v>
      </c>
      <c r="C1264" s="6">
        <v>1359</v>
      </c>
      <c r="D1264" s="6">
        <v>1435</v>
      </c>
      <c r="E1264" s="6">
        <v>1552</v>
      </c>
      <c r="F1264" s="6">
        <v>1846</v>
      </c>
      <c r="G1264" s="6">
        <v>1622</v>
      </c>
      <c r="H1264" s="6">
        <v>1605</v>
      </c>
      <c r="I1264" s="6">
        <v>1603</v>
      </c>
      <c r="J1264" s="6">
        <v>1634</v>
      </c>
      <c r="K1264" s="6">
        <v>1531</v>
      </c>
      <c r="L1264" s="6">
        <v>1433</v>
      </c>
      <c r="M1264" s="6">
        <v>1495</v>
      </c>
      <c r="N1264" s="6">
        <v>1643</v>
      </c>
      <c r="O1264" s="6">
        <v>1459</v>
      </c>
      <c r="P1264" s="6">
        <v>1486</v>
      </c>
      <c r="Q1264" s="6">
        <v>1552</v>
      </c>
      <c r="R1264" s="6">
        <v>1652</v>
      </c>
      <c r="S1264" s="6">
        <v>1530</v>
      </c>
      <c r="T1264" s="6">
        <v>1483</v>
      </c>
      <c r="U1264" s="6">
        <v>1510</v>
      </c>
      <c r="V1264" s="6">
        <v>1427</v>
      </c>
      <c r="W1264" s="6">
        <v>1494</v>
      </c>
      <c r="X1264" s="6">
        <v>1717</v>
      </c>
      <c r="Y1264" s="6">
        <v>1408</v>
      </c>
      <c r="Z1264" s="6">
        <v>1758</v>
      </c>
      <c r="AA1264" s="6">
        <v>1491</v>
      </c>
      <c r="AB1264" s="6">
        <v>1376</v>
      </c>
      <c r="AC1264" s="6">
        <v>1378</v>
      </c>
      <c r="AD1264" s="6">
        <v>1296</v>
      </c>
      <c r="AE1264" s="6">
        <v>1180</v>
      </c>
      <c r="AF1264" s="6">
        <v>1363</v>
      </c>
      <c r="AG1264" s="6">
        <v>1192</v>
      </c>
    </row>
    <row r="1265" spans="1:33" x14ac:dyDescent="0.35">
      <c r="A1265" t="s">
        <v>1245</v>
      </c>
      <c r="B1265" s="7">
        <v>9.6199999999999992</v>
      </c>
      <c r="C1265" s="7">
        <v>9.85</v>
      </c>
      <c r="D1265" s="7">
        <v>9.58</v>
      </c>
      <c r="E1265" s="7">
        <v>9</v>
      </c>
      <c r="F1265" s="7">
        <v>8.92</v>
      </c>
      <c r="G1265" s="7">
        <v>8.77</v>
      </c>
      <c r="H1265" s="7">
        <v>8.73</v>
      </c>
      <c r="I1265" s="7">
        <v>8.6199999999999992</v>
      </c>
      <c r="J1265" s="7">
        <v>8.61</v>
      </c>
      <c r="K1265" s="7">
        <v>8.8800000000000008</v>
      </c>
      <c r="L1265" s="7">
        <v>8.86</v>
      </c>
      <c r="M1265" s="7">
        <v>8.9700000000000006</v>
      </c>
      <c r="N1265" s="7">
        <v>8.7899999999999991</v>
      </c>
      <c r="O1265" s="7">
        <v>9.59</v>
      </c>
      <c r="P1265" s="7">
        <v>9.52</v>
      </c>
      <c r="Q1265" s="7">
        <v>9.68</v>
      </c>
      <c r="R1265" s="7">
        <v>9.64</v>
      </c>
      <c r="S1265" s="7">
        <v>8.82</v>
      </c>
      <c r="T1265" s="7">
        <v>8.6300000000000008</v>
      </c>
      <c r="U1265" s="7">
        <v>8.67</v>
      </c>
      <c r="V1265" s="7">
        <v>8.7200000000000006</v>
      </c>
      <c r="W1265" s="7">
        <v>9.91</v>
      </c>
      <c r="X1265" s="7">
        <v>9.9499999999999993</v>
      </c>
      <c r="Y1265" s="7">
        <v>9.91</v>
      </c>
      <c r="Z1265" s="7">
        <v>9.9</v>
      </c>
      <c r="AA1265" s="7">
        <v>8.94</v>
      </c>
      <c r="AB1265" s="7">
        <v>8.89</v>
      </c>
      <c r="AC1265" s="7">
        <v>8.9700000000000006</v>
      </c>
      <c r="AD1265" s="7">
        <v>8.94</v>
      </c>
      <c r="AE1265" s="7">
        <v>8.91</v>
      </c>
      <c r="AF1265" s="7">
        <v>9.81</v>
      </c>
      <c r="AG1265" s="7">
        <v>8.86</v>
      </c>
    </row>
    <row r="1266" spans="1:33" x14ac:dyDescent="0.35">
      <c r="E1266" s="6">
        <f>SUM(E1264:J1264)</f>
        <v>9862</v>
      </c>
      <c r="F1266" s="6">
        <f>SUM(E1263:J1263)</f>
        <v>5434</v>
      </c>
      <c r="K1266" s="6">
        <f>SUM(K1264:N1264)</f>
        <v>6102</v>
      </c>
      <c r="L1266">
        <f>SUM(K1263:N1263)</f>
        <v>1809</v>
      </c>
      <c r="O1266" s="6">
        <f>SUM(O1264:R1264)</f>
        <v>6149</v>
      </c>
      <c r="P1266">
        <f>SUM(O1263:R1263)</f>
        <v>920</v>
      </c>
      <c r="S1266" s="6">
        <f>SUM(S1264:W1264)</f>
        <v>7444</v>
      </c>
      <c r="T1266">
        <f>SUM(S1263:W1263)</f>
        <v>2029</v>
      </c>
      <c r="AA1266" s="6">
        <f>SUM(AA1264:AE1264)</f>
        <v>6721</v>
      </c>
      <c r="AB1266">
        <f>SUM(AA1263:AE1263)</f>
        <v>2407</v>
      </c>
    </row>
    <row r="1268" spans="1:33" x14ac:dyDescent="0.35">
      <c r="A1268" t="s">
        <v>1254</v>
      </c>
      <c r="B1268" s="5">
        <v>46026</v>
      </c>
      <c r="C1268" s="5">
        <v>46033</v>
      </c>
      <c r="D1268" s="5">
        <v>46040</v>
      </c>
      <c r="E1268" s="5">
        <v>46047</v>
      </c>
      <c r="F1268" s="5">
        <v>46054</v>
      </c>
      <c r="G1268" s="5">
        <v>46061</v>
      </c>
      <c r="H1268" s="5">
        <v>46068</v>
      </c>
      <c r="I1268" s="5">
        <v>46075</v>
      </c>
      <c r="J1268" s="5">
        <v>46082</v>
      </c>
      <c r="K1268" s="5">
        <v>46089</v>
      </c>
      <c r="L1268" s="5">
        <v>46096</v>
      </c>
      <c r="M1268" s="5">
        <v>46103</v>
      </c>
      <c r="N1268" s="5">
        <v>46110</v>
      </c>
      <c r="O1268" s="5">
        <v>46117</v>
      </c>
      <c r="P1268" s="5">
        <v>46124</v>
      </c>
      <c r="Q1268" s="5">
        <v>46131</v>
      </c>
      <c r="R1268" s="5">
        <v>46138</v>
      </c>
      <c r="S1268" s="5">
        <v>46145</v>
      </c>
      <c r="T1268" s="5">
        <v>46152</v>
      </c>
      <c r="U1268" s="5">
        <v>46159</v>
      </c>
      <c r="V1268" s="5">
        <v>46166</v>
      </c>
      <c r="W1268" s="5">
        <v>46173</v>
      </c>
      <c r="X1268" s="5">
        <v>46180</v>
      </c>
      <c r="Y1268" s="5">
        <v>46187</v>
      </c>
      <c r="Z1268" s="5">
        <v>46194</v>
      </c>
      <c r="AA1268" s="5">
        <v>46201</v>
      </c>
      <c r="AB1268" s="5">
        <v>46208</v>
      </c>
      <c r="AC1268" s="5">
        <v>46215</v>
      </c>
      <c r="AD1268" s="5">
        <v>46222</v>
      </c>
      <c r="AE1268" s="5">
        <v>46229</v>
      </c>
      <c r="AF1268" s="5">
        <v>46236</v>
      </c>
      <c r="AG1268" s="5">
        <v>46243</v>
      </c>
    </row>
    <row r="1269" spans="1:33" x14ac:dyDescent="0.35">
      <c r="A1269" t="s">
        <v>1242</v>
      </c>
      <c r="B1269" s="3">
        <v>0.39</v>
      </c>
      <c r="C1269" s="3">
        <v>0.41199999999999998</v>
      </c>
      <c r="D1269" s="3">
        <v>0.70499999999999996</v>
      </c>
      <c r="E1269" s="3">
        <v>0.73099999999999998</v>
      </c>
      <c r="F1269" s="3">
        <v>0.38100000000000001</v>
      </c>
      <c r="G1269" s="3">
        <v>0.55900000000000005</v>
      </c>
      <c r="H1269" s="3">
        <v>0.52600000000000002</v>
      </c>
      <c r="I1269" s="3">
        <v>0.57099999999999995</v>
      </c>
      <c r="J1269" s="3">
        <v>0.56799999999999995</v>
      </c>
      <c r="K1269" s="3">
        <v>0.30099999999999999</v>
      </c>
      <c r="L1269" s="3">
        <v>0.26100000000000001</v>
      </c>
      <c r="M1269" s="3">
        <v>0.371</v>
      </c>
      <c r="N1269" s="3">
        <v>0.25600000000000001</v>
      </c>
      <c r="O1269" s="3">
        <v>0.158</v>
      </c>
      <c r="P1269" s="3">
        <v>0.16300000000000001</v>
      </c>
      <c r="Q1269" s="3">
        <v>0.16500000000000001</v>
      </c>
      <c r="R1269" s="3">
        <v>0.11600000000000001</v>
      </c>
      <c r="S1269" s="3">
        <v>0.31900000000000001</v>
      </c>
      <c r="T1269" s="3">
        <v>0.379</v>
      </c>
      <c r="U1269" s="3">
        <v>0.36299999999999999</v>
      </c>
      <c r="V1269" s="3">
        <v>0.28399999999999997</v>
      </c>
      <c r="W1269" s="3">
        <v>1.6E-2</v>
      </c>
      <c r="X1269" s="3">
        <v>1.4E-2</v>
      </c>
      <c r="Y1269" s="3">
        <v>6.0999999999999999E-2</v>
      </c>
      <c r="Z1269" s="3">
        <v>0.05</v>
      </c>
      <c r="AA1269" s="3">
        <v>0.28399999999999997</v>
      </c>
      <c r="AB1269" s="3">
        <v>0.34399999999999997</v>
      </c>
      <c r="AC1269" s="3">
        <v>0.41199999999999998</v>
      </c>
      <c r="AD1269" s="3">
        <v>0.36099999999999999</v>
      </c>
      <c r="AE1269" s="3">
        <v>0.40400000000000003</v>
      </c>
      <c r="AF1269" s="3">
        <v>4.2000000000000003E-2</v>
      </c>
      <c r="AG1269" s="3">
        <v>0.33500000000000002</v>
      </c>
    </row>
    <row r="1270" spans="1:33" x14ac:dyDescent="0.35">
      <c r="A1270" t="s">
        <v>1247</v>
      </c>
      <c r="B1270" s="3">
        <v>2.9000000000000001E-2</v>
      </c>
      <c r="C1270" s="3">
        <v>2.4E-2</v>
      </c>
      <c r="D1270" s="3">
        <v>0.01</v>
      </c>
      <c r="E1270" s="3">
        <v>4.4999999999999998E-2</v>
      </c>
      <c r="F1270" s="3">
        <v>4.7E-2</v>
      </c>
      <c r="G1270" s="3">
        <v>5.6000000000000001E-2</v>
      </c>
      <c r="H1270" s="3">
        <v>5.8000000000000003E-2</v>
      </c>
      <c r="I1270" s="3">
        <v>6.6000000000000003E-2</v>
      </c>
      <c r="J1270" s="3">
        <v>6.9000000000000006E-2</v>
      </c>
      <c r="K1270" s="3">
        <v>4.2000000000000003E-2</v>
      </c>
      <c r="L1270" s="3">
        <v>3.5000000000000003E-2</v>
      </c>
      <c r="M1270" s="3">
        <v>2.3E-2</v>
      </c>
      <c r="N1270" s="3">
        <v>6.3E-2</v>
      </c>
      <c r="O1270" s="3">
        <v>4.5999999999999999E-2</v>
      </c>
      <c r="P1270" s="3">
        <v>4.4999999999999998E-2</v>
      </c>
      <c r="Q1270" s="3">
        <v>8.0000000000000002E-3</v>
      </c>
      <c r="R1270" s="3">
        <v>2.8000000000000001E-2</v>
      </c>
      <c r="S1270" s="3">
        <v>4.9000000000000002E-2</v>
      </c>
      <c r="T1270" s="3">
        <v>7.3999999999999996E-2</v>
      </c>
      <c r="U1270" s="3">
        <v>6.7000000000000004E-2</v>
      </c>
      <c r="V1270" s="3">
        <v>5.8999999999999997E-2</v>
      </c>
      <c r="W1270" s="3">
        <v>0.13600000000000001</v>
      </c>
      <c r="X1270" s="3">
        <v>0.17799999999999999</v>
      </c>
      <c r="Y1270" s="3">
        <v>5.8999999999999997E-2</v>
      </c>
      <c r="Z1270" s="3">
        <v>8.5999999999999993E-2</v>
      </c>
      <c r="AA1270" s="3">
        <v>5.5E-2</v>
      </c>
      <c r="AB1270" s="3">
        <v>6.0999999999999999E-2</v>
      </c>
      <c r="AC1270" s="3">
        <v>6.2E-2</v>
      </c>
      <c r="AD1270" s="3">
        <v>6.2E-2</v>
      </c>
      <c r="AE1270" s="3">
        <v>7.0000000000000007E-2</v>
      </c>
      <c r="AF1270" s="3">
        <v>0.111</v>
      </c>
      <c r="AG1270" s="3">
        <v>7.0999999999999994E-2</v>
      </c>
    </row>
    <row r="1271" spans="1:33" x14ac:dyDescent="0.35">
      <c r="A1271" t="s">
        <v>1248</v>
      </c>
      <c r="B1271" s="7">
        <v>0.28000000000000003</v>
      </c>
      <c r="C1271" s="7">
        <v>0.24</v>
      </c>
      <c r="D1271" s="7">
        <v>0.1</v>
      </c>
      <c r="E1271" s="7">
        <v>0.42</v>
      </c>
      <c r="F1271" s="7">
        <v>0.43</v>
      </c>
      <c r="G1271" s="7">
        <v>0.52</v>
      </c>
      <c r="H1271" s="7">
        <v>0.54</v>
      </c>
      <c r="I1271" s="7">
        <v>0.61</v>
      </c>
      <c r="J1271" s="7">
        <v>0.64</v>
      </c>
      <c r="K1271" s="7">
        <v>0.39</v>
      </c>
      <c r="L1271" s="7">
        <v>0.31</v>
      </c>
      <c r="M1271" s="7">
        <v>0.21</v>
      </c>
      <c r="N1271" s="7">
        <v>0.57999999999999996</v>
      </c>
      <c r="O1271" s="7">
        <v>0.44</v>
      </c>
      <c r="P1271" s="7">
        <v>0.44</v>
      </c>
      <c r="Q1271" s="7">
        <v>0.08</v>
      </c>
      <c r="R1271" s="7">
        <v>0.27</v>
      </c>
      <c r="S1271" s="7">
        <v>0.45</v>
      </c>
      <c r="T1271" s="7">
        <v>0.69</v>
      </c>
      <c r="U1271" s="7">
        <v>0.62</v>
      </c>
      <c r="V1271" s="7">
        <v>0.54</v>
      </c>
      <c r="W1271" s="7">
        <v>1.36</v>
      </c>
      <c r="X1271" s="7">
        <v>1.78</v>
      </c>
      <c r="Y1271" s="7">
        <v>0.59</v>
      </c>
      <c r="Z1271" s="7">
        <v>0.86</v>
      </c>
      <c r="AA1271" s="7">
        <v>0.52</v>
      </c>
      <c r="AB1271" s="7">
        <v>0.57999999999999996</v>
      </c>
      <c r="AC1271" s="7">
        <v>0.59</v>
      </c>
      <c r="AD1271" s="7">
        <v>0.59</v>
      </c>
      <c r="AE1271" s="7">
        <v>0.67</v>
      </c>
      <c r="AF1271" s="7">
        <v>1.1100000000000001</v>
      </c>
      <c r="AG1271" s="7">
        <v>0.68</v>
      </c>
    </row>
    <row r="1272" spans="1:33" x14ac:dyDescent="0.35">
      <c r="A1272" t="s">
        <v>1249</v>
      </c>
      <c r="B1272" s="7">
        <v>9.44</v>
      </c>
      <c r="C1272" s="7">
        <v>9.69</v>
      </c>
      <c r="D1272" s="7">
        <v>9.5500000000000007</v>
      </c>
      <c r="E1272" s="7">
        <v>8.9600000000000009</v>
      </c>
      <c r="F1272" s="7">
        <v>8.85</v>
      </c>
      <c r="G1272" s="7">
        <v>8.7200000000000006</v>
      </c>
      <c r="H1272" s="7">
        <v>8.67</v>
      </c>
      <c r="I1272" s="7">
        <v>8.57</v>
      </c>
      <c r="J1272" s="7">
        <v>8.56</v>
      </c>
      <c r="K1272" s="7">
        <v>8.7899999999999991</v>
      </c>
      <c r="L1272" s="7">
        <v>8.8000000000000007</v>
      </c>
      <c r="M1272" s="7">
        <v>8.9499999999999993</v>
      </c>
      <c r="N1272" s="7">
        <v>8.57</v>
      </c>
      <c r="O1272" s="157">
        <v>9.2799999999999994</v>
      </c>
      <c r="P1272" s="157">
        <v>9.25</v>
      </c>
      <c r="Q1272" s="157">
        <v>9.61</v>
      </c>
      <c r="R1272" s="157">
        <v>9.44</v>
      </c>
      <c r="S1272" s="159">
        <v>8.8000000000000007</v>
      </c>
      <c r="T1272" s="159">
        <v>8.57</v>
      </c>
      <c r="U1272" s="159">
        <v>8.64</v>
      </c>
      <c r="V1272" s="159">
        <v>8.65</v>
      </c>
      <c r="W1272" s="159">
        <v>8.61</v>
      </c>
      <c r="X1272" s="7">
        <v>8.23</v>
      </c>
      <c r="Y1272" s="7">
        <v>9.4</v>
      </c>
      <c r="Z1272" s="7">
        <v>9.15</v>
      </c>
      <c r="AA1272" s="129">
        <v>8.9499999999999993</v>
      </c>
      <c r="AB1272" s="129">
        <v>8.9</v>
      </c>
      <c r="AC1272" s="129">
        <v>8.9600000000000009</v>
      </c>
      <c r="AD1272" s="129">
        <v>8.92</v>
      </c>
      <c r="AE1272" s="129">
        <v>8.89</v>
      </c>
      <c r="AF1272" s="7">
        <v>8.84</v>
      </c>
      <c r="AG1272" s="7">
        <v>8.7899999999999991</v>
      </c>
    </row>
    <row r="1273" spans="1:33" x14ac:dyDescent="0.35">
      <c r="A1273" t="s">
        <v>1250</v>
      </c>
      <c r="B1273" s="7">
        <v>9.7200000000000006</v>
      </c>
      <c r="C1273" s="7">
        <v>9.93</v>
      </c>
      <c r="D1273" s="7">
        <v>9.64</v>
      </c>
      <c r="E1273" s="129">
        <v>9.39</v>
      </c>
      <c r="F1273" s="129">
        <v>9.2899999999999991</v>
      </c>
      <c r="G1273" s="129">
        <v>9.24</v>
      </c>
      <c r="H1273" s="129">
        <v>9.1999999999999993</v>
      </c>
      <c r="I1273" s="129">
        <v>9.18</v>
      </c>
      <c r="J1273" s="129">
        <v>9.19</v>
      </c>
      <c r="K1273" s="154">
        <v>9.18</v>
      </c>
      <c r="L1273" s="154">
        <v>9.1199999999999992</v>
      </c>
      <c r="M1273" s="154">
        <v>9.16</v>
      </c>
      <c r="N1273" s="154">
        <v>9.15</v>
      </c>
      <c r="O1273" s="7">
        <v>9.7200000000000006</v>
      </c>
      <c r="P1273" s="7">
        <v>9.69</v>
      </c>
      <c r="Q1273" s="7">
        <v>9.69</v>
      </c>
      <c r="R1273" s="7">
        <v>9.7100000000000009</v>
      </c>
      <c r="S1273" s="7">
        <v>9.25</v>
      </c>
      <c r="T1273" s="7">
        <v>9.25</v>
      </c>
      <c r="U1273" s="7">
        <v>9.26</v>
      </c>
      <c r="V1273" s="7">
        <v>9.19</v>
      </c>
      <c r="W1273" s="7">
        <v>9.9700000000000006</v>
      </c>
      <c r="X1273" s="7">
        <v>10</v>
      </c>
      <c r="Y1273" s="7">
        <v>9.98</v>
      </c>
      <c r="Z1273" s="7">
        <v>10.01</v>
      </c>
      <c r="AA1273" s="7">
        <v>9.4700000000000006</v>
      </c>
      <c r="AB1273" s="7">
        <v>9.48</v>
      </c>
      <c r="AC1273" s="7">
        <v>9.5500000000000007</v>
      </c>
      <c r="AD1273" s="7">
        <v>9.51</v>
      </c>
      <c r="AE1273" s="7">
        <v>9.56</v>
      </c>
      <c r="AF1273" s="7">
        <v>9.9499999999999993</v>
      </c>
      <c r="AG1273" s="7">
        <v>9.4700000000000006</v>
      </c>
    </row>
    <row r="1274" spans="1:33" x14ac:dyDescent="0.35">
      <c r="A1274" t="s">
        <v>1245</v>
      </c>
      <c r="B1274" s="7">
        <v>9.6199999999999992</v>
      </c>
      <c r="C1274" s="7">
        <v>9.85</v>
      </c>
      <c r="D1274" s="7">
        <v>9.58</v>
      </c>
      <c r="E1274" s="7">
        <v>9</v>
      </c>
      <c r="F1274" s="7">
        <v>8.92</v>
      </c>
      <c r="G1274" s="7">
        <v>8.77</v>
      </c>
      <c r="H1274" s="7">
        <v>8.73</v>
      </c>
      <c r="I1274" s="7">
        <v>8.6199999999999992</v>
      </c>
      <c r="J1274" s="7">
        <v>8.61</v>
      </c>
      <c r="K1274" s="7">
        <v>8.8800000000000008</v>
      </c>
      <c r="L1274" s="7">
        <v>8.86</v>
      </c>
      <c r="M1274" s="7">
        <v>8.9700000000000006</v>
      </c>
      <c r="N1274" s="7">
        <v>8.7899999999999991</v>
      </c>
      <c r="O1274" s="7">
        <v>9.59</v>
      </c>
      <c r="P1274" s="7">
        <v>9.52</v>
      </c>
      <c r="Q1274" s="7">
        <v>9.68</v>
      </c>
      <c r="R1274" s="7">
        <v>9.64</v>
      </c>
      <c r="S1274" s="7">
        <v>8.82</v>
      </c>
      <c r="T1274" s="7">
        <v>8.6300000000000008</v>
      </c>
      <c r="U1274" s="7">
        <v>8.67</v>
      </c>
      <c r="V1274" s="7">
        <v>8.7200000000000006</v>
      </c>
      <c r="W1274" s="7">
        <v>9.91</v>
      </c>
      <c r="X1274" s="7">
        <v>9.9499999999999993</v>
      </c>
      <c r="Y1274" s="7">
        <v>9.91</v>
      </c>
      <c r="Z1274" s="7">
        <v>9.9</v>
      </c>
      <c r="AA1274" s="7">
        <v>8.94</v>
      </c>
      <c r="AB1274" s="7">
        <v>8.89</v>
      </c>
      <c r="AC1274" s="7">
        <v>8.9700000000000006</v>
      </c>
      <c r="AD1274" s="7">
        <v>8.94</v>
      </c>
      <c r="AE1274" s="7">
        <v>8.91</v>
      </c>
      <c r="AF1274" s="7">
        <v>9.81</v>
      </c>
      <c r="AG1274" s="7">
        <v>8.86</v>
      </c>
    </row>
    <row r="1276" spans="1:33" s="66" customFormat="1" x14ac:dyDescent="0.35"/>
    <row r="1277" spans="1:33" x14ac:dyDescent="0.35">
      <c r="A1277" s="4" t="s">
        <v>1561</v>
      </c>
    </row>
    <row r="1279" spans="1:33" x14ac:dyDescent="0.35">
      <c r="A1279" t="s">
        <v>1240</v>
      </c>
      <c r="B1279" s="5">
        <v>46026</v>
      </c>
      <c r="C1279" s="5">
        <v>46033</v>
      </c>
      <c r="D1279" s="5">
        <v>46040</v>
      </c>
      <c r="E1279" s="5">
        <v>46047</v>
      </c>
      <c r="F1279" s="5">
        <v>46054</v>
      </c>
      <c r="G1279" s="5">
        <v>46061</v>
      </c>
      <c r="H1279" s="5">
        <v>46068</v>
      </c>
      <c r="I1279" s="5">
        <v>46075</v>
      </c>
      <c r="J1279" s="5">
        <v>46082</v>
      </c>
      <c r="K1279" s="5">
        <v>46089</v>
      </c>
      <c r="L1279" s="5">
        <v>46096</v>
      </c>
      <c r="M1279" s="5">
        <v>46103</v>
      </c>
      <c r="N1279" s="5">
        <v>46110</v>
      </c>
      <c r="O1279" s="5">
        <v>46117</v>
      </c>
      <c r="P1279" s="5">
        <v>46124</v>
      </c>
      <c r="Q1279" s="5">
        <v>46131</v>
      </c>
      <c r="R1279" s="5">
        <v>46138</v>
      </c>
      <c r="S1279" s="128">
        <v>46145</v>
      </c>
      <c r="T1279" s="128">
        <v>46152</v>
      </c>
      <c r="U1279" s="128">
        <v>46159</v>
      </c>
      <c r="V1279" s="128">
        <v>46166</v>
      </c>
      <c r="W1279" s="128">
        <v>46173</v>
      </c>
      <c r="X1279" s="128">
        <v>46180</v>
      </c>
      <c r="Y1279" s="5">
        <v>46187</v>
      </c>
      <c r="Z1279" s="5">
        <v>46194</v>
      </c>
      <c r="AA1279" s="5">
        <v>46201</v>
      </c>
      <c r="AB1279" s="5">
        <v>46208</v>
      </c>
      <c r="AC1279" s="5">
        <v>46215</v>
      </c>
      <c r="AD1279" s="5">
        <v>46222</v>
      </c>
      <c r="AE1279" s="5">
        <v>46229</v>
      </c>
      <c r="AF1279" s="5">
        <v>46236</v>
      </c>
      <c r="AG1279" s="5">
        <v>46243</v>
      </c>
    </row>
    <row r="1280" spans="1:33" x14ac:dyDescent="0.35">
      <c r="A1280" t="s">
        <v>1241</v>
      </c>
      <c r="B1280" s="6">
        <v>1178</v>
      </c>
      <c r="C1280" s="6">
        <v>2679</v>
      </c>
      <c r="D1280" s="6">
        <v>2956</v>
      </c>
      <c r="E1280" s="6">
        <v>2698</v>
      </c>
      <c r="F1280" s="6">
        <v>2877</v>
      </c>
      <c r="G1280" s="6">
        <v>2488</v>
      </c>
      <c r="H1280" s="6">
        <v>2259</v>
      </c>
      <c r="I1280" s="6">
        <v>1670</v>
      </c>
      <c r="J1280" s="6">
        <v>1529</v>
      </c>
      <c r="K1280" s="6">
        <v>1603</v>
      </c>
      <c r="L1280" s="6">
        <v>1554</v>
      </c>
      <c r="M1280" s="6">
        <v>1406</v>
      </c>
      <c r="N1280" s="6">
        <v>1256</v>
      </c>
      <c r="O1280" s="6">
        <v>1083</v>
      </c>
      <c r="P1280" s="6">
        <v>1180</v>
      </c>
      <c r="Q1280" s="6">
        <v>1176</v>
      </c>
      <c r="R1280" s="6">
        <v>1630</v>
      </c>
      <c r="S1280" s="6">
        <v>3768</v>
      </c>
      <c r="T1280" s="6">
        <v>3572</v>
      </c>
      <c r="U1280" s="6">
        <v>3814</v>
      </c>
      <c r="V1280" s="6">
        <v>3519</v>
      </c>
      <c r="W1280" s="6">
        <v>3519</v>
      </c>
      <c r="X1280" s="6">
        <v>2953</v>
      </c>
      <c r="Y1280" s="6">
        <v>1301</v>
      </c>
      <c r="Z1280" s="6">
        <v>1240</v>
      </c>
      <c r="AA1280" s="6">
        <v>1171</v>
      </c>
      <c r="AB1280" s="6">
        <v>1330</v>
      </c>
      <c r="AC1280" s="6">
        <v>1807</v>
      </c>
      <c r="AD1280" s="6">
        <v>1723</v>
      </c>
      <c r="AE1280" s="6">
        <v>1811</v>
      </c>
      <c r="AF1280" s="6">
        <v>2012</v>
      </c>
      <c r="AG1280" s="6">
        <v>1932</v>
      </c>
    </row>
    <row r="1281" spans="1:33" x14ac:dyDescent="0.35">
      <c r="A1281" t="s">
        <v>1242</v>
      </c>
      <c r="B1281" s="3">
        <v>0.41599999999999998</v>
      </c>
      <c r="C1281" s="130">
        <v>1.5269999999999999</v>
      </c>
      <c r="D1281" s="130">
        <v>1.444</v>
      </c>
      <c r="E1281" s="130">
        <v>1.1739999999999999</v>
      </c>
      <c r="F1281" s="130">
        <v>1.1379999999999999</v>
      </c>
      <c r="G1281" s="130">
        <v>0.93200000000000005</v>
      </c>
      <c r="H1281" s="130">
        <v>0.71</v>
      </c>
      <c r="I1281" s="3">
        <v>0.38700000000000001</v>
      </c>
      <c r="J1281" s="3">
        <v>7.0999999999999994E-2</v>
      </c>
      <c r="K1281" s="3">
        <v>6.7000000000000004E-2</v>
      </c>
      <c r="L1281" s="3">
        <v>8.1000000000000003E-2</v>
      </c>
      <c r="M1281" s="3">
        <v>2E-3</v>
      </c>
      <c r="N1281" s="3">
        <v>1E-3</v>
      </c>
      <c r="O1281" s="3">
        <v>1.4999999999999999E-2</v>
      </c>
      <c r="P1281" s="3">
        <v>2E-3</v>
      </c>
      <c r="Q1281" s="3">
        <v>0</v>
      </c>
      <c r="R1281" s="3">
        <v>0.30299999999999999</v>
      </c>
      <c r="S1281" s="3">
        <v>1.5289999999999999</v>
      </c>
      <c r="T1281" s="3">
        <v>1.2869999999999999</v>
      </c>
      <c r="U1281" s="3">
        <v>1.419</v>
      </c>
      <c r="V1281" s="3">
        <v>1.294</v>
      </c>
      <c r="W1281" s="3">
        <v>1.4670000000000001</v>
      </c>
      <c r="X1281" s="3">
        <v>1.17</v>
      </c>
      <c r="Y1281" s="3">
        <v>0.09</v>
      </c>
      <c r="Z1281" s="3">
        <v>4.0000000000000001E-3</v>
      </c>
      <c r="AA1281" s="3">
        <v>4.3999999999999997E-2</v>
      </c>
      <c r="AB1281" s="3">
        <v>0</v>
      </c>
      <c r="AC1281" s="3">
        <v>1.4999999999999999E-2</v>
      </c>
      <c r="AD1281" s="3">
        <v>1E-3</v>
      </c>
      <c r="AE1281" s="3">
        <v>0.17499999999999999</v>
      </c>
      <c r="AF1281" s="3">
        <v>0.32</v>
      </c>
      <c r="AG1281" s="3">
        <v>0.27900000000000003</v>
      </c>
    </row>
    <row r="1282" spans="1:33" x14ac:dyDescent="0.35">
      <c r="A1282" t="s">
        <v>1243</v>
      </c>
      <c r="B1282">
        <v>346</v>
      </c>
      <c r="C1282" s="6">
        <v>1619</v>
      </c>
      <c r="D1282" s="6">
        <v>1747</v>
      </c>
      <c r="E1282" s="6">
        <v>1457</v>
      </c>
      <c r="F1282" s="6">
        <v>1531</v>
      </c>
      <c r="G1282" s="6">
        <v>1201</v>
      </c>
      <c r="H1282">
        <v>938</v>
      </c>
      <c r="I1282">
        <v>466</v>
      </c>
      <c r="J1282">
        <v>101</v>
      </c>
      <c r="K1282">
        <v>101</v>
      </c>
      <c r="L1282">
        <v>116</v>
      </c>
      <c r="M1282">
        <v>3</v>
      </c>
      <c r="N1282">
        <v>2</v>
      </c>
      <c r="O1282">
        <v>16</v>
      </c>
      <c r="P1282">
        <v>2</v>
      </c>
      <c r="Q1282">
        <v>0</v>
      </c>
      <c r="R1282">
        <v>379</v>
      </c>
      <c r="S1282" s="6">
        <v>2278</v>
      </c>
      <c r="T1282" s="6">
        <v>2010</v>
      </c>
      <c r="U1282" s="6">
        <v>2238</v>
      </c>
      <c r="V1282" s="6">
        <v>1985</v>
      </c>
      <c r="W1282" s="6">
        <v>2092</v>
      </c>
      <c r="X1282" s="6">
        <v>1592</v>
      </c>
      <c r="Y1282">
        <v>108</v>
      </c>
      <c r="Z1282">
        <v>5</v>
      </c>
      <c r="AA1282">
        <v>50</v>
      </c>
      <c r="AB1282">
        <v>0</v>
      </c>
      <c r="AC1282">
        <v>26</v>
      </c>
      <c r="AD1282">
        <v>1</v>
      </c>
      <c r="AE1282">
        <v>270</v>
      </c>
      <c r="AF1282">
        <v>488</v>
      </c>
      <c r="AG1282">
        <v>422</v>
      </c>
    </row>
    <row r="1283" spans="1:33" x14ac:dyDescent="0.35">
      <c r="A1283" t="s">
        <v>1244</v>
      </c>
      <c r="B1283">
        <v>832</v>
      </c>
      <c r="C1283" s="6">
        <v>1060</v>
      </c>
      <c r="D1283" s="6">
        <v>1209</v>
      </c>
      <c r="E1283" s="6">
        <v>1241</v>
      </c>
      <c r="F1283" s="6">
        <v>1346</v>
      </c>
      <c r="G1283" s="6">
        <v>1288</v>
      </c>
      <c r="H1283" s="6">
        <v>1321</v>
      </c>
      <c r="I1283" s="6">
        <v>1204</v>
      </c>
      <c r="J1283" s="6">
        <v>1428</v>
      </c>
      <c r="K1283" s="6">
        <v>1502</v>
      </c>
      <c r="L1283" s="6">
        <v>1438</v>
      </c>
      <c r="M1283" s="6">
        <v>1403</v>
      </c>
      <c r="N1283" s="6">
        <v>1254</v>
      </c>
      <c r="O1283" s="6">
        <v>1068</v>
      </c>
      <c r="P1283" s="6">
        <v>1178</v>
      </c>
      <c r="Q1283" s="6">
        <v>1176</v>
      </c>
      <c r="R1283" s="6">
        <v>1251</v>
      </c>
      <c r="S1283" s="6">
        <v>1490</v>
      </c>
      <c r="T1283" s="6">
        <v>1562</v>
      </c>
      <c r="U1283" s="6">
        <v>1577</v>
      </c>
      <c r="V1283" s="6">
        <v>1534</v>
      </c>
      <c r="W1283" s="6">
        <v>1427</v>
      </c>
      <c r="X1283" s="6">
        <v>1361</v>
      </c>
      <c r="Y1283" s="6">
        <v>1193</v>
      </c>
      <c r="Z1283" s="6">
        <v>1235</v>
      </c>
      <c r="AA1283" s="6">
        <v>1121</v>
      </c>
      <c r="AB1283" s="6">
        <v>1330</v>
      </c>
      <c r="AC1283" s="6">
        <v>1781</v>
      </c>
      <c r="AD1283" s="6">
        <v>1722</v>
      </c>
      <c r="AE1283" s="6">
        <v>1541</v>
      </c>
      <c r="AF1283" s="6">
        <v>1524</v>
      </c>
      <c r="AG1283" s="6">
        <v>1511</v>
      </c>
    </row>
    <row r="1284" spans="1:33" x14ac:dyDescent="0.35">
      <c r="A1284" t="s">
        <v>1245</v>
      </c>
      <c r="B1284" s="7">
        <v>2.57</v>
      </c>
      <c r="C1284" s="7">
        <v>2.0499999999999998</v>
      </c>
      <c r="D1284" s="7">
        <v>2.0699999999999998</v>
      </c>
      <c r="E1284" s="7">
        <v>2.0699999999999998</v>
      </c>
      <c r="F1284" s="7">
        <v>2.0499999999999998</v>
      </c>
      <c r="G1284" s="7">
        <v>2.0499999999999998</v>
      </c>
      <c r="H1284" s="7">
        <v>2.06</v>
      </c>
      <c r="I1284" s="7">
        <v>2.5299999999999998</v>
      </c>
      <c r="J1284" s="7">
        <v>2.52</v>
      </c>
      <c r="K1284" s="7">
        <v>2.5299999999999998</v>
      </c>
      <c r="L1284" s="7">
        <v>2.54</v>
      </c>
      <c r="M1284" s="7">
        <v>2.82</v>
      </c>
      <c r="N1284" s="7">
        <v>2.79</v>
      </c>
      <c r="O1284" s="7">
        <v>2.79</v>
      </c>
      <c r="P1284" s="7">
        <v>2.79</v>
      </c>
      <c r="Q1284" s="7">
        <v>2.79</v>
      </c>
      <c r="R1284" s="7">
        <v>2.48</v>
      </c>
      <c r="S1284" s="7">
        <v>2.0499999999999998</v>
      </c>
      <c r="T1284" s="7">
        <v>2.06</v>
      </c>
      <c r="U1284" s="7">
        <v>2.06</v>
      </c>
      <c r="V1284" s="7">
        <v>2.06</v>
      </c>
      <c r="W1284" s="7">
        <v>2.0499999999999998</v>
      </c>
      <c r="X1284" s="7">
        <v>2.06</v>
      </c>
      <c r="Y1284" s="7">
        <v>2.73</v>
      </c>
      <c r="Z1284" s="7">
        <v>2.78</v>
      </c>
      <c r="AA1284" s="7">
        <v>2.79</v>
      </c>
      <c r="AB1284" s="7">
        <v>2.79</v>
      </c>
      <c r="AC1284" s="7">
        <v>2.79</v>
      </c>
      <c r="AD1284" s="7">
        <v>2.79</v>
      </c>
      <c r="AE1284" s="7">
        <v>2.58</v>
      </c>
      <c r="AF1284" s="7">
        <v>2.27</v>
      </c>
      <c r="AG1284" s="7">
        <v>2.27</v>
      </c>
    </row>
    <row r="1285" spans="1:33" x14ac:dyDescent="0.35">
      <c r="C1285" s="6">
        <f>SUM(C1283:H1283)</f>
        <v>7465</v>
      </c>
      <c r="D1285" s="6">
        <f>SUM(C1282:H1282)</f>
        <v>8493</v>
      </c>
      <c r="T1285" s="6">
        <f>SUM(S1283:X1283)</f>
        <v>8951</v>
      </c>
      <c r="U1285" s="6">
        <f>SUM(S1282:X1282)</f>
        <v>12195</v>
      </c>
    </row>
    <row r="1287" spans="1:33" x14ac:dyDescent="0.35">
      <c r="A1287" t="s">
        <v>1240</v>
      </c>
      <c r="B1287" s="5">
        <v>46026</v>
      </c>
      <c r="C1287" s="5">
        <v>46033</v>
      </c>
      <c r="D1287" s="5">
        <v>46040</v>
      </c>
      <c r="E1287" s="5">
        <v>46047</v>
      </c>
      <c r="F1287" s="5">
        <v>46054</v>
      </c>
      <c r="G1287" s="5">
        <v>46061</v>
      </c>
      <c r="H1287" s="5">
        <v>46068</v>
      </c>
      <c r="I1287" s="5">
        <v>46075</v>
      </c>
      <c r="J1287" s="5">
        <v>46082</v>
      </c>
      <c r="K1287" s="5">
        <v>46089</v>
      </c>
      <c r="L1287" s="5">
        <v>46096</v>
      </c>
      <c r="M1287" s="5">
        <v>46103</v>
      </c>
      <c r="N1287" s="5">
        <v>46110</v>
      </c>
      <c r="O1287" s="5">
        <v>46117</v>
      </c>
      <c r="P1287" s="5">
        <v>46124</v>
      </c>
      <c r="Q1287" s="5">
        <v>46131</v>
      </c>
      <c r="R1287" s="5">
        <v>46138</v>
      </c>
      <c r="S1287" s="5">
        <v>46145</v>
      </c>
      <c r="T1287" s="5">
        <v>46152</v>
      </c>
      <c r="U1287" s="5">
        <v>46159</v>
      </c>
      <c r="V1287" s="5">
        <v>46166</v>
      </c>
      <c r="W1287" s="5">
        <v>46173</v>
      </c>
      <c r="X1287" s="5">
        <v>46180</v>
      </c>
      <c r="Y1287" s="5">
        <v>46187</v>
      </c>
      <c r="Z1287" s="5">
        <v>46194</v>
      </c>
      <c r="AA1287" s="5">
        <v>46201</v>
      </c>
      <c r="AB1287" s="5">
        <v>46208</v>
      </c>
      <c r="AC1287" s="5">
        <v>46215</v>
      </c>
      <c r="AD1287" s="5">
        <v>46222</v>
      </c>
      <c r="AE1287" s="5">
        <v>46229</v>
      </c>
      <c r="AF1287" s="5">
        <v>46236</v>
      </c>
      <c r="AG1287" s="5">
        <v>46243</v>
      </c>
    </row>
    <row r="1288" spans="1:33" x14ac:dyDescent="0.35">
      <c r="A1288" t="s">
        <v>1241</v>
      </c>
      <c r="B1288" s="6">
        <v>1178</v>
      </c>
      <c r="C1288" s="6">
        <v>2679</v>
      </c>
      <c r="D1288" s="6">
        <v>2956</v>
      </c>
      <c r="E1288" s="6">
        <v>2698</v>
      </c>
      <c r="F1288" s="6">
        <v>2877</v>
      </c>
      <c r="G1288" s="6">
        <v>2488</v>
      </c>
      <c r="H1288" s="6">
        <v>2259</v>
      </c>
      <c r="I1288" s="6">
        <v>1670</v>
      </c>
      <c r="J1288" s="6">
        <v>1529</v>
      </c>
      <c r="K1288" s="6">
        <v>1603</v>
      </c>
      <c r="L1288" s="6">
        <v>1554</v>
      </c>
      <c r="M1288" s="6">
        <v>1406</v>
      </c>
      <c r="N1288" s="6">
        <v>1256</v>
      </c>
      <c r="O1288" s="6">
        <v>1083</v>
      </c>
      <c r="P1288" s="6">
        <v>1180</v>
      </c>
      <c r="Q1288" s="6">
        <v>1176</v>
      </c>
      <c r="R1288" s="6">
        <v>1630</v>
      </c>
      <c r="S1288" s="6">
        <v>3768</v>
      </c>
      <c r="T1288" s="6">
        <v>3572</v>
      </c>
      <c r="U1288" s="6">
        <v>3814</v>
      </c>
      <c r="V1288" s="6">
        <v>3519</v>
      </c>
      <c r="W1288" s="6">
        <v>3519</v>
      </c>
      <c r="X1288" s="6">
        <v>2953</v>
      </c>
      <c r="Y1288" s="6">
        <v>1301</v>
      </c>
      <c r="Z1288" s="6">
        <v>1240</v>
      </c>
      <c r="AA1288" s="6">
        <v>1171</v>
      </c>
      <c r="AB1288" s="6">
        <v>1330</v>
      </c>
      <c r="AC1288" s="6">
        <v>1807</v>
      </c>
      <c r="AD1288" s="6">
        <v>1723</v>
      </c>
      <c r="AE1288" s="6">
        <v>1811</v>
      </c>
      <c r="AF1288" s="6">
        <v>2012</v>
      </c>
      <c r="AG1288" s="6">
        <v>1932</v>
      </c>
    </row>
    <row r="1289" spans="1:33" x14ac:dyDescent="0.35">
      <c r="A1289" t="s">
        <v>1242</v>
      </c>
      <c r="B1289" s="3">
        <v>0.41599999999999998</v>
      </c>
      <c r="C1289" s="3">
        <v>1.5269999999999999</v>
      </c>
      <c r="D1289" s="3">
        <v>1.444</v>
      </c>
      <c r="E1289" s="3">
        <v>1.1739999999999999</v>
      </c>
      <c r="F1289" s="3">
        <v>1.1379999999999999</v>
      </c>
      <c r="G1289" s="3">
        <v>0.93200000000000005</v>
      </c>
      <c r="H1289" s="3">
        <v>0.71</v>
      </c>
      <c r="I1289" s="3">
        <v>0.38700000000000001</v>
      </c>
      <c r="J1289" s="3">
        <v>7.0999999999999994E-2</v>
      </c>
      <c r="K1289" s="3">
        <v>6.7000000000000004E-2</v>
      </c>
      <c r="L1289" s="3">
        <v>8.1000000000000003E-2</v>
      </c>
      <c r="M1289" s="3">
        <v>2E-3</v>
      </c>
      <c r="N1289" s="3">
        <v>1E-3</v>
      </c>
      <c r="O1289" s="3">
        <v>1.4999999999999999E-2</v>
      </c>
      <c r="P1289" s="3">
        <v>2E-3</v>
      </c>
      <c r="Q1289" s="3">
        <v>0</v>
      </c>
      <c r="R1289" s="3">
        <v>0.30299999999999999</v>
      </c>
      <c r="S1289" s="3">
        <v>1.5289999999999999</v>
      </c>
      <c r="T1289" s="3">
        <v>1.2869999999999999</v>
      </c>
      <c r="U1289" s="3">
        <v>1.419</v>
      </c>
      <c r="V1289" s="3">
        <v>1.294</v>
      </c>
      <c r="W1289" s="3">
        <v>1.4670000000000001</v>
      </c>
      <c r="X1289" s="3">
        <v>1.17</v>
      </c>
      <c r="Y1289" s="3">
        <v>0.09</v>
      </c>
      <c r="Z1289" s="3">
        <v>4.0000000000000001E-3</v>
      </c>
      <c r="AA1289" s="3">
        <v>4.3999999999999997E-2</v>
      </c>
      <c r="AB1289" s="3">
        <v>0</v>
      </c>
      <c r="AC1289" s="3">
        <v>1.4999999999999999E-2</v>
      </c>
      <c r="AD1289" s="3">
        <v>1E-3</v>
      </c>
      <c r="AE1289" s="3">
        <v>0.17499999999999999</v>
      </c>
      <c r="AF1289" s="3">
        <v>0.32</v>
      </c>
      <c r="AG1289" s="3">
        <v>0.27900000000000003</v>
      </c>
    </row>
    <row r="1290" spans="1:33" x14ac:dyDescent="0.35">
      <c r="A1290" t="s">
        <v>1243</v>
      </c>
      <c r="B1290">
        <v>346</v>
      </c>
      <c r="C1290" s="6">
        <v>1619</v>
      </c>
      <c r="D1290" s="6">
        <v>1747</v>
      </c>
      <c r="E1290" s="6">
        <v>1457</v>
      </c>
      <c r="F1290" s="6">
        <v>1531</v>
      </c>
      <c r="G1290" s="6">
        <v>1201</v>
      </c>
      <c r="H1290">
        <v>938</v>
      </c>
      <c r="I1290">
        <v>466</v>
      </c>
      <c r="J1290">
        <v>101</v>
      </c>
      <c r="K1290">
        <v>101</v>
      </c>
      <c r="L1290">
        <v>116</v>
      </c>
      <c r="M1290">
        <v>3</v>
      </c>
      <c r="N1290">
        <v>2</v>
      </c>
      <c r="O1290">
        <v>16</v>
      </c>
      <c r="P1290">
        <v>2</v>
      </c>
      <c r="Q1290">
        <v>0</v>
      </c>
      <c r="R1290">
        <v>379</v>
      </c>
      <c r="S1290" s="6">
        <v>2278</v>
      </c>
      <c r="T1290" s="6">
        <v>2010</v>
      </c>
      <c r="U1290" s="6">
        <v>2238</v>
      </c>
      <c r="V1290" s="6">
        <v>1985</v>
      </c>
      <c r="W1290" s="6">
        <v>2092</v>
      </c>
      <c r="X1290" s="6">
        <v>1592</v>
      </c>
      <c r="Y1290">
        <v>108</v>
      </c>
      <c r="Z1290">
        <v>5</v>
      </c>
      <c r="AA1290">
        <v>50</v>
      </c>
      <c r="AB1290">
        <v>0</v>
      </c>
      <c r="AC1290">
        <v>26</v>
      </c>
      <c r="AD1290">
        <v>1</v>
      </c>
      <c r="AE1290">
        <v>270</v>
      </c>
      <c r="AF1290">
        <v>488</v>
      </c>
      <c r="AG1290">
        <v>422</v>
      </c>
    </row>
    <row r="1291" spans="1:33" x14ac:dyDescent="0.35">
      <c r="A1291" t="s">
        <v>1244</v>
      </c>
      <c r="B1291">
        <v>832</v>
      </c>
      <c r="C1291" s="6">
        <v>1060</v>
      </c>
      <c r="D1291" s="6">
        <v>1209</v>
      </c>
      <c r="E1291" s="6">
        <v>1241</v>
      </c>
      <c r="F1291" s="6">
        <v>1346</v>
      </c>
      <c r="G1291" s="6">
        <v>1288</v>
      </c>
      <c r="H1291" s="6">
        <v>1321</v>
      </c>
      <c r="I1291" s="6">
        <v>1204</v>
      </c>
      <c r="J1291" s="6">
        <v>1428</v>
      </c>
      <c r="K1291" s="6">
        <v>1502</v>
      </c>
      <c r="L1291" s="6">
        <v>1438</v>
      </c>
      <c r="M1291" s="6">
        <v>1403</v>
      </c>
      <c r="N1291" s="6">
        <v>1254</v>
      </c>
      <c r="O1291" s="6">
        <v>1068</v>
      </c>
      <c r="P1291" s="6">
        <v>1178</v>
      </c>
      <c r="Q1291" s="6">
        <v>1176</v>
      </c>
      <c r="R1291" s="6">
        <v>1251</v>
      </c>
      <c r="S1291" s="6">
        <v>1490</v>
      </c>
      <c r="T1291" s="6">
        <v>1562</v>
      </c>
      <c r="U1291" s="6">
        <v>1577</v>
      </c>
      <c r="V1291" s="6">
        <v>1534</v>
      </c>
      <c r="W1291" s="6">
        <v>1427</v>
      </c>
      <c r="X1291" s="6">
        <v>1361</v>
      </c>
      <c r="Y1291" s="6">
        <v>1193</v>
      </c>
      <c r="Z1291" s="6">
        <v>1235</v>
      </c>
      <c r="AA1291" s="6">
        <v>1121</v>
      </c>
      <c r="AB1291" s="6">
        <v>1330</v>
      </c>
      <c r="AC1291" s="6">
        <v>1781</v>
      </c>
      <c r="AD1291" s="6">
        <v>1722</v>
      </c>
      <c r="AE1291" s="6">
        <v>1541</v>
      </c>
      <c r="AF1291" s="6">
        <v>1524</v>
      </c>
      <c r="AG1291" s="6">
        <v>1511</v>
      </c>
    </row>
    <row r="1292" spans="1:33" x14ac:dyDescent="0.35">
      <c r="A1292" t="s">
        <v>1245</v>
      </c>
      <c r="B1292" s="7">
        <v>2.57</v>
      </c>
      <c r="C1292" s="7">
        <v>2.0499999999999998</v>
      </c>
      <c r="D1292" s="7">
        <v>2.0699999999999998</v>
      </c>
      <c r="E1292" s="7">
        <v>2.0699999999999998</v>
      </c>
      <c r="F1292" s="7">
        <v>2.0499999999999998</v>
      </c>
      <c r="G1292" s="7">
        <v>2.0499999999999998</v>
      </c>
      <c r="H1292" s="7">
        <v>2.06</v>
      </c>
      <c r="I1292" s="7">
        <v>2.5299999999999998</v>
      </c>
      <c r="J1292" s="7">
        <v>2.52</v>
      </c>
      <c r="K1292" s="7">
        <v>2.5299999999999998</v>
      </c>
      <c r="L1292" s="7">
        <v>2.54</v>
      </c>
      <c r="M1292" s="7">
        <v>2.82</v>
      </c>
      <c r="N1292" s="7">
        <v>2.79</v>
      </c>
      <c r="O1292" s="7">
        <v>2.79</v>
      </c>
      <c r="P1292" s="7">
        <v>2.79</v>
      </c>
      <c r="Q1292" s="7">
        <v>2.79</v>
      </c>
      <c r="R1292" s="7">
        <v>2.48</v>
      </c>
      <c r="S1292" s="129">
        <v>2.0499999999999998</v>
      </c>
      <c r="T1292" s="129">
        <v>2.06</v>
      </c>
      <c r="U1292" s="129">
        <v>2.06</v>
      </c>
      <c r="V1292" s="129">
        <v>2.06</v>
      </c>
      <c r="W1292" s="129">
        <v>2.0499999999999998</v>
      </c>
      <c r="X1292" s="129">
        <v>2.06</v>
      </c>
      <c r="Y1292" s="7">
        <v>2.73</v>
      </c>
      <c r="Z1292" s="7">
        <v>2.78</v>
      </c>
      <c r="AA1292" s="7">
        <v>2.79</v>
      </c>
      <c r="AB1292" s="7">
        <v>2.79</v>
      </c>
      <c r="AC1292" s="7">
        <v>2.79</v>
      </c>
      <c r="AD1292" s="7">
        <v>2.79</v>
      </c>
      <c r="AE1292" s="7">
        <v>2.58</v>
      </c>
      <c r="AF1292" s="7">
        <v>2.27</v>
      </c>
      <c r="AG1292" s="7">
        <v>2.27</v>
      </c>
    </row>
    <row r="1294" spans="1:33" s="66" customFormat="1" x14ac:dyDescent="0.35"/>
    <row r="1296" spans="1:33" x14ac:dyDescent="0.35">
      <c r="A1296" t="s">
        <v>1563</v>
      </c>
    </row>
    <row r="1299" spans="1:33" x14ac:dyDescent="0.35">
      <c r="A1299" t="s">
        <v>1240</v>
      </c>
      <c r="B1299" s="5">
        <v>46026</v>
      </c>
      <c r="C1299" s="163">
        <v>46033</v>
      </c>
      <c r="D1299" s="163">
        <v>46040</v>
      </c>
      <c r="E1299" s="163">
        <v>46047</v>
      </c>
      <c r="F1299" s="163">
        <v>46054</v>
      </c>
      <c r="G1299" s="128">
        <v>46061</v>
      </c>
      <c r="H1299" s="128">
        <v>46068</v>
      </c>
      <c r="I1299" s="128">
        <v>46075</v>
      </c>
      <c r="J1299" s="5">
        <v>46082</v>
      </c>
      <c r="K1299" s="5">
        <v>46089</v>
      </c>
      <c r="L1299" s="5">
        <v>46096</v>
      </c>
      <c r="M1299" s="5">
        <v>46103</v>
      </c>
      <c r="N1299" s="5">
        <v>46110</v>
      </c>
      <c r="O1299" s="5">
        <v>46117</v>
      </c>
      <c r="P1299" s="5">
        <v>46124</v>
      </c>
      <c r="Q1299" s="5">
        <v>46131</v>
      </c>
      <c r="R1299" s="5">
        <v>46138</v>
      </c>
      <c r="S1299" s="5">
        <v>46145</v>
      </c>
      <c r="T1299" s="5">
        <v>46152</v>
      </c>
      <c r="U1299" s="5">
        <v>46159</v>
      </c>
      <c r="V1299" s="5">
        <v>46166</v>
      </c>
      <c r="W1299" s="128">
        <v>46173</v>
      </c>
      <c r="X1299" s="128">
        <v>46180</v>
      </c>
      <c r="Y1299" s="128">
        <v>46187</v>
      </c>
      <c r="Z1299" s="128">
        <v>46194</v>
      </c>
      <c r="AA1299" s="5">
        <v>46201</v>
      </c>
      <c r="AB1299" s="5">
        <v>46208</v>
      </c>
      <c r="AC1299" s="5">
        <v>46215</v>
      </c>
      <c r="AD1299" s="5">
        <v>46222</v>
      </c>
      <c r="AE1299" s="5">
        <v>46229</v>
      </c>
      <c r="AF1299" s="5">
        <v>46236</v>
      </c>
      <c r="AG1299" s="5">
        <v>46243</v>
      </c>
    </row>
    <row r="1300" spans="1:33" x14ac:dyDescent="0.35">
      <c r="A1300" t="s">
        <v>1241</v>
      </c>
      <c r="B1300" s="6">
        <v>1541</v>
      </c>
      <c r="C1300" s="6">
        <v>2237</v>
      </c>
      <c r="D1300" s="6">
        <v>2215</v>
      </c>
      <c r="E1300" s="6">
        <v>2143</v>
      </c>
      <c r="F1300" s="6">
        <v>2189</v>
      </c>
      <c r="G1300" s="6">
        <v>2320</v>
      </c>
      <c r="H1300" s="6">
        <v>2191</v>
      </c>
      <c r="I1300" s="6">
        <v>2252</v>
      </c>
      <c r="J1300" s="6">
        <v>1943</v>
      </c>
      <c r="K1300" s="6">
        <v>1806</v>
      </c>
      <c r="L1300" s="6">
        <v>1877</v>
      </c>
      <c r="M1300" s="6">
        <v>1653</v>
      </c>
      <c r="N1300" s="6">
        <v>1730</v>
      </c>
      <c r="O1300" s="6">
        <v>1699</v>
      </c>
      <c r="P1300" s="6">
        <v>1831</v>
      </c>
      <c r="Q1300" s="6">
        <v>1766</v>
      </c>
      <c r="R1300" s="6">
        <v>1867</v>
      </c>
      <c r="S1300" s="6">
        <v>2165</v>
      </c>
      <c r="T1300" s="6">
        <v>2084</v>
      </c>
      <c r="U1300" s="6">
        <v>2080</v>
      </c>
      <c r="V1300" s="6">
        <v>2037</v>
      </c>
      <c r="W1300" s="6">
        <v>2512</v>
      </c>
      <c r="X1300" s="6">
        <v>2545</v>
      </c>
      <c r="Y1300" s="6">
        <v>3305</v>
      </c>
      <c r="Z1300" s="6">
        <v>2858</v>
      </c>
      <c r="AA1300" s="6">
        <v>1978</v>
      </c>
      <c r="AB1300" s="6">
        <v>1639</v>
      </c>
      <c r="AC1300" s="6">
        <v>1802</v>
      </c>
      <c r="AD1300" s="6">
        <v>1508</v>
      </c>
      <c r="AE1300" s="6">
        <v>1582</v>
      </c>
      <c r="AF1300" s="6">
        <v>1566</v>
      </c>
      <c r="AG1300" s="6">
        <v>1386</v>
      </c>
    </row>
    <row r="1301" spans="1:33" x14ac:dyDescent="0.35">
      <c r="A1301" t="s">
        <v>1242</v>
      </c>
      <c r="B1301" t="s">
        <v>1272</v>
      </c>
      <c r="C1301" t="s">
        <v>1272</v>
      </c>
      <c r="D1301" t="s">
        <v>1272</v>
      </c>
      <c r="E1301" t="s">
        <v>1272</v>
      </c>
      <c r="F1301" t="s">
        <v>1272</v>
      </c>
      <c r="G1301" t="s">
        <v>1272</v>
      </c>
      <c r="H1301" t="s">
        <v>1272</v>
      </c>
      <c r="I1301" t="s">
        <v>1272</v>
      </c>
      <c r="J1301" t="s">
        <v>1272</v>
      </c>
      <c r="K1301" t="s">
        <v>1272</v>
      </c>
      <c r="L1301" t="s">
        <v>1272</v>
      </c>
      <c r="M1301" t="s">
        <v>1272</v>
      </c>
      <c r="N1301" t="s">
        <v>1272</v>
      </c>
      <c r="O1301" t="s">
        <v>1272</v>
      </c>
      <c r="P1301" t="s">
        <v>1272</v>
      </c>
      <c r="Q1301" t="s">
        <v>1272</v>
      </c>
      <c r="R1301" t="s">
        <v>1272</v>
      </c>
      <c r="S1301" t="s">
        <v>1272</v>
      </c>
      <c r="T1301" t="s">
        <v>1272</v>
      </c>
      <c r="U1301" t="s">
        <v>1272</v>
      </c>
      <c r="V1301" t="s">
        <v>1272</v>
      </c>
      <c r="W1301" t="s">
        <v>1272</v>
      </c>
      <c r="X1301" t="s">
        <v>1272</v>
      </c>
      <c r="Y1301" t="s">
        <v>1272</v>
      </c>
      <c r="Z1301" t="s">
        <v>1272</v>
      </c>
      <c r="AA1301" t="s">
        <v>1272</v>
      </c>
      <c r="AB1301" t="s">
        <v>1272</v>
      </c>
      <c r="AC1301" t="s">
        <v>1272</v>
      </c>
      <c r="AD1301" t="s">
        <v>1272</v>
      </c>
      <c r="AE1301" t="s">
        <v>1272</v>
      </c>
      <c r="AF1301" t="s">
        <v>1272</v>
      </c>
      <c r="AG1301" t="s">
        <v>1272</v>
      </c>
    </row>
    <row r="1302" spans="1:33" x14ac:dyDescent="0.35">
      <c r="A1302" t="s">
        <v>1243</v>
      </c>
      <c r="B1302" s="6">
        <v>1541</v>
      </c>
      <c r="C1302" s="6">
        <v>2237</v>
      </c>
      <c r="D1302" s="6">
        <v>2215</v>
      </c>
      <c r="E1302" s="6">
        <v>2143</v>
      </c>
      <c r="F1302" s="6">
        <v>2189</v>
      </c>
      <c r="G1302" s="6">
        <v>2320</v>
      </c>
      <c r="H1302" s="6">
        <v>2191</v>
      </c>
      <c r="I1302" s="6">
        <v>2252</v>
      </c>
      <c r="J1302" s="6">
        <v>1943</v>
      </c>
      <c r="K1302" s="6">
        <v>1806</v>
      </c>
      <c r="L1302" s="6">
        <v>1877</v>
      </c>
      <c r="M1302" s="6">
        <v>1653</v>
      </c>
      <c r="N1302" s="6">
        <v>1730</v>
      </c>
      <c r="O1302" s="6">
        <v>1699</v>
      </c>
      <c r="P1302" s="6">
        <v>1831</v>
      </c>
      <c r="Q1302" s="6">
        <v>1766</v>
      </c>
      <c r="R1302" s="6">
        <v>1867</v>
      </c>
      <c r="S1302" s="6">
        <v>2165</v>
      </c>
      <c r="T1302" s="6">
        <v>2084</v>
      </c>
      <c r="U1302" s="6">
        <v>2080</v>
      </c>
      <c r="V1302" s="6">
        <v>2037</v>
      </c>
      <c r="W1302" s="6">
        <v>2512</v>
      </c>
      <c r="X1302" s="6">
        <v>2545</v>
      </c>
      <c r="Y1302" s="6">
        <v>3305</v>
      </c>
      <c r="Z1302" s="6">
        <v>2858</v>
      </c>
      <c r="AA1302" s="6">
        <v>1978</v>
      </c>
      <c r="AB1302" s="6">
        <v>1639</v>
      </c>
      <c r="AC1302" s="6">
        <v>1802</v>
      </c>
      <c r="AD1302" s="6">
        <v>1508</v>
      </c>
      <c r="AE1302" s="6">
        <v>1582</v>
      </c>
      <c r="AF1302" s="6">
        <v>1566</v>
      </c>
      <c r="AG1302" s="6">
        <v>1386</v>
      </c>
    </row>
    <row r="1303" spans="1:33" x14ac:dyDescent="0.35">
      <c r="A1303" t="s">
        <v>1244</v>
      </c>
      <c r="B1303">
        <v>0</v>
      </c>
      <c r="C1303">
        <v>0</v>
      </c>
      <c r="D1303">
        <v>0</v>
      </c>
      <c r="E1303">
        <v>0</v>
      </c>
      <c r="F1303">
        <v>0</v>
      </c>
      <c r="G1303">
        <v>0</v>
      </c>
      <c r="H1303">
        <v>0</v>
      </c>
      <c r="I1303">
        <v>0</v>
      </c>
      <c r="J1303">
        <v>0</v>
      </c>
      <c r="K1303">
        <v>0</v>
      </c>
      <c r="L1303">
        <v>0</v>
      </c>
      <c r="M1303">
        <v>0</v>
      </c>
      <c r="N1303">
        <v>0</v>
      </c>
      <c r="O1303">
        <v>0</v>
      </c>
      <c r="P1303">
        <v>0</v>
      </c>
      <c r="Q1303">
        <v>0</v>
      </c>
      <c r="R1303">
        <v>0</v>
      </c>
      <c r="S1303">
        <v>0</v>
      </c>
      <c r="T1303">
        <v>0</v>
      </c>
      <c r="U1303">
        <v>0</v>
      </c>
      <c r="V1303">
        <v>0</v>
      </c>
      <c r="W1303">
        <v>0</v>
      </c>
      <c r="X1303">
        <v>0</v>
      </c>
      <c r="Y1303">
        <v>0</v>
      </c>
      <c r="Z1303">
        <v>0</v>
      </c>
      <c r="AA1303">
        <v>0</v>
      </c>
      <c r="AB1303">
        <v>0</v>
      </c>
      <c r="AC1303">
        <v>0</v>
      </c>
      <c r="AD1303">
        <v>0</v>
      </c>
      <c r="AE1303">
        <v>0</v>
      </c>
      <c r="AF1303">
        <v>0</v>
      </c>
      <c r="AG1303">
        <v>0</v>
      </c>
    </row>
    <row r="1304" spans="1:33" x14ac:dyDescent="0.35">
      <c r="A1304" t="s">
        <v>1245</v>
      </c>
      <c r="B1304" s="7">
        <v>2.97</v>
      </c>
      <c r="C1304" s="7">
        <v>2.73</v>
      </c>
      <c r="D1304" s="7">
        <v>2.65</v>
      </c>
      <c r="E1304" s="7">
        <v>2.66</v>
      </c>
      <c r="F1304" s="7">
        <v>2.64</v>
      </c>
      <c r="G1304" s="7">
        <v>2.69</v>
      </c>
      <c r="H1304" s="7">
        <v>2.71</v>
      </c>
      <c r="I1304" s="7">
        <v>2.68</v>
      </c>
      <c r="J1304" s="7">
        <v>3.05</v>
      </c>
      <c r="K1304" s="7">
        <v>3.33</v>
      </c>
      <c r="L1304" s="7">
        <v>3.29</v>
      </c>
      <c r="M1304" s="7">
        <v>3.18</v>
      </c>
      <c r="N1304" s="7">
        <v>3.28</v>
      </c>
      <c r="O1304" s="7">
        <v>3.28</v>
      </c>
      <c r="P1304" s="7">
        <v>3.32</v>
      </c>
      <c r="Q1304" s="7">
        <v>3.25</v>
      </c>
      <c r="R1304" s="7">
        <v>3.22</v>
      </c>
      <c r="S1304" s="7">
        <v>3.16</v>
      </c>
      <c r="T1304" s="7">
        <v>3.24</v>
      </c>
      <c r="U1304" s="7">
        <v>3.25</v>
      </c>
      <c r="V1304" s="7">
        <v>3.24</v>
      </c>
      <c r="W1304" s="7">
        <v>2.54</v>
      </c>
      <c r="X1304" s="7">
        <v>2.54</v>
      </c>
      <c r="Y1304" s="7">
        <v>2.4500000000000002</v>
      </c>
      <c r="Z1304" s="7">
        <v>2.69</v>
      </c>
      <c r="AA1304" s="7">
        <v>3.17</v>
      </c>
      <c r="AB1304" s="7">
        <v>3.31</v>
      </c>
      <c r="AC1304" s="7">
        <v>3.31</v>
      </c>
      <c r="AD1304" s="7">
        <v>3.49</v>
      </c>
      <c r="AE1304" s="7">
        <v>3.52</v>
      </c>
      <c r="AF1304" s="7">
        <v>3.54</v>
      </c>
      <c r="AG1304" s="7">
        <v>3.57</v>
      </c>
    </row>
    <row r="1306" spans="1:33" x14ac:dyDescent="0.35">
      <c r="A1306" t="s">
        <v>1564</v>
      </c>
      <c r="B1306" s="6">
        <f>AVERAGE(B1302,K1302:M1302)</f>
        <v>1719.25</v>
      </c>
      <c r="C1306">
        <v>1719</v>
      </c>
      <c r="D1306">
        <v>1719</v>
      </c>
      <c r="E1306">
        <v>1719</v>
      </c>
      <c r="F1306">
        <v>1719</v>
      </c>
      <c r="G1306">
        <v>1719</v>
      </c>
      <c r="H1306">
        <v>1719</v>
      </c>
      <c r="I1306">
        <v>1719</v>
      </c>
      <c r="W1306" s="6">
        <v>2092</v>
      </c>
      <c r="X1306" s="6">
        <v>2092</v>
      </c>
      <c r="Y1306" s="6">
        <v>2092</v>
      </c>
      <c r="Z1306" s="6">
        <v>2092</v>
      </c>
    </row>
    <row r="1307" spans="1:33" x14ac:dyDescent="0.35">
      <c r="A1307" t="s">
        <v>1565</v>
      </c>
      <c r="C1307" s="6">
        <f>C1302-C1306</f>
        <v>518</v>
      </c>
      <c r="D1307" s="6">
        <f t="shared" ref="D1307:I1307" si="0">D1302-D1306</f>
        <v>496</v>
      </c>
      <c r="E1307" s="6">
        <f t="shared" si="0"/>
        <v>424</v>
      </c>
      <c r="F1307" s="6">
        <f t="shared" si="0"/>
        <v>470</v>
      </c>
      <c r="G1307" s="6">
        <f t="shared" si="0"/>
        <v>601</v>
      </c>
      <c r="H1307" s="6">
        <f t="shared" si="0"/>
        <v>472</v>
      </c>
      <c r="I1307" s="6">
        <f t="shared" si="0"/>
        <v>533</v>
      </c>
      <c r="W1307" s="6">
        <f>W1302-W1306</f>
        <v>420</v>
      </c>
      <c r="X1307" s="6">
        <f t="shared" ref="X1307:Z1307" si="1">X1302-X1306</f>
        <v>453</v>
      </c>
      <c r="Y1307" s="6">
        <f t="shared" si="1"/>
        <v>1213</v>
      </c>
      <c r="Z1307" s="6">
        <f t="shared" si="1"/>
        <v>766</v>
      </c>
    </row>
    <row r="1309" spans="1:33" x14ac:dyDescent="0.35">
      <c r="C1309">
        <f>SUM(C1306:F1306)</f>
        <v>6876</v>
      </c>
      <c r="D1309" s="6">
        <f>SUM(C1307:F1307)</f>
        <v>1908</v>
      </c>
      <c r="G1309">
        <f>SUM(G1306:I1306)</f>
        <v>5157</v>
      </c>
      <c r="W1309" s="6">
        <f>SUM(W1306:Z1306)</f>
        <v>8368</v>
      </c>
      <c r="X1309" s="6">
        <f>SUM(W1307:Z1307)</f>
        <v>2852</v>
      </c>
    </row>
    <row r="1310" spans="1:33" ht="15" thickBot="1" x14ac:dyDescent="0.4">
      <c r="G1310" s="6">
        <f>SUM(G1307:I1307)</f>
        <v>1606</v>
      </c>
    </row>
    <row r="1311" spans="1:33" s="164" customFormat="1" ht="15.5" thickTop="1" thickBot="1" x14ac:dyDescent="0.4"/>
    <row r="1312" spans="1:33" ht="15" thickTop="1" x14ac:dyDescent="0.35">
      <c r="A1312" t="s">
        <v>1567</v>
      </c>
    </row>
    <row r="1314" spans="1:33" x14ac:dyDescent="0.35">
      <c r="A1314" t="s">
        <v>1240</v>
      </c>
      <c r="B1314" s="5">
        <v>46026</v>
      </c>
      <c r="C1314" s="5">
        <v>46033</v>
      </c>
      <c r="D1314" s="5">
        <v>46040</v>
      </c>
      <c r="E1314" s="5">
        <v>46047</v>
      </c>
      <c r="F1314" s="5">
        <v>46054</v>
      </c>
      <c r="G1314" s="5">
        <v>46061</v>
      </c>
      <c r="H1314" s="5">
        <v>46068</v>
      </c>
      <c r="I1314" s="5">
        <v>46075</v>
      </c>
      <c r="J1314" s="5">
        <v>46082</v>
      </c>
      <c r="K1314" s="128">
        <v>46089</v>
      </c>
      <c r="L1314" s="128">
        <v>46096</v>
      </c>
      <c r="M1314" s="5">
        <v>46103</v>
      </c>
      <c r="N1314" s="5">
        <v>46110</v>
      </c>
      <c r="O1314" s="5">
        <v>46117</v>
      </c>
      <c r="P1314" s="5">
        <v>46124</v>
      </c>
      <c r="Q1314" s="5">
        <v>46131</v>
      </c>
      <c r="R1314" s="5">
        <v>46138</v>
      </c>
      <c r="S1314" s="5">
        <v>46145</v>
      </c>
      <c r="T1314" s="128">
        <v>46152</v>
      </c>
      <c r="U1314" s="128">
        <v>46159</v>
      </c>
      <c r="V1314" s="5">
        <v>46166</v>
      </c>
      <c r="W1314" s="5">
        <v>46173</v>
      </c>
      <c r="X1314" s="5">
        <v>46180</v>
      </c>
      <c r="Y1314" s="5">
        <v>46187</v>
      </c>
      <c r="Z1314" s="5">
        <v>46194</v>
      </c>
      <c r="AA1314" s="5">
        <v>46201</v>
      </c>
      <c r="AB1314" s="128">
        <v>46208</v>
      </c>
      <c r="AC1314" s="128">
        <v>46215</v>
      </c>
      <c r="AD1314" s="5">
        <v>46222</v>
      </c>
      <c r="AE1314" s="5">
        <v>46229</v>
      </c>
      <c r="AF1314" s="5">
        <v>46236</v>
      </c>
      <c r="AG1314" s="5">
        <v>46243</v>
      </c>
    </row>
    <row r="1315" spans="1:33" x14ac:dyDescent="0.35">
      <c r="A1315" t="s">
        <v>1241</v>
      </c>
      <c r="B1315">
        <v>998</v>
      </c>
      <c r="C1315" s="6">
        <v>1926</v>
      </c>
      <c r="D1315" s="6">
        <v>2062</v>
      </c>
      <c r="E1315" s="6">
        <v>1604</v>
      </c>
      <c r="F1315" s="6">
        <v>1606</v>
      </c>
      <c r="G1315" s="6">
        <v>1288</v>
      </c>
      <c r="H1315" s="6">
        <v>1215</v>
      </c>
      <c r="I1315" s="6">
        <v>1200</v>
      </c>
      <c r="J1315" s="6">
        <v>1309</v>
      </c>
      <c r="K1315" s="6">
        <v>1654</v>
      </c>
      <c r="L1315" s="6">
        <v>1793</v>
      </c>
      <c r="M1315" s="6">
        <v>1419</v>
      </c>
      <c r="N1315" s="6">
        <v>1232</v>
      </c>
      <c r="O1315" s="6">
        <v>1330</v>
      </c>
      <c r="P1315" s="6">
        <v>1287</v>
      </c>
      <c r="Q1315" s="6">
        <v>1316</v>
      </c>
      <c r="R1315" s="6">
        <v>1313</v>
      </c>
      <c r="S1315" s="6">
        <v>1183</v>
      </c>
      <c r="T1315" s="6">
        <v>1735</v>
      </c>
      <c r="U1315" s="6">
        <v>1509</v>
      </c>
      <c r="V1315">
        <v>976</v>
      </c>
      <c r="W1315" s="6">
        <v>1150</v>
      </c>
      <c r="X1315" s="6">
        <v>1617</v>
      </c>
      <c r="Y1315" s="6">
        <v>1421</v>
      </c>
      <c r="Z1315" s="6">
        <v>1277</v>
      </c>
      <c r="AA1315" s="6">
        <v>1090</v>
      </c>
      <c r="AB1315" s="6">
        <v>1582</v>
      </c>
      <c r="AC1315" s="6">
        <v>1609</v>
      </c>
      <c r="AD1315">
        <v>718</v>
      </c>
      <c r="AE1315">
        <v>730</v>
      </c>
      <c r="AF1315">
        <v>629</v>
      </c>
      <c r="AG1315">
        <v>608</v>
      </c>
    </row>
    <row r="1316" spans="1:33" x14ac:dyDescent="0.35">
      <c r="A1316" t="s">
        <v>1242</v>
      </c>
      <c r="B1316" s="3">
        <v>0</v>
      </c>
      <c r="C1316" s="3">
        <v>0.80700000000000005</v>
      </c>
      <c r="D1316" s="3">
        <v>0.82499999999999996</v>
      </c>
      <c r="E1316" s="3">
        <v>0</v>
      </c>
      <c r="F1316" s="3">
        <v>0</v>
      </c>
      <c r="G1316" s="3">
        <v>1E-3</v>
      </c>
      <c r="H1316" s="3">
        <v>5.0000000000000001E-3</v>
      </c>
      <c r="I1316" s="3">
        <v>2E-3</v>
      </c>
      <c r="J1316" s="3">
        <v>3.0000000000000001E-3</v>
      </c>
      <c r="K1316" s="3">
        <v>0.35899999999999999</v>
      </c>
      <c r="L1316" s="3">
        <v>0.47499999999999998</v>
      </c>
      <c r="M1316" s="3">
        <v>0</v>
      </c>
      <c r="N1316" s="3">
        <v>0</v>
      </c>
      <c r="O1316" s="3">
        <v>0</v>
      </c>
      <c r="P1316" s="3">
        <v>0</v>
      </c>
      <c r="Q1316" s="3">
        <v>0</v>
      </c>
      <c r="R1316" s="3">
        <v>0</v>
      </c>
      <c r="S1316" s="3">
        <v>0</v>
      </c>
      <c r="T1316" s="3">
        <v>0.47499999999999998</v>
      </c>
      <c r="U1316" s="3">
        <v>0.38800000000000001</v>
      </c>
      <c r="V1316" s="3">
        <v>0</v>
      </c>
      <c r="W1316" s="3">
        <v>0</v>
      </c>
      <c r="X1316" s="3">
        <v>3.4000000000000002E-2</v>
      </c>
      <c r="Y1316" s="3">
        <v>2.4E-2</v>
      </c>
      <c r="Z1316" s="3">
        <v>1.0999999999999999E-2</v>
      </c>
      <c r="AA1316" s="3">
        <v>0</v>
      </c>
      <c r="AB1316" s="3">
        <v>0.505</v>
      </c>
      <c r="AC1316" s="3">
        <v>0.55100000000000005</v>
      </c>
      <c r="AD1316" s="3">
        <v>1E-3</v>
      </c>
      <c r="AE1316" s="3">
        <v>0</v>
      </c>
      <c r="AF1316" s="3">
        <v>0</v>
      </c>
      <c r="AG1316" s="3">
        <v>7.0000000000000001E-3</v>
      </c>
    </row>
    <row r="1317" spans="1:33" ht="15" thickBot="1" x14ac:dyDescent="0.4">
      <c r="A1317" t="s">
        <v>1243</v>
      </c>
      <c r="B1317">
        <v>0</v>
      </c>
      <c r="C1317">
        <v>860</v>
      </c>
      <c r="D1317">
        <v>932</v>
      </c>
      <c r="E1317">
        <v>0</v>
      </c>
      <c r="F1317">
        <v>0</v>
      </c>
      <c r="G1317">
        <v>1</v>
      </c>
      <c r="H1317">
        <v>6</v>
      </c>
      <c r="I1317">
        <v>2</v>
      </c>
      <c r="J1317">
        <v>4</v>
      </c>
      <c r="K1317">
        <v>437</v>
      </c>
      <c r="L1317">
        <v>577</v>
      </c>
      <c r="M1317">
        <v>0</v>
      </c>
      <c r="N1317">
        <v>0</v>
      </c>
      <c r="O1317">
        <v>0</v>
      </c>
      <c r="P1317">
        <v>0</v>
      </c>
      <c r="Q1317">
        <v>0</v>
      </c>
      <c r="R1317">
        <v>0</v>
      </c>
      <c r="S1317">
        <v>0</v>
      </c>
      <c r="T1317">
        <v>559</v>
      </c>
      <c r="U1317">
        <v>422</v>
      </c>
      <c r="V1317">
        <v>0</v>
      </c>
      <c r="W1317">
        <v>0</v>
      </c>
      <c r="X1317">
        <v>54</v>
      </c>
      <c r="Y1317">
        <v>33</v>
      </c>
      <c r="Z1317">
        <v>14</v>
      </c>
      <c r="AA1317">
        <v>0</v>
      </c>
      <c r="AB1317">
        <v>531</v>
      </c>
      <c r="AC1317">
        <v>572</v>
      </c>
      <c r="AD1317">
        <v>1</v>
      </c>
      <c r="AE1317">
        <v>0</v>
      </c>
      <c r="AF1317">
        <v>0</v>
      </c>
      <c r="AG1317">
        <v>4</v>
      </c>
    </row>
    <row r="1318" spans="1:33" ht="15.5" thickTop="1" thickBot="1" x14ac:dyDescent="0.4">
      <c r="A1318" t="s">
        <v>1244</v>
      </c>
      <c r="B1318">
        <v>998</v>
      </c>
      <c r="C1318" s="6">
        <v>1066</v>
      </c>
      <c r="D1318" s="6">
        <v>1130</v>
      </c>
      <c r="E1318" s="6">
        <v>1604</v>
      </c>
      <c r="F1318" s="6">
        <v>1606</v>
      </c>
      <c r="G1318" s="6">
        <v>1287</v>
      </c>
      <c r="H1318" s="6">
        <v>1209</v>
      </c>
      <c r="I1318" s="6">
        <v>1198</v>
      </c>
      <c r="J1318" s="6">
        <v>1305</v>
      </c>
      <c r="K1318" s="6">
        <v>1218</v>
      </c>
      <c r="L1318" s="6">
        <v>1216</v>
      </c>
      <c r="M1318" s="6">
        <v>1419</v>
      </c>
      <c r="N1318" s="6">
        <v>1232</v>
      </c>
      <c r="O1318" s="6">
        <v>1330</v>
      </c>
      <c r="P1318" s="6">
        <v>1287</v>
      </c>
      <c r="Q1318" s="6">
        <v>1316</v>
      </c>
      <c r="R1318" s="6">
        <v>1313</v>
      </c>
      <c r="S1318" s="6">
        <v>1183</v>
      </c>
      <c r="T1318" s="165">
        <v>1176</v>
      </c>
      <c r="U1318" s="165">
        <v>1088</v>
      </c>
      <c r="V1318">
        <v>976</v>
      </c>
      <c r="W1318" s="6">
        <v>1150</v>
      </c>
      <c r="X1318" s="6">
        <v>1564</v>
      </c>
      <c r="Y1318" s="6">
        <v>1388</v>
      </c>
      <c r="Z1318" s="6">
        <v>1263</v>
      </c>
      <c r="AA1318" s="6">
        <v>1090</v>
      </c>
      <c r="AB1318" s="6">
        <v>1051</v>
      </c>
      <c r="AC1318" s="6">
        <v>1037</v>
      </c>
      <c r="AD1318">
        <v>717</v>
      </c>
      <c r="AE1318">
        <v>730</v>
      </c>
      <c r="AF1318">
        <v>629</v>
      </c>
      <c r="AG1318">
        <v>604</v>
      </c>
    </row>
    <row r="1319" spans="1:33" ht="15" thickTop="1" x14ac:dyDescent="0.35">
      <c r="A1319" t="s">
        <v>1245</v>
      </c>
      <c r="B1319" s="7">
        <v>2.99</v>
      </c>
      <c r="C1319" s="7">
        <v>2.1800000000000002</v>
      </c>
      <c r="D1319" s="7">
        <v>2.2000000000000002</v>
      </c>
      <c r="E1319" s="7">
        <v>2.99</v>
      </c>
      <c r="F1319" s="7">
        <v>2.99</v>
      </c>
      <c r="G1319" s="7">
        <v>2.99</v>
      </c>
      <c r="H1319" s="7">
        <v>2.99</v>
      </c>
      <c r="I1319" s="7">
        <v>2.99</v>
      </c>
      <c r="J1319" s="7">
        <v>2.99</v>
      </c>
      <c r="K1319" s="7">
        <v>2.63</v>
      </c>
      <c r="L1319" s="7">
        <v>2.59</v>
      </c>
      <c r="M1319" s="7">
        <v>2.98</v>
      </c>
      <c r="N1319" s="7">
        <v>2.99</v>
      </c>
      <c r="O1319" s="7">
        <v>2.99</v>
      </c>
      <c r="P1319" s="7">
        <v>2.99</v>
      </c>
      <c r="Q1319" s="7">
        <v>2.99</v>
      </c>
      <c r="R1319" s="7">
        <v>2.99</v>
      </c>
      <c r="S1319" s="7">
        <v>2.99</v>
      </c>
      <c r="T1319" s="7">
        <v>2.4900000000000002</v>
      </c>
      <c r="U1319" s="7">
        <v>2.44</v>
      </c>
      <c r="V1319" s="7">
        <v>2.99</v>
      </c>
      <c r="W1319" s="7">
        <v>2.93</v>
      </c>
      <c r="X1319" s="7">
        <v>2.79</v>
      </c>
      <c r="Y1319" s="7">
        <v>2.83</v>
      </c>
      <c r="Z1319" s="7">
        <v>2.86</v>
      </c>
      <c r="AA1319" s="7">
        <v>2.92</v>
      </c>
      <c r="AB1319" s="7">
        <v>2.17</v>
      </c>
      <c r="AC1319" s="7">
        <v>2.19</v>
      </c>
      <c r="AD1319" s="7">
        <v>2.95</v>
      </c>
      <c r="AE1319" s="7">
        <v>2.97</v>
      </c>
      <c r="AF1319" s="7">
        <v>2.96</v>
      </c>
      <c r="AG1319" s="7">
        <v>2.96</v>
      </c>
    </row>
    <row r="1320" spans="1:33" x14ac:dyDescent="0.35">
      <c r="C1320" s="6">
        <f>SUM(C1318:D1318)</f>
        <v>2196</v>
      </c>
      <c r="D1320">
        <f>SUM(C1317:D1317)</f>
        <v>1792</v>
      </c>
      <c r="K1320" s="6">
        <f>SUM(K1318:L1318)</f>
        <v>2434</v>
      </c>
      <c r="L1320">
        <f>SUM(K1317:L1317)</f>
        <v>1014</v>
      </c>
      <c r="T1320" s="6">
        <f>SUM(T1318:U1318)</f>
        <v>2264</v>
      </c>
      <c r="U1320">
        <f>SUM(T1317:U1317)</f>
        <v>981</v>
      </c>
      <c r="AB1320" s="6">
        <f>SUM(AB1318:AC1318)</f>
        <v>2088</v>
      </c>
      <c r="AC1320">
        <f>SUM(AB1317:AC1317)</f>
        <v>1103</v>
      </c>
    </row>
    <row r="1322" spans="1:33" x14ac:dyDescent="0.35">
      <c r="A1322" t="s">
        <v>1240</v>
      </c>
      <c r="B1322" s="5">
        <v>46026</v>
      </c>
      <c r="C1322" s="128">
        <v>46033</v>
      </c>
      <c r="D1322" s="128">
        <v>46040</v>
      </c>
      <c r="E1322" s="5">
        <v>46047</v>
      </c>
      <c r="F1322" s="5">
        <v>46054</v>
      </c>
      <c r="G1322" s="5">
        <v>46061</v>
      </c>
      <c r="H1322" s="5">
        <v>46068</v>
      </c>
      <c r="I1322" s="5">
        <v>46075</v>
      </c>
      <c r="J1322" s="5">
        <v>46082</v>
      </c>
      <c r="K1322" s="128">
        <v>46089</v>
      </c>
      <c r="L1322" s="128">
        <v>46096</v>
      </c>
      <c r="M1322" s="5">
        <v>46103</v>
      </c>
      <c r="N1322" s="5">
        <v>46110</v>
      </c>
      <c r="O1322" s="5">
        <v>46117</v>
      </c>
      <c r="P1322" s="5">
        <v>46124</v>
      </c>
      <c r="Q1322" s="5">
        <v>46131</v>
      </c>
      <c r="R1322" s="5">
        <v>46138</v>
      </c>
      <c r="S1322" s="5">
        <v>46145</v>
      </c>
      <c r="T1322" s="5">
        <v>46152</v>
      </c>
      <c r="U1322" s="5">
        <v>46159</v>
      </c>
      <c r="V1322" s="5">
        <v>46166</v>
      </c>
      <c r="W1322" s="5">
        <v>46173</v>
      </c>
      <c r="X1322" s="5">
        <v>46180</v>
      </c>
      <c r="Y1322" s="5">
        <v>46187</v>
      </c>
      <c r="Z1322" s="5">
        <v>46194</v>
      </c>
      <c r="AA1322" s="5">
        <v>46201</v>
      </c>
      <c r="AB1322" s="128">
        <v>46208</v>
      </c>
      <c r="AC1322" s="128">
        <v>46215</v>
      </c>
      <c r="AD1322" s="5">
        <v>46222</v>
      </c>
      <c r="AE1322" s="5">
        <v>46229</v>
      </c>
      <c r="AF1322" s="5">
        <v>46236</v>
      </c>
      <c r="AG1322" s="5">
        <v>46243</v>
      </c>
    </row>
    <row r="1323" spans="1:33" x14ac:dyDescent="0.35">
      <c r="A1323" t="s">
        <v>1242</v>
      </c>
      <c r="B1323" s="3">
        <v>0</v>
      </c>
      <c r="C1323" s="3">
        <v>0.80700000000000005</v>
      </c>
      <c r="D1323" s="3">
        <v>0.82499999999999996</v>
      </c>
      <c r="E1323" s="3">
        <v>0</v>
      </c>
      <c r="F1323" s="3">
        <v>0</v>
      </c>
      <c r="G1323" s="3">
        <v>1E-3</v>
      </c>
      <c r="H1323" s="3">
        <v>5.0000000000000001E-3</v>
      </c>
      <c r="I1323" s="3">
        <v>2E-3</v>
      </c>
      <c r="J1323" s="3">
        <v>3.0000000000000001E-3</v>
      </c>
      <c r="K1323" s="3">
        <v>0.35899999999999999</v>
      </c>
      <c r="L1323" s="3">
        <v>0.47499999999999998</v>
      </c>
      <c r="M1323" s="3">
        <v>0</v>
      </c>
      <c r="N1323" s="3">
        <v>0</v>
      </c>
      <c r="O1323" s="3">
        <v>0</v>
      </c>
      <c r="P1323" s="3">
        <v>0</v>
      </c>
      <c r="Q1323" s="3">
        <v>0</v>
      </c>
      <c r="R1323" s="3">
        <v>0</v>
      </c>
      <c r="S1323" s="3">
        <v>0</v>
      </c>
      <c r="T1323" s="3">
        <v>0.47499999999999998</v>
      </c>
      <c r="U1323" s="3">
        <v>0.38800000000000001</v>
      </c>
      <c r="V1323" s="3">
        <v>0</v>
      </c>
      <c r="W1323" s="3">
        <v>0</v>
      </c>
      <c r="X1323" s="3">
        <v>3.4000000000000002E-2</v>
      </c>
      <c r="Y1323" s="3">
        <v>2.4E-2</v>
      </c>
      <c r="Z1323" s="3">
        <v>1.0999999999999999E-2</v>
      </c>
      <c r="AA1323" s="3">
        <v>0</v>
      </c>
      <c r="AB1323" s="3">
        <v>0.505</v>
      </c>
      <c r="AC1323" s="3">
        <v>0.55100000000000005</v>
      </c>
      <c r="AD1323" s="3">
        <v>1E-3</v>
      </c>
      <c r="AE1323" s="3">
        <v>0</v>
      </c>
      <c r="AF1323" s="3">
        <v>0</v>
      </c>
      <c r="AG1323" s="3">
        <v>7.0000000000000001E-3</v>
      </c>
    </row>
    <row r="1324" spans="1:33" x14ac:dyDescent="0.35">
      <c r="A1324" t="s">
        <v>1247</v>
      </c>
      <c r="B1324" t="s">
        <v>1272</v>
      </c>
      <c r="C1324" s="3">
        <v>0.245</v>
      </c>
      <c r="D1324" s="3">
        <v>0.24299999999999999</v>
      </c>
      <c r="E1324" t="s">
        <v>1272</v>
      </c>
      <c r="F1324" t="s">
        <v>1272</v>
      </c>
      <c r="G1324" s="3">
        <v>0.23400000000000001</v>
      </c>
      <c r="H1324" s="3">
        <v>0.14899999999999999</v>
      </c>
      <c r="I1324" s="3">
        <v>0.23400000000000001</v>
      </c>
      <c r="J1324" s="3">
        <v>0.16400000000000001</v>
      </c>
      <c r="K1324" s="3">
        <v>0.10299999999999999</v>
      </c>
      <c r="L1324" s="3">
        <v>9.0999999999999998E-2</v>
      </c>
      <c r="M1324" t="s">
        <v>1272</v>
      </c>
      <c r="N1324" t="s">
        <v>1272</v>
      </c>
      <c r="O1324" t="s">
        <v>1272</v>
      </c>
      <c r="P1324" t="s">
        <v>1272</v>
      </c>
      <c r="Q1324" t="s">
        <v>1272</v>
      </c>
      <c r="R1324" t="s">
        <v>1272</v>
      </c>
      <c r="S1324" t="s">
        <v>1272</v>
      </c>
      <c r="T1324" s="3">
        <v>0.128</v>
      </c>
      <c r="U1324" s="3">
        <v>0.151</v>
      </c>
      <c r="V1324" t="s">
        <v>1272</v>
      </c>
      <c r="W1324" t="s">
        <v>1272</v>
      </c>
      <c r="X1324" s="3">
        <v>9.6000000000000002E-2</v>
      </c>
      <c r="Y1324" s="3">
        <v>0.11600000000000001</v>
      </c>
      <c r="Z1324" s="3">
        <v>0.122</v>
      </c>
      <c r="AA1324" s="3">
        <v>0.14299999999999999</v>
      </c>
      <c r="AB1324" s="3">
        <v>0.20200000000000001</v>
      </c>
      <c r="AC1324" s="3">
        <v>0.19800000000000001</v>
      </c>
      <c r="AD1324" s="3">
        <v>0.154</v>
      </c>
      <c r="AE1324" s="3">
        <v>0.157</v>
      </c>
      <c r="AF1324" s="3">
        <v>0.19600000000000001</v>
      </c>
      <c r="AG1324" s="3">
        <v>7.0000000000000007E-2</v>
      </c>
    </row>
    <row r="1325" spans="1:33" x14ac:dyDescent="0.35">
      <c r="A1325" t="s">
        <v>1248</v>
      </c>
      <c r="B1325" t="s">
        <v>1272</v>
      </c>
      <c r="C1325" s="7">
        <v>0.69</v>
      </c>
      <c r="D1325" s="7">
        <v>0.68</v>
      </c>
      <c r="E1325" t="s">
        <v>1272</v>
      </c>
      <c r="F1325" t="s">
        <v>1272</v>
      </c>
      <c r="G1325" s="7">
        <v>0.7</v>
      </c>
      <c r="H1325" s="7">
        <v>0.44</v>
      </c>
      <c r="I1325" s="7">
        <v>0.7</v>
      </c>
      <c r="J1325" s="7">
        <v>0.49</v>
      </c>
      <c r="K1325" s="7">
        <v>0.28999999999999998</v>
      </c>
      <c r="L1325" s="7">
        <v>0.26</v>
      </c>
      <c r="M1325" t="s">
        <v>1272</v>
      </c>
      <c r="N1325" t="s">
        <v>1272</v>
      </c>
      <c r="O1325" t="s">
        <v>1272</v>
      </c>
      <c r="P1325" t="s">
        <v>1272</v>
      </c>
      <c r="Q1325" t="s">
        <v>1272</v>
      </c>
      <c r="R1325" t="s">
        <v>1272</v>
      </c>
      <c r="S1325" t="s">
        <v>1272</v>
      </c>
      <c r="T1325" s="7">
        <v>0.36</v>
      </c>
      <c r="U1325" s="7">
        <v>0.43</v>
      </c>
      <c r="V1325" t="s">
        <v>1272</v>
      </c>
      <c r="W1325" t="s">
        <v>1272</v>
      </c>
      <c r="X1325" s="7">
        <v>0.27</v>
      </c>
      <c r="Y1325" s="7">
        <v>0.33</v>
      </c>
      <c r="Z1325" s="7">
        <v>0.35</v>
      </c>
      <c r="AA1325" s="7">
        <v>0.42</v>
      </c>
      <c r="AB1325" s="7">
        <v>0.54</v>
      </c>
      <c r="AC1325" s="7">
        <v>0.53</v>
      </c>
      <c r="AD1325" s="7">
        <v>0.45</v>
      </c>
      <c r="AE1325" s="7">
        <v>0.47</v>
      </c>
      <c r="AF1325" s="7">
        <v>0.57999999999999996</v>
      </c>
      <c r="AG1325" s="7">
        <v>0.21</v>
      </c>
    </row>
    <row r="1326" spans="1:33" x14ac:dyDescent="0.35">
      <c r="A1326" t="s">
        <v>1249</v>
      </c>
      <c r="B1326" t="s">
        <v>1272</v>
      </c>
      <c r="C1326" s="7">
        <v>2.15</v>
      </c>
      <c r="D1326" s="7">
        <v>2.13</v>
      </c>
      <c r="E1326" t="s">
        <v>1272</v>
      </c>
      <c r="F1326" t="s">
        <v>1272</v>
      </c>
      <c r="G1326" s="7">
        <v>2.29</v>
      </c>
      <c r="H1326" s="7">
        <v>2.54</v>
      </c>
      <c r="I1326" s="7">
        <v>2.29</v>
      </c>
      <c r="J1326" s="7">
        <v>2.5</v>
      </c>
      <c r="K1326" s="129">
        <v>2.56</v>
      </c>
      <c r="L1326" s="129">
        <v>2.58</v>
      </c>
      <c r="M1326" t="s">
        <v>1272</v>
      </c>
      <c r="N1326" t="s">
        <v>1272</v>
      </c>
      <c r="O1326" t="s">
        <v>1272</v>
      </c>
      <c r="P1326" t="s">
        <v>1272</v>
      </c>
      <c r="Q1326" t="s">
        <v>1272</v>
      </c>
      <c r="R1326" t="s">
        <v>1272</v>
      </c>
      <c r="S1326" t="s">
        <v>1272</v>
      </c>
      <c r="T1326" s="7">
        <v>2.4700000000000002</v>
      </c>
      <c r="U1326" s="7">
        <v>2.39</v>
      </c>
      <c r="V1326" t="s">
        <v>1272</v>
      </c>
      <c r="W1326" t="s">
        <v>1272</v>
      </c>
      <c r="X1326" s="7">
        <v>2.5499999999999998</v>
      </c>
      <c r="Y1326" s="7">
        <v>2.52</v>
      </c>
      <c r="Z1326" s="7">
        <v>2.52</v>
      </c>
      <c r="AA1326" s="7">
        <v>2.5</v>
      </c>
      <c r="AB1326" s="129">
        <v>2.12</v>
      </c>
      <c r="AC1326" s="129">
        <v>2.13</v>
      </c>
      <c r="AD1326" s="7">
        <v>2.5</v>
      </c>
      <c r="AE1326" s="7">
        <v>2.5</v>
      </c>
      <c r="AF1326" s="7">
        <v>2.38</v>
      </c>
      <c r="AG1326" s="7">
        <v>2.76</v>
      </c>
    </row>
    <row r="1327" spans="1:33" x14ac:dyDescent="0.35">
      <c r="A1327" t="s">
        <v>1250</v>
      </c>
      <c r="B1327" s="7">
        <v>2.99</v>
      </c>
      <c r="C1327" s="7">
        <v>2.84</v>
      </c>
      <c r="D1327" s="7">
        <v>2.82</v>
      </c>
      <c r="E1327" s="7">
        <v>2.99</v>
      </c>
      <c r="F1327" s="7">
        <v>2.99</v>
      </c>
      <c r="G1327" s="7">
        <v>2.99</v>
      </c>
      <c r="H1327" s="7">
        <v>2.99</v>
      </c>
      <c r="I1327" s="7">
        <v>2.99</v>
      </c>
      <c r="J1327" s="7">
        <v>2.99</v>
      </c>
      <c r="K1327" s="7">
        <v>2.85</v>
      </c>
      <c r="L1327" s="7">
        <v>2.84</v>
      </c>
      <c r="M1327" s="7">
        <v>2.98</v>
      </c>
      <c r="N1327" s="7">
        <v>2.99</v>
      </c>
      <c r="O1327" s="7">
        <v>2.99</v>
      </c>
      <c r="P1327" s="7">
        <v>2.99</v>
      </c>
      <c r="Q1327" s="7">
        <v>2.99</v>
      </c>
      <c r="R1327" s="7">
        <v>2.99</v>
      </c>
      <c r="S1327" s="7">
        <v>2.99</v>
      </c>
      <c r="T1327" s="7">
        <v>2.84</v>
      </c>
      <c r="U1327" s="7">
        <v>2.81</v>
      </c>
      <c r="V1327" s="7">
        <v>2.99</v>
      </c>
      <c r="W1327" s="7">
        <v>2.93</v>
      </c>
      <c r="X1327" s="7">
        <v>2.82</v>
      </c>
      <c r="Y1327" s="7">
        <v>2.85</v>
      </c>
      <c r="Z1327" s="7">
        <v>2.87</v>
      </c>
      <c r="AA1327" s="7">
        <v>2.92</v>
      </c>
      <c r="AB1327" s="7">
        <v>2.66</v>
      </c>
      <c r="AC1327" s="7">
        <v>2.65</v>
      </c>
      <c r="AD1327" s="7">
        <v>2.95</v>
      </c>
      <c r="AE1327" s="7">
        <v>2.97</v>
      </c>
      <c r="AF1327" s="7">
        <v>2.96</v>
      </c>
      <c r="AG1327" s="7">
        <v>2.97</v>
      </c>
    </row>
    <row r="1328" spans="1:33" x14ac:dyDescent="0.35">
      <c r="A1328" t="s">
        <v>1245</v>
      </c>
      <c r="B1328" s="7">
        <v>2.99</v>
      </c>
      <c r="C1328" s="7">
        <v>2.1800000000000002</v>
      </c>
      <c r="D1328" s="7">
        <v>2.2000000000000002</v>
      </c>
      <c r="E1328" s="7">
        <v>2.99</v>
      </c>
      <c r="F1328" s="7">
        <v>2.99</v>
      </c>
      <c r="G1328" s="7">
        <v>2.99</v>
      </c>
      <c r="H1328" s="7">
        <v>2.99</v>
      </c>
      <c r="I1328" s="7">
        <v>2.99</v>
      </c>
      <c r="J1328" s="7">
        <v>2.99</v>
      </c>
      <c r="K1328" s="7">
        <v>2.63</v>
      </c>
      <c r="L1328" s="7">
        <v>2.59</v>
      </c>
      <c r="M1328" s="7">
        <v>2.98</v>
      </c>
      <c r="N1328" s="7">
        <v>2.99</v>
      </c>
      <c r="O1328" s="7">
        <v>2.99</v>
      </c>
      <c r="P1328" s="7">
        <v>2.99</v>
      </c>
      <c r="Q1328" s="7">
        <v>2.99</v>
      </c>
      <c r="R1328" s="7">
        <v>2.99</v>
      </c>
      <c r="S1328" s="7">
        <v>2.99</v>
      </c>
      <c r="T1328" s="7">
        <v>2.4900000000000002</v>
      </c>
      <c r="U1328" s="7">
        <v>2.44</v>
      </c>
      <c r="V1328" s="7">
        <v>2.99</v>
      </c>
      <c r="W1328" s="7">
        <v>2.93</v>
      </c>
      <c r="X1328" s="7">
        <v>2.79</v>
      </c>
      <c r="Y1328" s="7">
        <v>2.83</v>
      </c>
      <c r="Z1328" s="7">
        <v>2.86</v>
      </c>
      <c r="AA1328" s="7">
        <v>2.92</v>
      </c>
      <c r="AB1328" s="7">
        <v>2.17</v>
      </c>
      <c r="AC1328" s="7">
        <v>2.19</v>
      </c>
      <c r="AD1328" s="7">
        <v>2.95</v>
      </c>
      <c r="AE1328" s="7">
        <v>2.97</v>
      </c>
      <c r="AF1328" s="7">
        <v>2.96</v>
      </c>
      <c r="AG1328" s="7">
        <v>2.96</v>
      </c>
    </row>
    <row r="1331" spans="1:12" x14ac:dyDescent="0.35">
      <c r="A1331" t="s">
        <v>1254</v>
      </c>
      <c r="B1331" s="5">
        <v>46173</v>
      </c>
      <c r="C1331" s="5">
        <v>46180</v>
      </c>
      <c r="D1331" s="5">
        <v>46187</v>
      </c>
      <c r="E1331" s="5">
        <v>46194</v>
      </c>
      <c r="F1331" s="5">
        <v>46201</v>
      </c>
      <c r="G1331" s="5">
        <v>46208</v>
      </c>
      <c r="H1331" s="5">
        <v>46215</v>
      </c>
      <c r="I1331" s="5">
        <v>46222</v>
      </c>
      <c r="J1331" s="5">
        <v>46229</v>
      </c>
      <c r="K1331" s="5">
        <v>46236</v>
      </c>
      <c r="L1331" s="5">
        <v>46243</v>
      </c>
    </row>
    <row r="1332" spans="1:12" x14ac:dyDescent="0.35">
      <c r="A1332" t="s">
        <v>1241</v>
      </c>
      <c r="B1332">
        <v>54</v>
      </c>
      <c r="C1332">
        <v>139</v>
      </c>
      <c r="D1332">
        <v>197</v>
      </c>
      <c r="E1332">
        <v>218</v>
      </c>
      <c r="F1332">
        <v>233</v>
      </c>
      <c r="G1332">
        <v>208</v>
      </c>
      <c r="H1332">
        <v>246</v>
      </c>
      <c r="I1332">
        <v>283</v>
      </c>
      <c r="J1332">
        <v>336</v>
      </c>
      <c r="K1332">
        <v>306</v>
      </c>
      <c r="L1332">
        <v>375</v>
      </c>
    </row>
    <row r="1333" spans="1:12" x14ac:dyDescent="0.35">
      <c r="A1333" t="s">
        <v>1242</v>
      </c>
      <c r="B1333" s="3">
        <v>0</v>
      </c>
      <c r="C1333" s="3">
        <v>0</v>
      </c>
      <c r="D1333" s="3">
        <v>0</v>
      </c>
      <c r="E1333" s="3">
        <v>0</v>
      </c>
      <c r="F1333" s="3">
        <v>0</v>
      </c>
      <c r="G1333" s="3">
        <v>0</v>
      </c>
      <c r="H1333" s="3">
        <v>8.0000000000000002E-3</v>
      </c>
      <c r="I1333" s="3">
        <v>0</v>
      </c>
      <c r="J1333" s="3">
        <v>0</v>
      </c>
      <c r="K1333" s="3">
        <v>0</v>
      </c>
      <c r="L1333" s="3">
        <v>0.26100000000000001</v>
      </c>
    </row>
    <row r="1334" spans="1:12" x14ac:dyDescent="0.35">
      <c r="A1334" t="s">
        <v>1243</v>
      </c>
      <c r="B1334">
        <v>0</v>
      </c>
      <c r="C1334">
        <v>0</v>
      </c>
      <c r="D1334">
        <v>0</v>
      </c>
      <c r="E1334">
        <v>0</v>
      </c>
      <c r="F1334">
        <v>0</v>
      </c>
      <c r="G1334">
        <v>0</v>
      </c>
      <c r="H1334">
        <v>2</v>
      </c>
      <c r="I1334">
        <v>0</v>
      </c>
      <c r="J1334">
        <v>0</v>
      </c>
      <c r="K1334">
        <v>0</v>
      </c>
      <c r="L1334">
        <v>78</v>
      </c>
    </row>
    <row r="1335" spans="1:12" x14ac:dyDescent="0.35">
      <c r="A1335" t="s">
        <v>1244</v>
      </c>
      <c r="B1335">
        <v>54</v>
      </c>
      <c r="C1335">
        <v>139</v>
      </c>
      <c r="D1335">
        <v>197</v>
      </c>
      <c r="E1335">
        <v>218</v>
      </c>
      <c r="F1335">
        <v>233</v>
      </c>
      <c r="G1335">
        <v>208</v>
      </c>
      <c r="H1335">
        <v>244</v>
      </c>
      <c r="I1335">
        <v>283</v>
      </c>
      <c r="J1335">
        <v>336</v>
      </c>
      <c r="K1335">
        <v>306</v>
      </c>
      <c r="L1335">
        <v>298</v>
      </c>
    </row>
    <row r="1336" spans="1:12" x14ac:dyDescent="0.35">
      <c r="A1336" t="s">
        <v>1245</v>
      </c>
      <c r="B1336" s="7">
        <v>9.99</v>
      </c>
      <c r="C1336" s="7">
        <v>9.99</v>
      </c>
      <c r="D1336" s="7">
        <v>9.99</v>
      </c>
      <c r="E1336" s="7">
        <v>9.99</v>
      </c>
      <c r="F1336" s="7">
        <v>9.99</v>
      </c>
      <c r="G1336" s="7">
        <v>9.98</v>
      </c>
      <c r="H1336" s="7">
        <v>9.9700000000000006</v>
      </c>
      <c r="I1336" s="7">
        <v>9.99</v>
      </c>
      <c r="J1336" s="7">
        <v>9.99</v>
      </c>
      <c r="K1336" s="7">
        <v>9.99</v>
      </c>
      <c r="L1336" s="7">
        <v>9.17</v>
      </c>
    </row>
    <row r="1339" spans="1:12" x14ac:dyDescent="0.35">
      <c r="A1339" t="s">
        <v>1254</v>
      </c>
      <c r="B1339" s="5">
        <v>46173</v>
      </c>
      <c r="C1339" s="5">
        <v>46180</v>
      </c>
      <c r="D1339" s="5">
        <v>46187</v>
      </c>
      <c r="E1339" s="5">
        <v>46194</v>
      </c>
      <c r="F1339" s="5">
        <v>46201</v>
      </c>
      <c r="G1339" s="5">
        <v>46208</v>
      </c>
      <c r="H1339" s="5">
        <v>46215</v>
      </c>
      <c r="I1339" s="5">
        <v>46222</v>
      </c>
      <c r="J1339" s="5">
        <v>46229</v>
      </c>
      <c r="K1339" s="5">
        <v>46236</v>
      </c>
      <c r="L1339" s="5">
        <v>46243</v>
      </c>
    </row>
    <row r="1340" spans="1:12" x14ac:dyDescent="0.35">
      <c r="A1340" t="s">
        <v>1242</v>
      </c>
      <c r="B1340" s="3">
        <v>0</v>
      </c>
      <c r="C1340" s="3">
        <v>0</v>
      </c>
      <c r="D1340" s="3">
        <v>0</v>
      </c>
      <c r="E1340" s="3">
        <v>0</v>
      </c>
      <c r="F1340" s="3">
        <v>0</v>
      </c>
      <c r="G1340" s="3">
        <v>0</v>
      </c>
      <c r="H1340" s="3">
        <v>8.0000000000000002E-3</v>
      </c>
      <c r="I1340" s="3">
        <v>0</v>
      </c>
      <c r="J1340" s="3">
        <v>0</v>
      </c>
      <c r="K1340" s="3">
        <v>0</v>
      </c>
      <c r="L1340" s="3">
        <v>0.26100000000000001</v>
      </c>
    </row>
    <row r="1341" spans="1:12" x14ac:dyDescent="0.35">
      <c r="A1341" t="s">
        <v>1247</v>
      </c>
      <c r="B1341" t="s">
        <v>1272</v>
      </c>
      <c r="C1341" t="s">
        <v>1272</v>
      </c>
      <c r="D1341" t="s">
        <v>1272</v>
      </c>
      <c r="E1341" t="s">
        <v>1272</v>
      </c>
      <c r="F1341" t="s">
        <v>1272</v>
      </c>
      <c r="G1341" s="3">
        <v>0.19900000000000001</v>
      </c>
      <c r="H1341" s="3">
        <v>0.2</v>
      </c>
      <c r="I1341" t="s">
        <v>1272</v>
      </c>
      <c r="J1341" t="s">
        <v>1272</v>
      </c>
      <c r="K1341" t="s">
        <v>1272</v>
      </c>
      <c r="L1341" s="3">
        <v>4.8000000000000001E-2</v>
      </c>
    </row>
    <row r="1342" spans="1:12" x14ac:dyDescent="0.35">
      <c r="A1342" t="s">
        <v>1248</v>
      </c>
      <c r="B1342" t="s">
        <v>1272</v>
      </c>
      <c r="C1342" t="s">
        <v>1272</v>
      </c>
      <c r="D1342" t="s">
        <v>1272</v>
      </c>
      <c r="E1342" t="s">
        <v>1272</v>
      </c>
      <c r="F1342" t="s">
        <v>1272</v>
      </c>
      <c r="G1342" s="7">
        <v>1.99</v>
      </c>
      <c r="H1342" s="7">
        <v>2</v>
      </c>
      <c r="I1342" t="s">
        <v>1272</v>
      </c>
      <c r="J1342" t="s">
        <v>1272</v>
      </c>
      <c r="K1342" t="s">
        <v>1272</v>
      </c>
      <c r="L1342" s="7">
        <v>0.46</v>
      </c>
    </row>
    <row r="1343" spans="1:12" x14ac:dyDescent="0.35">
      <c r="A1343" t="s">
        <v>1249</v>
      </c>
      <c r="B1343" t="s">
        <v>1272</v>
      </c>
      <c r="C1343" t="s">
        <v>1272</v>
      </c>
      <c r="D1343" t="s">
        <v>1272</v>
      </c>
      <c r="E1343" t="s">
        <v>1272</v>
      </c>
      <c r="F1343" t="s">
        <v>1272</v>
      </c>
      <c r="G1343" s="7">
        <v>7.99</v>
      </c>
      <c r="H1343" s="7">
        <v>7.99</v>
      </c>
      <c r="I1343" t="s">
        <v>1272</v>
      </c>
      <c r="J1343" t="s">
        <v>1272</v>
      </c>
      <c r="K1343" t="s">
        <v>1272</v>
      </c>
      <c r="L1343" s="7">
        <v>9.08</v>
      </c>
    </row>
    <row r="1344" spans="1:12" x14ac:dyDescent="0.35">
      <c r="A1344" t="s">
        <v>1250</v>
      </c>
      <c r="B1344" s="7">
        <v>9.99</v>
      </c>
      <c r="C1344" s="7">
        <v>9.99</v>
      </c>
      <c r="D1344" s="7">
        <v>9.99</v>
      </c>
      <c r="E1344" s="7">
        <v>9.99</v>
      </c>
      <c r="F1344" s="7">
        <v>9.99</v>
      </c>
      <c r="G1344" s="7">
        <v>9.98</v>
      </c>
      <c r="H1344" s="7">
        <v>9.99</v>
      </c>
      <c r="I1344" s="7">
        <v>9.99</v>
      </c>
      <c r="J1344" s="7">
        <v>9.99</v>
      </c>
      <c r="K1344" s="7">
        <v>9.99</v>
      </c>
      <c r="L1344" s="7">
        <v>9.5399999999999991</v>
      </c>
    </row>
    <row r="1345" spans="1:33" x14ac:dyDescent="0.35">
      <c r="A1345" t="s">
        <v>1245</v>
      </c>
      <c r="B1345" s="7">
        <v>9.99</v>
      </c>
      <c r="C1345" s="7">
        <v>9.99</v>
      </c>
      <c r="D1345" s="7">
        <v>9.99</v>
      </c>
      <c r="E1345" s="7">
        <v>9.99</v>
      </c>
      <c r="F1345" s="7">
        <v>9.99</v>
      </c>
      <c r="G1345" s="7">
        <v>9.98</v>
      </c>
      <c r="H1345" s="7">
        <v>9.9700000000000006</v>
      </c>
      <c r="I1345" s="7">
        <v>9.99</v>
      </c>
      <c r="J1345" s="7">
        <v>9.99</v>
      </c>
      <c r="K1345" s="7">
        <v>9.99</v>
      </c>
      <c r="L1345" s="7">
        <v>9.17</v>
      </c>
    </row>
    <row r="1346" spans="1:33" ht="15" thickBot="1" x14ac:dyDescent="0.4"/>
    <row r="1347" spans="1:33" s="164" customFormat="1" ht="15.5" thickTop="1" thickBot="1" x14ac:dyDescent="0.4"/>
    <row r="1348" spans="1:33" ht="15" thickTop="1" x14ac:dyDescent="0.35">
      <c r="A1348" t="s">
        <v>1580</v>
      </c>
    </row>
    <row r="1351" spans="1:33" x14ac:dyDescent="0.35">
      <c r="A1351" t="s">
        <v>1254</v>
      </c>
      <c r="B1351" s="5">
        <v>46026</v>
      </c>
      <c r="C1351" s="5">
        <v>46033</v>
      </c>
      <c r="D1351" s="5">
        <v>46040</v>
      </c>
      <c r="E1351" s="5">
        <v>46047</v>
      </c>
      <c r="F1351" s="5">
        <v>46054</v>
      </c>
      <c r="G1351" s="5">
        <v>46061</v>
      </c>
      <c r="H1351" s="5">
        <v>46068</v>
      </c>
      <c r="I1351" s="5">
        <v>46075</v>
      </c>
      <c r="J1351" s="5">
        <v>46082</v>
      </c>
      <c r="K1351" s="5">
        <v>46089</v>
      </c>
      <c r="L1351" s="5">
        <v>46096</v>
      </c>
      <c r="M1351" s="5">
        <v>46103</v>
      </c>
      <c r="N1351" s="5">
        <v>46110</v>
      </c>
      <c r="O1351" s="5">
        <v>46117</v>
      </c>
      <c r="P1351" s="5">
        <v>46124</v>
      </c>
      <c r="Q1351" s="5">
        <v>46131</v>
      </c>
      <c r="R1351" s="5">
        <v>46138</v>
      </c>
      <c r="S1351" s="5">
        <v>46145</v>
      </c>
      <c r="T1351" s="5">
        <v>46152</v>
      </c>
      <c r="U1351" s="5">
        <v>46159</v>
      </c>
      <c r="V1351" s="5">
        <v>46166</v>
      </c>
      <c r="W1351" s="5">
        <v>46173</v>
      </c>
      <c r="X1351" s="5">
        <v>46180</v>
      </c>
      <c r="Y1351" s="5">
        <v>46187</v>
      </c>
      <c r="Z1351" s="5">
        <v>46194</v>
      </c>
      <c r="AA1351" s="5">
        <v>46201</v>
      </c>
      <c r="AB1351" s="5">
        <v>46208</v>
      </c>
      <c r="AC1351" s="5">
        <v>46215</v>
      </c>
      <c r="AD1351" s="5">
        <v>46222</v>
      </c>
      <c r="AE1351" s="5">
        <v>46229</v>
      </c>
      <c r="AF1351" s="5">
        <v>46236</v>
      </c>
      <c r="AG1351" s="5">
        <v>46243</v>
      </c>
    </row>
    <row r="1352" spans="1:33" x14ac:dyDescent="0.35">
      <c r="A1352" t="s">
        <v>1241</v>
      </c>
      <c r="B1352" s="6">
        <v>1755</v>
      </c>
      <c r="C1352" s="6">
        <v>1917</v>
      </c>
      <c r="D1352" s="6">
        <v>2280</v>
      </c>
      <c r="E1352" s="6">
        <v>2422</v>
      </c>
      <c r="F1352" s="6">
        <v>2686</v>
      </c>
      <c r="G1352" s="6">
        <v>3078</v>
      </c>
      <c r="H1352" s="6">
        <v>2493</v>
      </c>
      <c r="I1352" s="6">
        <v>2800</v>
      </c>
      <c r="J1352" s="6">
        <v>2800</v>
      </c>
      <c r="K1352" s="6">
        <v>2624</v>
      </c>
      <c r="L1352" s="6">
        <v>2708</v>
      </c>
      <c r="M1352" s="6">
        <v>2713</v>
      </c>
      <c r="N1352" s="6">
        <v>2524</v>
      </c>
      <c r="O1352" s="6">
        <v>2271</v>
      </c>
      <c r="P1352" s="6">
        <v>2187</v>
      </c>
      <c r="Q1352" s="6">
        <v>2371</v>
      </c>
      <c r="R1352" s="6">
        <v>2409</v>
      </c>
      <c r="S1352" s="6">
        <v>2710</v>
      </c>
      <c r="T1352" s="6">
        <v>2383</v>
      </c>
      <c r="U1352" s="6">
        <v>2205</v>
      </c>
      <c r="V1352" s="6">
        <v>2124</v>
      </c>
      <c r="W1352" s="6">
        <v>2741</v>
      </c>
      <c r="X1352" s="6">
        <v>2917</v>
      </c>
      <c r="Y1352" s="6">
        <v>3859</v>
      </c>
      <c r="Z1352" s="6">
        <v>2723</v>
      </c>
      <c r="AA1352" s="6">
        <v>2270</v>
      </c>
      <c r="AB1352" s="6">
        <v>2146</v>
      </c>
      <c r="AC1352" s="6">
        <v>2172</v>
      </c>
      <c r="AD1352" s="6">
        <v>2270</v>
      </c>
      <c r="AE1352" s="6">
        <v>2157</v>
      </c>
      <c r="AF1352" s="6">
        <v>1735</v>
      </c>
      <c r="AG1352" s="6">
        <v>1865</v>
      </c>
    </row>
    <row r="1353" spans="1:33" x14ac:dyDescent="0.35">
      <c r="A1353" t="s">
        <v>1242</v>
      </c>
      <c r="B1353" s="3">
        <v>2.7E-2</v>
      </c>
      <c r="C1353" s="3">
        <v>2.5999999999999999E-2</v>
      </c>
      <c r="D1353" s="3">
        <v>0.2</v>
      </c>
      <c r="E1353" s="3">
        <v>0.224</v>
      </c>
      <c r="F1353" s="3">
        <v>0.27900000000000003</v>
      </c>
      <c r="G1353" s="3">
        <v>0.38700000000000001</v>
      </c>
      <c r="H1353" s="3">
        <v>0.222</v>
      </c>
      <c r="I1353" s="3">
        <v>0.24199999999999999</v>
      </c>
      <c r="J1353" s="3">
        <v>0.24399999999999999</v>
      </c>
      <c r="K1353" s="3">
        <v>0.14899999999999999</v>
      </c>
      <c r="L1353" s="3">
        <v>0.14399999999999999</v>
      </c>
      <c r="M1353" s="3">
        <v>0.20100000000000001</v>
      </c>
      <c r="N1353" s="3">
        <v>5.2999999999999999E-2</v>
      </c>
      <c r="O1353" s="3">
        <v>2E-3</v>
      </c>
      <c r="P1353" s="3">
        <v>4.0000000000000001E-3</v>
      </c>
      <c r="Q1353" s="3">
        <v>5.0000000000000001E-3</v>
      </c>
      <c r="R1353" s="3">
        <v>2.1000000000000001E-2</v>
      </c>
      <c r="S1353" s="3">
        <v>0.17699999999999999</v>
      </c>
      <c r="T1353" s="3">
        <v>0.158</v>
      </c>
      <c r="U1353" s="3">
        <v>0.20799999999999999</v>
      </c>
      <c r="V1353" s="3">
        <v>0.16800000000000001</v>
      </c>
      <c r="W1353" s="3">
        <v>0.435</v>
      </c>
      <c r="X1353" s="3">
        <v>0.5</v>
      </c>
      <c r="Y1353" s="3">
        <v>0.85399999999999998</v>
      </c>
      <c r="Z1353" s="3">
        <v>0.39700000000000002</v>
      </c>
      <c r="AA1353" s="3">
        <v>0.158</v>
      </c>
      <c r="AB1353" s="3">
        <v>0.11899999999999999</v>
      </c>
      <c r="AC1353" s="3">
        <v>8.6999999999999994E-2</v>
      </c>
      <c r="AD1353" s="3">
        <v>5.6000000000000001E-2</v>
      </c>
      <c r="AE1353" s="3">
        <v>2.3E-2</v>
      </c>
      <c r="AF1353" s="3">
        <v>4.0000000000000001E-3</v>
      </c>
      <c r="AG1353" s="3">
        <v>3.0000000000000001E-3</v>
      </c>
    </row>
    <row r="1354" spans="1:33" x14ac:dyDescent="0.35">
      <c r="A1354" t="s">
        <v>1243</v>
      </c>
      <c r="B1354">
        <v>47</v>
      </c>
      <c r="C1354">
        <v>49</v>
      </c>
      <c r="D1354">
        <v>380</v>
      </c>
      <c r="E1354">
        <v>444</v>
      </c>
      <c r="F1354">
        <v>585</v>
      </c>
      <c r="G1354">
        <v>859</v>
      </c>
      <c r="H1354">
        <v>453</v>
      </c>
      <c r="I1354">
        <v>545</v>
      </c>
      <c r="J1354">
        <v>550</v>
      </c>
      <c r="K1354">
        <v>340</v>
      </c>
      <c r="L1354">
        <v>341</v>
      </c>
      <c r="M1354">
        <v>453</v>
      </c>
      <c r="N1354">
        <v>126</v>
      </c>
      <c r="O1354">
        <v>5</v>
      </c>
      <c r="P1354">
        <v>10</v>
      </c>
      <c r="Q1354">
        <v>13</v>
      </c>
      <c r="R1354">
        <v>50</v>
      </c>
      <c r="S1354">
        <v>408</v>
      </c>
      <c r="T1354">
        <v>324</v>
      </c>
      <c r="U1354">
        <v>380</v>
      </c>
      <c r="V1354">
        <v>305</v>
      </c>
      <c r="W1354">
        <v>830</v>
      </c>
      <c r="X1354">
        <v>972</v>
      </c>
      <c r="Y1354" s="6">
        <v>1778</v>
      </c>
      <c r="Z1354">
        <v>774</v>
      </c>
      <c r="AA1354">
        <v>310</v>
      </c>
      <c r="AB1354">
        <v>228</v>
      </c>
      <c r="AC1354">
        <v>175</v>
      </c>
      <c r="AD1354">
        <v>120</v>
      </c>
      <c r="AE1354">
        <v>48</v>
      </c>
      <c r="AF1354">
        <v>6</v>
      </c>
      <c r="AG1354">
        <v>6</v>
      </c>
    </row>
    <row r="1355" spans="1:33" x14ac:dyDescent="0.35">
      <c r="A1355" t="s">
        <v>1244</v>
      </c>
      <c r="B1355" s="6">
        <v>1708</v>
      </c>
      <c r="C1355" s="6">
        <v>1868</v>
      </c>
      <c r="D1355" s="6">
        <v>1900</v>
      </c>
      <c r="E1355" s="6">
        <v>1978</v>
      </c>
      <c r="F1355" s="6">
        <v>2101</v>
      </c>
      <c r="G1355" s="6">
        <v>2219</v>
      </c>
      <c r="H1355" s="6">
        <v>2040</v>
      </c>
      <c r="I1355" s="6">
        <v>2255</v>
      </c>
      <c r="J1355" s="6">
        <v>2251</v>
      </c>
      <c r="K1355" s="6">
        <v>2284</v>
      </c>
      <c r="L1355" s="6">
        <v>2367</v>
      </c>
      <c r="M1355" s="6">
        <v>2260</v>
      </c>
      <c r="N1355" s="6">
        <v>2398</v>
      </c>
      <c r="O1355" s="6">
        <v>2267</v>
      </c>
      <c r="P1355" s="6">
        <v>2177</v>
      </c>
      <c r="Q1355" s="6">
        <v>2358</v>
      </c>
      <c r="R1355" s="6">
        <v>2359</v>
      </c>
      <c r="S1355" s="6">
        <v>2302</v>
      </c>
      <c r="T1355" s="6">
        <v>2059</v>
      </c>
      <c r="U1355" s="6">
        <v>1825</v>
      </c>
      <c r="V1355" s="6">
        <v>1819</v>
      </c>
      <c r="W1355" s="6">
        <v>1911</v>
      </c>
      <c r="X1355" s="6">
        <v>1945</v>
      </c>
      <c r="Y1355" s="6">
        <v>2082</v>
      </c>
      <c r="Z1355" s="6">
        <v>1949</v>
      </c>
      <c r="AA1355" s="6">
        <v>1960</v>
      </c>
      <c r="AB1355" s="6">
        <v>1918</v>
      </c>
      <c r="AC1355" s="6">
        <v>1998</v>
      </c>
      <c r="AD1355" s="6">
        <v>2150</v>
      </c>
      <c r="AE1355" s="6">
        <v>2109</v>
      </c>
      <c r="AF1355" s="6">
        <v>1729</v>
      </c>
      <c r="AG1355" s="6">
        <v>1859</v>
      </c>
    </row>
    <row r="1356" spans="1:33" x14ac:dyDescent="0.35">
      <c r="A1356" t="s">
        <v>1245</v>
      </c>
      <c r="B1356" s="7">
        <v>10.85</v>
      </c>
      <c r="C1356" s="7">
        <v>10.89</v>
      </c>
      <c r="D1356" s="7">
        <v>10.14</v>
      </c>
      <c r="E1356" s="7">
        <v>10</v>
      </c>
      <c r="F1356" s="7">
        <v>9.99</v>
      </c>
      <c r="G1356" s="7">
        <v>8.8699999999999992</v>
      </c>
      <c r="H1356" s="7">
        <v>9.86</v>
      </c>
      <c r="I1356" s="7">
        <v>9.86</v>
      </c>
      <c r="J1356" s="7">
        <v>9.81</v>
      </c>
      <c r="K1356" s="7">
        <v>10</v>
      </c>
      <c r="L1356" s="7">
        <v>10.01</v>
      </c>
      <c r="M1356" s="7">
        <v>10.01</v>
      </c>
      <c r="N1356" s="7">
        <v>9.94</v>
      </c>
      <c r="O1356" s="7">
        <v>10.76</v>
      </c>
      <c r="P1356" s="7">
        <v>10.76</v>
      </c>
      <c r="Q1356" s="7">
        <v>10.69</v>
      </c>
      <c r="R1356" s="7">
        <v>10.7</v>
      </c>
      <c r="S1356" s="7">
        <v>9.8000000000000007</v>
      </c>
      <c r="T1356" s="7">
        <v>9.82</v>
      </c>
      <c r="U1356" s="7">
        <v>9.8000000000000007</v>
      </c>
      <c r="V1356" s="7">
        <v>9.83</v>
      </c>
      <c r="W1356" s="7">
        <v>9.06</v>
      </c>
      <c r="X1356" s="7">
        <v>8.9700000000000006</v>
      </c>
      <c r="Y1356" s="7">
        <v>9.0399999999999991</v>
      </c>
      <c r="Z1356" s="7">
        <v>8.9700000000000006</v>
      </c>
      <c r="AA1356" s="7">
        <v>9.99</v>
      </c>
      <c r="AB1356" s="7">
        <v>10.01</v>
      </c>
      <c r="AC1356" s="7">
        <v>10.01</v>
      </c>
      <c r="AD1356" s="7">
        <v>10.01</v>
      </c>
      <c r="AE1356" s="7">
        <v>10</v>
      </c>
      <c r="AF1356" s="7">
        <v>10.97</v>
      </c>
      <c r="AG1356" s="7">
        <v>10.96</v>
      </c>
    </row>
    <row r="1358" spans="1:33" ht="15" thickBot="1" x14ac:dyDescent="0.4"/>
    <row r="1359" spans="1:33" s="164" customFormat="1" ht="15.5" thickTop="1" thickBot="1" x14ac:dyDescent="0.4"/>
    <row r="1360" spans="1:33" ht="15" thickTop="1" x14ac:dyDescent="0.35">
      <c r="A1360" t="s">
        <v>1581</v>
      </c>
      <c r="L1360" s="51"/>
    </row>
    <row r="1361" spans="1:33" x14ac:dyDescent="0.35">
      <c r="A1361" t="s">
        <v>1254</v>
      </c>
      <c r="B1361" s="5">
        <v>46026</v>
      </c>
      <c r="C1361" s="5">
        <v>46033</v>
      </c>
      <c r="D1361" s="5">
        <v>46040</v>
      </c>
      <c r="E1361" s="5">
        <v>46047</v>
      </c>
      <c r="F1361" s="5">
        <v>46054</v>
      </c>
      <c r="G1361" s="128">
        <v>46061</v>
      </c>
      <c r="H1361" s="128">
        <v>46068</v>
      </c>
      <c r="I1361" s="128">
        <v>46075</v>
      </c>
      <c r="J1361" s="128">
        <v>46082</v>
      </c>
      <c r="K1361" s="128">
        <v>46089</v>
      </c>
      <c r="L1361" s="166">
        <v>46096</v>
      </c>
      <c r="M1361" s="5">
        <v>46103</v>
      </c>
      <c r="N1361" s="5">
        <v>46110</v>
      </c>
      <c r="O1361" s="5">
        <v>46117</v>
      </c>
      <c r="P1361" s="5">
        <v>46124</v>
      </c>
      <c r="Q1361" s="5">
        <v>46131</v>
      </c>
      <c r="R1361" s="5">
        <v>46138</v>
      </c>
      <c r="S1361" s="5">
        <v>46145</v>
      </c>
      <c r="T1361" s="128">
        <v>46152</v>
      </c>
      <c r="U1361" s="128">
        <v>46159</v>
      </c>
      <c r="V1361" s="128">
        <v>46166</v>
      </c>
      <c r="W1361" s="128">
        <v>46173</v>
      </c>
      <c r="X1361" s="5">
        <v>46180</v>
      </c>
      <c r="Y1361" s="5">
        <v>46187</v>
      </c>
      <c r="Z1361" s="5">
        <v>46194</v>
      </c>
      <c r="AA1361" s="5">
        <v>46201</v>
      </c>
      <c r="AB1361" s="128">
        <v>46208</v>
      </c>
      <c r="AC1361" s="128">
        <v>46215</v>
      </c>
      <c r="AD1361" s="128">
        <v>46222</v>
      </c>
      <c r="AE1361" s="128">
        <v>46229</v>
      </c>
      <c r="AF1361" s="128">
        <v>46236</v>
      </c>
      <c r="AG1361" s="5">
        <v>46243</v>
      </c>
    </row>
    <row r="1362" spans="1:33" x14ac:dyDescent="0.35">
      <c r="A1362" t="s">
        <v>1241</v>
      </c>
      <c r="B1362">
        <v>534</v>
      </c>
      <c r="C1362">
        <v>782</v>
      </c>
      <c r="D1362" s="6">
        <v>1182</v>
      </c>
      <c r="E1362" s="6">
        <v>1159</v>
      </c>
      <c r="F1362" s="6">
        <v>1111</v>
      </c>
      <c r="G1362" s="6">
        <v>1541</v>
      </c>
      <c r="H1362" s="6">
        <v>1604</v>
      </c>
      <c r="I1362" s="6">
        <v>1437</v>
      </c>
      <c r="J1362" s="6">
        <v>1603</v>
      </c>
      <c r="K1362" s="6">
        <v>1782</v>
      </c>
      <c r="L1362" s="25">
        <v>1560</v>
      </c>
      <c r="M1362" s="6">
        <v>1314</v>
      </c>
      <c r="N1362" s="6">
        <v>1348</v>
      </c>
      <c r="O1362" s="6">
        <v>1241</v>
      </c>
      <c r="P1362" s="6">
        <v>1382</v>
      </c>
      <c r="Q1362" s="6">
        <v>1390</v>
      </c>
      <c r="R1362" s="6">
        <v>1131</v>
      </c>
      <c r="S1362" s="6">
        <v>1188</v>
      </c>
      <c r="T1362" s="6">
        <v>1874</v>
      </c>
      <c r="U1362" s="6">
        <v>1813</v>
      </c>
      <c r="V1362" s="6">
        <v>1621</v>
      </c>
      <c r="W1362" s="6">
        <v>1653</v>
      </c>
      <c r="X1362" s="6">
        <v>1273</v>
      </c>
      <c r="Y1362" s="6">
        <v>1164</v>
      </c>
      <c r="Z1362" s="6">
        <v>1124</v>
      </c>
      <c r="AA1362" s="6">
        <v>1082</v>
      </c>
      <c r="AB1362" s="6">
        <v>1247</v>
      </c>
      <c r="AC1362" s="6">
        <v>1310</v>
      </c>
      <c r="AD1362" s="6">
        <v>1812</v>
      </c>
      <c r="AE1362" s="6">
        <v>1733</v>
      </c>
      <c r="AF1362" s="6">
        <v>1688</v>
      </c>
      <c r="AG1362" s="6">
        <v>1267</v>
      </c>
    </row>
    <row r="1363" spans="1:33" x14ac:dyDescent="0.35">
      <c r="A1363" t="s">
        <v>1242</v>
      </c>
      <c r="B1363" s="3">
        <v>5.0000000000000001E-3</v>
      </c>
      <c r="C1363" s="3">
        <v>0</v>
      </c>
      <c r="D1363" s="3">
        <v>3.0000000000000001E-3</v>
      </c>
      <c r="E1363" s="3">
        <v>1E-3</v>
      </c>
      <c r="F1363" s="3">
        <v>0</v>
      </c>
      <c r="G1363" s="3">
        <v>0.39400000000000002</v>
      </c>
      <c r="H1363" s="3">
        <v>0.42</v>
      </c>
      <c r="I1363" s="3">
        <v>0.33</v>
      </c>
      <c r="J1363" s="3">
        <v>0.34599999999999997</v>
      </c>
      <c r="K1363" s="3">
        <v>0.42899999999999999</v>
      </c>
      <c r="L1363" s="26">
        <v>0.32700000000000001</v>
      </c>
      <c r="M1363" s="3">
        <v>0</v>
      </c>
      <c r="N1363" s="3">
        <v>0.20300000000000001</v>
      </c>
      <c r="O1363" s="3">
        <v>0.16800000000000001</v>
      </c>
      <c r="P1363" s="3">
        <v>2.5999999999999999E-2</v>
      </c>
      <c r="Q1363" s="3">
        <v>3.4000000000000002E-2</v>
      </c>
      <c r="R1363" s="3">
        <v>2.1000000000000001E-2</v>
      </c>
      <c r="S1363" s="3">
        <v>3.4000000000000002E-2</v>
      </c>
      <c r="T1363" s="3">
        <v>0.48</v>
      </c>
      <c r="U1363" s="3">
        <v>0.49</v>
      </c>
      <c r="V1363" s="3">
        <v>0.41</v>
      </c>
      <c r="W1363" s="3">
        <v>0.44</v>
      </c>
      <c r="X1363" s="3">
        <v>4.0000000000000001E-3</v>
      </c>
      <c r="Y1363" s="3">
        <v>0</v>
      </c>
      <c r="Z1363" s="3">
        <v>0</v>
      </c>
      <c r="AA1363" s="3">
        <v>0</v>
      </c>
      <c r="AB1363" s="3">
        <v>0.38</v>
      </c>
      <c r="AC1363" s="3">
        <v>0.39300000000000002</v>
      </c>
      <c r="AD1363" s="3">
        <v>0.65100000000000002</v>
      </c>
      <c r="AE1363" s="3">
        <v>0.45500000000000002</v>
      </c>
      <c r="AF1363" s="3">
        <v>0.42899999999999999</v>
      </c>
      <c r="AG1363" s="3">
        <v>5.3999999999999999E-2</v>
      </c>
    </row>
    <row r="1364" spans="1:33" x14ac:dyDescent="0.35">
      <c r="A1364" t="s">
        <v>1243</v>
      </c>
      <c r="B1364">
        <v>2</v>
      </c>
      <c r="C1364">
        <v>0</v>
      </c>
      <c r="D1364">
        <v>3</v>
      </c>
      <c r="E1364">
        <v>2</v>
      </c>
      <c r="F1364">
        <v>0</v>
      </c>
      <c r="G1364">
        <v>436</v>
      </c>
      <c r="H1364">
        <v>474</v>
      </c>
      <c r="I1364">
        <v>357</v>
      </c>
      <c r="J1364">
        <v>413</v>
      </c>
      <c r="K1364">
        <v>535</v>
      </c>
      <c r="L1364" s="51">
        <v>385</v>
      </c>
      <c r="M1364">
        <v>0</v>
      </c>
      <c r="N1364">
        <v>228</v>
      </c>
      <c r="O1364">
        <v>179</v>
      </c>
      <c r="P1364">
        <v>35</v>
      </c>
      <c r="Q1364">
        <v>46</v>
      </c>
      <c r="R1364">
        <v>24</v>
      </c>
      <c r="S1364">
        <v>39</v>
      </c>
      <c r="T1364">
        <v>608</v>
      </c>
      <c r="U1364">
        <v>597</v>
      </c>
      <c r="V1364">
        <v>471</v>
      </c>
      <c r="W1364">
        <v>505</v>
      </c>
      <c r="X1364">
        <v>5</v>
      </c>
      <c r="Y1364">
        <v>1</v>
      </c>
      <c r="Z1364">
        <v>0</v>
      </c>
      <c r="AA1364">
        <v>1</v>
      </c>
      <c r="AB1364">
        <v>343</v>
      </c>
      <c r="AC1364">
        <v>370</v>
      </c>
      <c r="AD1364">
        <v>714</v>
      </c>
      <c r="AE1364">
        <v>542</v>
      </c>
      <c r="AF1364">
        <v>507</v>
      </c>
      <c r="AG1364">
        <v>65</v>
      </c>
    </row>
    <row r="1365" spans="1:33" x14ac:dyDescent="0.35">
      <c r="A1365" t="s">
        <v>1244</v>
      </c>
      <c r="B1365">
        <v>532</v>
      </c>
      <c r="C1365">
        <v>782</v>
      </c>
      <c r="D1365" s="6">
        <v>1179</v>
      </c>
      <c r="E1365" s="6">
        <v>1157</v>
      </c>
      <c r="F1365" s="6">
        <v>1111</v>
      </c>
      <c r="G1365" s="6">
        <v>1105</v>
      </c>
      <c r="H1365" s="6">
        <v>1130</v>
      </c>
      <c r="I1365" s="6">
        <v>1080</v>
      </c>
      <c r="J1365" s="6">
        <v>1191</v>
      </c>
      <c r="K1365" s="6">
        <v>1247</v>
      </c>
      <c r="L1365" s="25">
        <v>1175</v>
      </c>
      <c r="M1365" s="6">
        <v>1314</v>
      </c>
      <c r="N1365" s="6">
        <v>1120</v>
      </c>
      <c r="O1365" s="6">
        <v>1062</v>
      </c>
      <c r="P1365" s="6">
        <v>1347</v>
      </c>
      <c r="Q1365" s="6">
        <v>1344</v>
      </c>
      <c r="R1365" s="6">
        <v>1107</v>
      </c>
      <c r="S1365" s="6">
        <v>1149</v>
      </c>
      <c r="T1365" s="6">
        <v>1266</v>
      </c>
      <c r="U1365" s="6">
        <v>1216</v>
      </c>
      <c r="V1365" s="6">
        <v>1150</v>
      </c>
      <c r="W1365" s="6">
        <v>1148</v>
      </c>
      <c r="X1365" s="6">
        <v>1268</v>
      </c>
      <c r="Y1365" s="6">
        <v>1164</v>
      </c>
      <c r="Z1365" s="6">
        <v>1124</v>
      </c>
      <c r="AA1365" s="6">
        <v>1082</v>
      </c>
      <c r="AB1365">
        <v>904</v>
      </c>
      <c r="AC1365">
        <v>940</v>
      </c>
      <c r="AD1365" s="6">
        <v>1098</v>
      </c>
      <c r="AE1365" s="6">
        <v>1191</v>
      </c>
      <c r="AF1365" s="6">
        <v>1181</v>
      </c>
      <c r="AG1365" s="6">
        <v>1202</v>
      </c>
    </row>
    <row r="1366" spans="1:33" x14ac:dyDescent="0.35">
      <c r="A1366" t="s">
        <v>1245</v>
      </c>
      <c r="B1366" s="7">
        <v>9.9600000000000009</v>
      </c>
      <c r="C1366" s="7">
        <v>9.9700000000000006</v>
      </c>
      <c r="D1366" s="7">
        <v>9.9600000000000009</v>
      </c>
      <c r="E1366" s="7">
        <v>9.9499999999999993</v>
      </c>
      <c r="F1366" s="7">
        <v>9.9700000000000006</v>
      </c>
      <c r="G1366" s="7">
        <v>8.9600000000000009</v>
      </c>
      <c r="H1366" s="7">
        <v>8.66</v>
      </c>
      <c r="I1366" s="7">
        <v>8.6300000000000008</v>
      </c>
      <c r="J1366" s="7">
        <v>8.61</v>
      </c>
      <c r="K1366" s="7">
        <v>8.59</v>
      </c>
      <c r="L1366" s="27">
        <v>8.9600000000000009</v>
      </c>
      <c r="M1366" s="7">
        <v>9.9600000000000009</v>
      </c>
      <c r="N1366" s="7">
        <v>9.93</v>
      </c>
      <c r="O1366" s="7">
        <v>9.9499999999999993</v>
      </c>
      <c r="P1366" s="7">
        <v>9.6999999999999993</v>
      </c>
      <c r="Q1366" s="7">
        <v>9.67</v>
      </c>
      <c r="R1366" s="7">
        <v>9.67</v>
      </c>
      <c r="S1366" s="7">
        <v>9.6199999999999992</v>
      </c>
      <c r="T1366" s="7">
        <v>8.6300000000000008</v>
      </c>
      <c r="U1366" s="7">
        <v>8.59</v>
      </c>
      <c r="V1366" s="7">
        <v>8.6</v>
      </c>
      <c r="W1366" s="7">
        <v>8.57</v>
      </c>
      <c r="X1366" s="7">
        <v>9.9499999999999993</v>
      </c>
      <c r="Y1366" s="7">
        <v>9.9700000000000006</v>
      </c>
      <c r="Z1366" s="7">
        <v>9.9700000000000006</v>
      </c>
      <c r="AA1366" s="7">
        <v>9.9499999999999993</v>
      </c>
      <c r="AB1366" s="7">
        <v>8.9600000000000009</v>
      </c>
      <c r="AC1366" s="7">
        <v>8.9700000000000006</v>
      </c>
      <c r="AD1366" s="7">
        <v>8.9700000000000006</v>
      </c>
      <c r="AE1366" s="7">
        <v>8.9700000000000006</v>
      </c>
      <c r="AF1366" s="7">
        <v>8.9700000000000006</v>
      </c>
      <c r="AG1366" s="7">
        <v>9.8699999999999992</v>
      </c>
    </row>
    <row r="1367" spans="1:33" x14ac:dyDescent="0.35">
      <c r="B1367" s="7"/>
      <c r="C1367" s="7"/>
      <c r="D1367" s="7"/>
      <c r="E1367" s="7"/>
      <c r="F1367" s="7"/>
      <c r="G1367" s="20">
        <f>SUM(G1365:L1365)</f>
        <v>6928</v>
      </c>
      <c r="H1367" s="20">
        <f>SUM(G1364:L1364)</f>
        <v>2600</v>
      </c>
      <c r="I1367" s="7"/>
      <c r="J1367" s="7"/>
      <c r="K1367" s="7"/>
      <c r="L1367" s="27"/>
      <c r="M1367" s="7"/>
      <c r="N1367" s="7"/>
      <c r="O1367" s="7"/>
      <c r="P1367" s="7"/>
      <c r="Q1367" s="7"/>
      <c r="R1367" s="7"/>
      <c r="S1367" s="7"/>
      <c r="T1367" s="20">
        <f>SUM(T1365:W1365)</f>
        <v>4780</v>
      </c>
      <c r="U1367" s="20">
        <f>SUM(T1364:W1364)</f>
        <v>2181</v>
      </c>
      <c r="V1367" s="7"/>
      <c r="W1367" s="7"/>
      <c r="X1367" s="7"/>
      <c r="Y1367" s="7"/>
      <c r="Z1367" s="7"/>
      <c r="AA1367" s="7"/>
      <c r="AB1367" s="7"/>
      <c r="AC1367" s="7"/>
      <c r="AD1367" s="7"/>
      <c r="AE1367" s="7"/>
      <c r="AF1367" s="7"/>
      <c r="AG1367" s="7"/>
    </row>
    <row r="1368" spans="1:33" x14ac:dyDescent="0.35">
      <c r="B1368" s="7"/>
      <c r="C1368" s="7"/>
      <c r="D1368" s="7"/>
      <c r="E1368" s="7"/>
      <c r="F1368" s="7"/>
      <c r="G1368" s="7"/>
      <c r="H1368" s="7"/>
      <c r="I1368" s="7"/>
      <c r="J1368" s="7"/>
      <c r="K1368" s="7"/>
      <c r="L1368" s="27"/>
      <c r="M1368" s="7"/>
      <c r="N1368" s="7"/>
      <c r="O1368" s="7"/>
      <c r="P1368" s="7"/>
      <c r="Q1368" s="7"/>
      <c r="R1368" s="7"/>
      <c r="S1368" s="7"/>
      <c r="T1368" s="7"/>
      <c r="U1368" s="7"/>
      <c r="V1368" s="7"/>
      <c r="W1368" s="7"/>
      <c r="X1368" s="7"/>
      <c r="Y1368" s="7"/>
      <c r="Z1368" s="7"/>
      <c r="AA1368" s="7"/>
      <c r="AB1368" s="7"/>
      <c r="AC1368" s="7"/>
      <c r="AD1368" s="7"/>
      <c r="AE1368" s="7"/>
      <c r="AF1368" s="7"/>
      <c r="AG1368" s="7"/>
    </row>
    <row r="1369" spans="1:33" x14ac:dyDescent="0.35">
      <c r="L1369" s="51"/>
    </row>
    <row r="1370" spans="1:33" x14ac:dyDescent="0.35">
      <c r="A1370" t="s">
        <v>1254</v>
      </c>
      <c r="B1370" s="5">
        <v>46026</v>
      </c>
      <c r="C1370" s="5">
        <v>46033</v>
      </c>
      <c r="D1370" s="5">
        <v>46040</v>
      </c>
      <c r="E1370" s="5">
        <v>46047</v>
      </c>
      <c r="F1370" s="5">
        <v>46054</v>
      </c>
      <c r="G1370" s="5">
        <v>46061</v>
      </c>
      <c r="H1370" s="5">
        <v>46068</v>
      </c>
      <c r="I1370" s="5">
        <v>46075</v>
      </c>
      <c r="J1370" s="5">
        <v>46082</v>
      </c>
      <c r="K1370" s="5">
        <v>46089</v>
      </c>
      <c r="L1370" s="75">
        <v>46096</v>
      </c>
      <c r="M1370" s="5">
        <v>46103</v>
      </c>
      <c r="N1370" s="5">
        <v>46110</v>
      </c>
      <c r="O1370" s="5">
        <v>46117</v>
      </c>
      <c r="P1370" s="5">
        <v>46124</v>
      </c>
      <c r="Q1370" s="5">
        <v>46131</v>
      </c>
      <c r="R1370" s="5">
        <v>46138</v>
      </c>
      <c r="S1370" s="5">
        <v>46145</v>
      </c>
      <c r="T1370" s="5">
        <v>46152</v>
      </c>
      <c r="U1370" s="5">
        <v>46159</v>
      </c>
      <c r="V1370" s="5">
        <v>46166</v>
      </c>
      <c r="W1370" s="5">
        <v>46173</v>
      </c>
      <c r="X1370" s="5">
        <v>46180</v>
      </c>
      <c r="Y1370" s="5">
        <v>46187</v>
      </c>
      <c r="Z1370" s="5">
        <v>46194</v>
      </c>
      <c r="AA1370" s="5">
        <v>46201</v>
      </c>
      <c r="AB1370" s="5">
        <v>46208</v>
      </c>
      <c r="AC1370" s="5">
        <v>46215</v>
      </c>
      <c r="AD1370" s="5">
        <v>46222</v>
      </c>
      <c r="AE1370" s="5">
        <v>46229</v>
      </c>
      <c r="AF1370" s="5">
        <v>46236</v>
      </c>
      <c r="AG1370" s="5">
        <v>46243</v>
      </c>
    </row>
    <row r="1371" spans="1:33" x14ac:dyDescent="0.35">
      <c r="A1371" t="s">
        <v>1242</v>
      </c>
      <c r="B1371" s="3">
        <v>5.0000000000000001E-3</v>
      </c>
      <c r="C1371" s="3">
        <v>0</v>
      </c>
      <c r="D1371" s="3">
        <v>3.0000000000000001E-3</v>
      </c>
      <c r="E1371" s="3">
        <v>1E-3</v>
      </c>
      <c r="F1371" s="3">
        <v>0</v>
      </c>
      <c r="G1371" s="3">
        <v>0.39400000000000002</v>
      </c>
      <c r="H1371" s="3">
        <v>0.42</v>
      </c>
      <c r="I1371" s="3">
        <v>0.33</v>
      </c>
      <c r="J1371" s="3">
        <v>0.34599999999999997</v>
      </c>
      <c r="K1371" s="3">
        <v>0.42899999999999999</v>
      </c>
      <c r="L1371" s="26">
        <v>0.32700000000000001</v>
      </c>
      <c r="M1371" s="3">
        <v>0</v>
      </c>
      <c r="N1371" s="3">
        <v>0.20300000000000001</v>
      </c>
      <c r="O1371" s="3">
        <v>0.16800000000000001</v>
      </c>
      <c r="P1371" s="3">
        <v>2.5999999999999999E-2</v>
      </c>
      <c r="Q1371" s="3">
        <v>3.4000000000000002E-2</v>
      </c>
      <c r="R1371" s="3">
        <v>2.1000000000000001E-2</v>
      </c>
      <c r="S1371" s="3">
        <v>3.4000000000000002E-2</v>
      </c>
      <c r="T1371" s="3">
        <v>0.48</v>
      </c>
      <c r="U1371" s="3">
        <v>0.49</v>
      </c>
      <c r="V1371" s="3">
        <v>0.41</v>
      </c>
      <c r="W1371" s="3">
        <v>0.44</v>
      </c>
      <c r="X1371" s="3">
        <v>4.0000000000000001E-3</v>
      </c>
      <c r="Y1371" s="3">
        <v>0</v>
      </c>
      <c r="Z1371" s="3">
        <v>0</v>
      </c>
      <c r="AA1371" s="3">
        <v>0</v>
      </c>
      <c r="AB1371" s="3">
        <v>0.38</v>
      </c>
      <c r="AC1371" s="3">
        <v>0.39300000000000002</v>
      </c>
      <c r="AD1371" s="3">
        <v>0.65100000000000002</v>
      </c>
      <c r="AE1371" s="3">
        <v>0.45500000000000002</v>
      </c>
      <c r="AF1371" s="3">
        <v>0.42899999999999999</v>
      </c>
      <c r="AG1371" s="3">
        <v>5.3999999999999999E-2</v>
      </c>
    </row>
    <row r="1372" spans="1:33" x14ac:dyDescent="0.35">
      <c r="A1372" t="s">
        <v>1247</v>
      </c>
      <c r="B1372" s="3">
        <v>8.7999999999999995E-2</v>
      </c>
      <c r="C1372" s="3">
        <v>0.17</v>
      </c>
      <c r="D1372" s="3">
        <v>7.2999999999999995E-2</v>
      </c>
      <c r="E1372" s="3">
        <v>0.124</v>
      </c>
      <c r="F1372" s="3">
        <v>0.111</v>
      </c>
      <c r="G1372" s="3">
        <v>6.6000000000000003E-2</v>
      </c>
      <c r="H1372" s="3">
        <v>9.0999999999999998E-2</v>
      </c>
      <c r="I1372" s="3">
        <v>8.4000000000000005E-2</v>
      </c>
      <c r="J1372" s="3">
        <v>8.5000000000000006E-2</v>
      </c>
      <c r="K1372" s="3">
        <v>9.7000000000000003E-2</v>
      </c>
      <c r="L1372" s="26">
        <v>5.8000000000000003E-2</v>
      </c>
      <c r="M1372" s="3">
        <v>6.0999999999999999E-2</v>
      </c>
      <c r="N1372" s="3">
        <v>2E-3</v>
      </c>
      <c r="O1372" s="3">
        <v>0</v>
      </c>
      <c r="P1372" s="3">
        <v>5.2999999999999999E-2</v>
      </c>
      <c r="Q1372" s="3">
        <v>6.3E-2</v>
      </c>
      <c r="R1372" s="3">
        <v>0.06</v>
      </c>
      <c r="S1372" s="3">
        <v>5.7000000000000002E-2</v>
      </c>
      <c r="T1372" s="3">
        <v>8.5999999999999993E-2</v>
      </c>
      <c r="U1372" s="3">
        <v>8.7999999999999995E-2</v>
      </c>
      <c r="V1372" s="3">
        <v>7.3999999999999996E-2</v>
      </c>
      <c r="W1372" s="3">
        <v>8.5000000000000006E-2</v>
      </c>
      <c r="X1372" s="3">
        <v>5.8999999999999997E-2</v>
      </c>
      <c r="Y1372" s="3">
        <v>6.9000000000000006E-2</v>
      </c>
      <c r="Z1372" s="3">
        <v>0.113</v>
      </c>
      <c r="AA1372" s="3">
        <v>8.1000000000000003E-2</v>
      </c>
      <c r="AB1372" s="3">
        <v>6.9000000000000006E-2</v>
      </c>
      <c r="AC1372" s="3">
        <v>6.4000000000000001E-2</v>
      </c>
      <c r="AD1372" s="3">
        <v>7.3999999999999996E-2</v>
      </c>
      <c r="AE1372" s="3">
        <v>6.7000000000000004E-2</v>
      </c>
      <c r="AF1372" s="3">
        <v>5.5E-2</v>
      </c>
      <c r="AG1372" s="3">
        <v>3.5000000000000003E-2</v>
      </c>
    </row>
    <row r="1373" spans="1:33" x14ac:dyDescent="0.35">
      <c r="A1373" t="s">
        <v>1248</v>
      </c>
      <c r="B1373" s="7">
        <v>0.88</v>
      </c>
      <c r="C1373" s="7">
        <v>1.69</v>
      </c>
      <c r="D1373" s="7">
        <v>0.73</v>
      </c>
      <c r="E1373" s="7">
        <v>1.24</v>
      </c>
      <c r="F1373" s="7">
        <v>1.1100000000000001</v>
      </c>
      <c r="G1373" s="7">
        <v>0.63</v>
      </c>
      <c r="H1373" s="7">
        <v>0.86</v>
      </c>
      <c r="I1373" s="7">
        <v>0.79</v>
      </c>
      <c r="J1373" s="7">
        <v>0.8</v>
      </c>
      <c r="K1373" s="7">
        <v>0.92</v>
      </c>
      <c r="L1373" s="27">
        <v>0.55000000000000004</v>
      </c>
      <c r="M1373" s="7">
        <v>0.61</v>
      </c>
      <c r="N1373" s="7">
        <v>0.02</v>
      </c>
      <c r="O1373" s="7">
        <v>0</v>
      </c>
      <c r="P1373" s="7">
        <v>0.52</v>
      </c>
      <c r="Q1373" s="7">
        <v>0.61</v>
      </c>
      <c r="R1373" s="7">
        <v>0.59</v>
      </c>
      <c r="S1373" s="7">
        <v>0.55000000000000004</v>
      </c>
      <c r="T1373" s="7">
        <v>0.81</v>
      </c>
      <c r="U1373" s="7">
        <v>0.83</v>
      </c>
      <c r="V1373" s="7">
        <v>0.69</v>
      </c>
      <c r="W1373" s="7">
        <v>0.8</v>
      </c>
      <c r="X1373" s="7">
        <v>0.57999999999999996</v>
      </c>
      <c r="Y1373" s="7">
        <v>0.69</v>
      </c>
      <c r="Z1373" s="7">
        <v>1.1200000000000001</v>
      </c>
      <c r="AA1373" s="7">
        <v>0.81</v>
      </c>
      <c r="AB1373" s="7">
        <v>0.66</v>
      </c>
      <c r="AC1373" s="7">
        <v>0.61</v>
      </c>
      <c r="AD1373" s="7">
        <v>0.71</v>
      </c>
      <c r="AE1373" s="7">
        <v>0.64</v>
      </c>
      <c r="AF1373" s="7">
        <v>0.52</v>
      </c>
      <c r="AG1373" s="7">
        <v>0.35</v>
      </c>
    </row>
    <row r="1374" spans="1:33" x14ac:dyDescent="0.35">
      <c r="A1374" t="s">
        <v>1249</v>
      </c>
      <c r="B1374" s="7">
        <v>9.09</v>
      </c>
      <c r="C1374" s="7">
        <v>8.2799999999999994</v>
      </c>
      <c r="D1374" s="7">
        <v>9.24</v>
      </c>
      <c r="E1374" s="7">
        <v>8.7200000000000006</v>
      </c>
      <c r="F1374" s="7">
        <v>8.86</v>
      </c>
      <c r="G1374" s="129">
        <v>8.9600000000000009</v>
      </c>
      <c r="H1374" s="129">
        <v>8.66</v>
      </c>
      <c r="I1374" s="129">
        <v>8.6300000000000008</v>
      </c>
      <c r="J1374" s="129">
        <v>8.6</v>
      </c>
      <c r="K1374" s="129">
        <v>8.59</v>
      </c>
      <c r="L1374" s="167">
        <v>8.9600000000000009</v>
      </c>
      <c r="M1374" s="7">
        <v>9.35</v>
      </c>
      <c r="N1374" s="7">
        <v>9.92</v>
      </c>
      <c r="O1374" s="7">
        <v>9.9499999999999993</v>
      </c>
      <c r="P1374" s="7">
        <v>9.25</v>
      </c>
      <c r="Q1374" s="7">
        <v>9.1300000000000008</v>
      </c>
      <c r="R1374" s="7">
        <v>9.1300000000000008</v>
      </c>
      <c r="S1374" s="7">
        <v>9.15</v>
      </c>
      <c r="T1374" s="129">
        <v>8.6199999999999992</v>
      </c>
      <c r="U1374" s="129">
        <v>8.58</v>
      </c>
      <c r="V1374" s="129">
        <v>8.6</v>
      </c>
      <c r="W1374" s="129">
        <v>8.57</v>
      </c>
      <c r="X1374" s="7">
        <v>9.3699999999999992</v>
      </c>
      <c r="Y1374" s="7">
        <v>9.2799999999999994</v>
      </c>
      <c r="Z1374" s="7">
        <v>8.84</v>
      </c>
      <c r="AA1374" s="7">
        <v>9.14</v>
      </c>
      <c r="AB1374" s="129">
        <v>8.9600000000000009</v>
      </c>
      <c r="AC1374" s="129">
        <v>8.9600000000000009</v>
      </c>
      <c r="AD1374" s="129">
        <v>8.9700000000000006</v>
      </c>
      <c r="AE1374" s="129">
        <v>8.9700000000000006</v>
      </c>
      <c r="AF1374" s="129">
        <v>8.9700000000000006</v>
      </c>
      <c r="AG1374" s="7">
        <v>9.5500000000000007</v>
      </c>
    </row>
    <row r="1375" spans="1:33" x14ac:dyDescent="0.35">
      <c r="A1375" t="s">
        <v>1250</v>
      </c>
      <c r="B1375" s="7">
        <v>9.9700000000000006</v>
      </c>
      <c r="C1375" s="7">
        <v>9.9700000000000006</v>
      </c>
      <c r="D1375" s="7">
        <v>9.9700000000000006</v>
      </c>
      <c r="E1375" s="7">
        <v>9.9600000000000009</v>
      </c>
      <c r="F1375" s="7">
        <v>9.9700000000000006</v>
      </c>
      <c r="G1375" s="7">
        <v>9.6</v>
      </c>
      <c r="H1375" s="7">
        <v>9.5299999999999994</v>
      </c>
      <c r="I1375" s="7">
        <v>9.42</v>
      </c>
      <c r="J1375" s="7">
        <v>9.41</v>
      </c>
      <c r="K1375" s="7">
        <v>9.51</v>
      </c>
      <c r="L1375" s="27">
        <v>9.51</v>
      </c>
      <c r="M1375" s="7">
        <v>9.9600000000000009</v>
      </c>
      <c r="N1375" s="7">
        <v>9.9499999999999993</v>
      </c>
      <c r="O1375" s="7">
        <v>9.9499999999999993</v>
      </c>
      <c r="P1375" s="7">
        <v>9.77</v>
      </c>
      <c r="Q1375" s="7">
        <v>9.75</v>
      </c>
      <c r="R1375" s="7">
        <v>9.7200000000000006</v>
      </c>
      <c r="S1375" s="7">
        <v>9.6999999999999993</v>
      </c>
      <c r="T1375" s="7">
        <v>9.43</v>
      </c>
      <c r="U1375" s="7">
        <v>9.41</v>
      </c>
      <c r="V1375" s="7">
        <v>9.2899999999999991</v>
      </c>
      <c r="W1375" s="7">
        <v>9.36</v>
      </c>
      <c r="X1375" s="7">
        <v>9.9499999999999993</v>
      </c>
      <c r="Y1375" s="7">
        <v>9.9700000000000006</v>
      </c>
      <c r="Z1375" s="7">
        <v>9.9700000000000006</v>
      </c>
      <c r="AA1375" s="7">
        <v>9.9499999999999993</v>
      </c>
      <c r="AB1375" s="7">
        <v>9.6199999999999992</v>
      </c>
      <c r="AC1375" s="7">
        <v>9.57</v>
      </c>
      <c r="AD1375" s="7">
        <v>9.68</v>
      </c>
      <c r="AE1375" s="7">
        <v>9.61</v>
      </c>
      <c r="AF1375" s="7">
        <v>9.49</v>
      </c>
      <c r="AG1375" s="7">
        <v>9.9</v>
      </c>
    </row>
    <row r="1376" spans="1:33" x14ac:dyDescent="0.35">
      <c r="A1376" t="s">
        <v>1245</v>
      </c>
      <c r="B1376" s="7">
        <v>9.9600000000000009</v>
      </c>
      <c r="C1376" s="7">
        <v>9.9700000000000006</v>
      </c>
      <c r="D1376" s="7">
        <v>9.9600000000000009</v>
      </c>
      <c r="E1376" s="7">
        <v>9.9499999999999993</v>
      </c>
      <c r="F1376" s="7">
        <v>9.9700000000000006</v>
      </c>
      <c r="G1376" s="7">
        <v>8.9600000000000009</v>
      </c>
      <c r="H1376" s="7">
        <v>8.66</v>
      </c>
      <c r="I1376" s="7">
        <v>8.6300000000000008</v>
      </c>
      <c r="J1376" s="7">
        <v>8.61</v>
      </c>
      <c r="K1376" s="7">
        <v>8.59</v>
      </c>
      <c r="L1376" s="27">
        <v>8.9600000000000009</v>
      </c>
      <c r="M1376" s="7">
        <v>9.9600000000000009</v>
      </c>
      <c r="N1376" s="7">
        <v>9.93</v>
      </c>
      <c r="O1376" s="7">
        <v>9.9499999999999993</v>
      </c>
      <c r="P1376" s="7">
        <v>9.6999999999999993</v>
      </c>
      <c r="Q1376" s="7">
        <v>9.67</v>
      </c>
      <c r="R1376" s="7">
        <v>9.67</v>
      </c>
      <c r="S1376" s="7">
        <v>9.6199999999999992</v>
      </c>
      <c r="T1376" s="7">
        <v>8.6300000000000008</v>
      </c>
      <c r="U1376" s="7">
        <v>8.59</v>
      </c>
      <c r="V1376" s="7">
        <v>8.6</v>
      </c>
      <c r="W1376" s="7">
        <v>8.57</v>
      </c>
      <c r="X1376" s="7">
        <v>9.9499999999999993</v>
      </c>
      <c r="Y1376" s="7">
        <v>9.9700000000000006</v>
      </c>
      <c r="Z1376" s="7">
        <v>9.9700000000000006</v>
      </c>
      <c r="AA1376" s="7">
        <v>9.9499999999999993</v>
      </c>
      <c r="AB1376" s="7">
        <v>8.9600000000000009</v>
      </c>
      <c r="AC1376" s="7">
        <v>8.9700000000000006</v>
      </c>
      <c r="AD1376" s="7">
        <v>8.9700000000000006</v>
      </c>
      <c r="AE1376" s="7">
        <v>8.9700000000000006</v>
      </c>
      <c r="AF1376" s="7">
        <v>8.9700000000000006</v>
      </c>
      <c r="AG1376" s="7">
        <v>9.8699999999999992</v>
      </c>
    </row>
    <row r="1378" spans="1:33" ht="15" thickBot="1" x14ac:dyDescent="0.4"/>
    <row r="1379" spans="1:33" s="164" customFormat="1" ht="15.5" thickTop="1" thickBot="1" x14ac:dyDescent="0.4"/>
    <row r="1380" spans="1:33" ht="15" thickTop="1" x14ac:dyDescent="0.35"/>
    <row r="1382" spans="1:33" x14ac:dyDescent="0.35">
      <c r="A1382" t="s">
        <v>1240</v>
      </c>
      <c r="B1382" s="5">
        <v>46026</v>
      </c>
      <c r="C1382" s="5">
        <v>46033</v>
      </c>
      <c r="D1382" s="5">
        <v>46040</v>
      </c>
      <c r="E1382" s="5">
        <v>46047</v>
      </c>
      <c r="F1382" s="5">
        <v>46054</v>
      </c>
      <c r="G1382" s="5">
        <v>46061</v>
      </c>
      <c r="H1382" s="5">
        <v>46068</v>
      </c>
      <c r="I1382" s="5">
        <v>46075</v>
      </c>
      <c r="J1382" s="5">
        <v>46082</v>
      </c>
      <c r="K1382" s="5">
        <v>46089</v>
      </c>
      <c r="L1382" s="5">
        <v>46096</v>
      </c>
      <c r="M1382" s="5">
        <v>46103</v>
      </c>
      <c r="N1382" s="5">
        <v>46110</v>
      </c>
      <c r="O1382" s="5">
        <v>46117</v>
      </c>
      <c r="P1382" s="5">
        <v>46124</v>
      </c>
      <c r="Q1382" s="5">
        <v>46131</v>
      </c>
      <c r="R1382" s="5">
        <v>46138</v>
      </c>
      <c r="S1382" s="5">
        <v>46145</v>
      </c>
      <c r="T1382" s="5">
        <v>46152</v>
      </c>
      <c r="U1382" s="5">
        <v>46159</v>
      </c>
      <c r="V1382" s="5">
        <v>46166</v>
      </c>
      <c r="W1382" s="5">
        <v>46173</v>
      </c>
      <c r="X1382" s="5">
        <v>46180</v>
      </c>
      <c r="Y1382" s="5">
        <v>46187</v>
      </c>
      <c r="Z1382" s="5">
        <v>46194</v>
      </c>
      <c r="AA1382" s="5">
        <v>46201</v>
      </c>
      <c r="AB1382" s="5">
        <v>46208</v>
      </c>
      <c r="AC1382" s="5">
        <v>46215</v>
      </c>
      <c r="AD1382" s="5">
        <v>46222</v>
      </c>
      <c r="AE1382" s="5">
        <v>46229</v>
      </c>
      <c r="AF1382" s="5">
        <v>46236</v>
      </c>
      <c r="AG1382" s="5">
        <v>46243</v>
      </c>
    </row>
    <row r="1383" spans="1:33" x14ac:dyDescent="0.35">
      <c r="A1383" t="s">
        <v>1241</v>
      </c>
      <c r="B1383" s="6">
        <v>56</v>
      </c>
      <c r="C1383" s="6">
        <v>9606</v>
      </c>
      <c r="D1383" s="6">
        <v>42212</v>
      </c>
      <c r="E1383" s="6">
        <v>68058</v>
      </c>
      <c r="F1383" s="6">
        <v>56536</v>
      </c>
      <c r="G1383" s="6">
        <v>64483</v>
      </c>
      <c r="H1383" s="6">
        <v>63582</v>
      </c>
      <c r="I1383" s="6">
        <v>54308</v>
      </c>
      <c r="J1383" s="6">
        <v>56087</v>
      </c>
      <c r="K1383" s="6">
        <v>55463</v>
      </c>
      <c r="L1383" s="6">
        <v>45219</v>
      </c>
      <c r="M1383" s="6">
        <v>39266</v>
      </c>
      <c r="N1383" s="6">
        <v>34713</v>
      </c>
      <c r="O1383" s="6">
        <v>30622</v>
      </c>
      <c r="P1383" s="6">
        <v>26585</v>
      </c>
      <c r="Q1383" s="6">
        <v>21024</v>
      </c>
      <c r="R1383" s="6">
        <v>16620</v>
      </c>
      <c r="S1383" s="6">
        <v>14456</v>
      </c>
      <c r="T1383" s="6">
        <v>13925</v>
      </c>
      <c r="U1383" s="6">
        <v>12947</v>
      </c>
      <c r="V1383" s="6">
        <v>10063</v>
      </c>
      <c r="W1383" s="6">
        <v>8220</v>
      </c>
      <c r="X1383" s="6">
        <v>7972</v>
      </c>
      <c r="Y1383" s="6">
        <v>7725</v>
      </c>
      <c r="Z1383" s="6">
        <v>6344</v>
      </c>
      <c r="AA1383" s="6">
        <v>4844</v>
      </c>
      <c r="AB1383" s="6">
        <v>4124</v>
      </c>
      <c r="AC1383" s="6">
        <v>3483</v>
      </c>
      <c r="AD1383" s="6">
        <v>4777</v>
      </c>
      <c r="AE1383" s="6">
        <v>25368</v>
      </c>
      <c r="AF1383" s="6">
        <v>52797</v>
      </c>
      <c r="AG1383" s="6">
        <v>67437</v>
      </c>
    </row>
    <row r="1384" spans="1:33" x14ac:dyDescent="0.35">
      <c r="A1384" t="s">
        <v>1242</v>
      </c>
      <c r="B1384" s="3">
        <v>0.11600000000000001</v>
      </c>
      <c r="C1384" s="3">
        <v>0.121</v>
      </c>
      <c r="D1384" s="3">
        <v>0.30399999999999999</v>
      </c>
      <c r="E1384" s="3">
        <v>0.46200000000000002</v>
      </c>
      <c r="F1384" s="3">
        <v>0.38100000000000001</v>
      </c>
      <c r="G1384" s="3">
        <v>0.40500000000000003</v>
      </c>
      <c r="H1384" s="3">
        <v>0.45300000000000001</v>
      </c>
      <c r="I1384" s="3">
        <v>0.38900000000000001</v>
      </c>
      <c r="J1384" s="3">
        <v>0.32800000000000001</v>
      </c>
      <c r="K1384" s="3">
        <v>0.46500000000000002</v>
      </c>
      <c r="L1384" s="3">
        <v>0.38800000000000001</v>
      </c>
      <c r="M1384" s="3">
        <v>0.371</v>
      </c>
      <c r="N1384" s="3">
        <v>0.379</v>
      </c>
      <c r="O1384" s="3">
        <v>0.38300000000000001</v>
      </c>
      <c r="P1384" s="3">
        <v>0.44400000000000001</v>
      </c>
      <c r="Q1384" s="3">
        <v>0.33600000000000002</v>
      </c>
      <c r="R1384" s="3">
        <v>0.216</v>
      </c>
      <c r="S1384" s="3">
        <v>0.20899999999999999</v>
      </c>
      <c r="T1384" s="3">
        <v>0.32900000000000001</v>
      </c>
      <c r="U1384" s="3">
        <v>0.55200000000000005</v>
      </c>
      <c r="V1384" s="3">
        <v>0.40600000000000003</v>
      </c>
      <c r="W1384" s="3">
        <v>0.312</v>
      </c>
      <c r="X1384" s="3">
        <v>0.38900000000000001</v>
      </c>
      <c r="Y1384" s="3">
        <v>0.53400000000000003</v>
      </c>
      <c r="Z1384" s="3">
        <v>0.38300000000000001</v>
      </c>
      <c r="AA1384" s="3">
        <v>0.34699999999999998</v>
      </c>
      <c r="AB1384" s="3">
        <v>0.217</v>
      </c>
      <c r="AC1384" s="3">
        <v>0.217</v>
      </c>
      <c r="AD1384" s="3">
        <v>0.20899999999999999</v>
      </c>
      <c r="AE1384" s="3">
        <v>9.8000000000000004E-2</v>
      </c>
      <c r="AF1384" s="3">
        <v>0.17399999999999999</v>
      </c>
      <c r="AG1384" s="3">
        <v>0.25600000000000001</v>
      </c>
    </row>
    <row r="1385" spans="1:33" x14ac:dyDescent="0.35">
      <c r="A1385" t="s">
        <v>1243</v>
      </c>
      <c r="B1385" s="6">
        <v>6</v>
      </c>
      <c r="C1385" s="6">
        <v>1040</v>
      </c>
      <c r="D1385" s="6">
        <v>9840</v>
      </c>
      <c r="E1385" s="6">
        <v>21511</v>
      </c>
      <c r="F1385" s="6">
        <v>15585</v>
      </c>
      <c r="G1385" s="6">
        <v>18587</v>
      </c>
      <c r="H1385" s="6">
        <v>19832</v>
      </c>
      <c r="I1385" s="6">
        <v>15214</v>
      </c>
      <c r="J1385" s="6">
        <v>13867</v>
      </c>
      <c r="K1385" s="6">
        <v>17600</v>
      </c>
      <c r="L1385" s="6">
        <v>12638</v>
      </c>
      <c r="M1385" s="6">
        <v>10619</v>
      </c>
      <c r="N1385" s="6">
        <v>9535</v>
      </c>
      <c r="O1385" s="6">
        <v>8483</v>
      </c>
      <c r="P1385" s="6">
        <v>8179</v>
      </c>
      <c r="Q1385" s="6">
        <v>5286</v>
      </c>
      <c r="R1385" s="6">
        <v>2955</v>
      </c>
      <c r="S1385" s="6">
        <v>2496</v>
      </c>
      <c r="T1385" s="6">
        <v>3451</v>
      </c>
      <c r="U1385" s="6">
        <v>4607</v>
      </c>
      <c r="V1385" s="6">
        <v>2907</v>
      </c>
      <c r="W1385" s="6">
        <v>1954</v>
      </c>
      <c r="X1385" s="6">
        <v>2231</v>
      </c>
      <c r="Y1385" s="6">
        <v>2689</v>
      </c>
      <c r="Z1385" s="6">
        <v>1758</v>
      </c>
      <c r="AA1385" s="6">
        <v>1249</v>
      </c>
      <c r="AB1385" s="6">
        <v>736</v>
      </c>
      <c r="AC1385" s="6">
        <v>621</v>
      </c>
      <c r="AD1385" s="6">
        <v>827</v>
      </c>
      <c r="AE1385" s="6">
        <v>2260</v>
      </c>
      <c r="AF1385" s="6">
        <v>7837</v>
      </c>
      <c r="AG1385" s="6">
        <v>13757</v>
      </c>
    </row>
    <row r="1386" spans="1:33" x14ac:dyDescent="0.35">
      <c r="A1386" t="s">
        <v>1244</v>
      </c>
      <c r="B1386" s="6">
        <v>50</v>
      </c>
      <c r="C1386" s="6">
        <v>8566</v>
      </c>
      <c r="D1386" s="6">
        <v>32372</v>
      </c>
      <c r="E1386" s="6">
        <v>46547</v>
      </c>
      <c r="F1386" s="6">
        <v>40951</v>
      </c>
      <c r="G1386" s="6">
        <v>45896</v>
      </c>
      <c r="H1386" s="6">
        <v>43750</v>
      </c>
      <c r="I1386" s="6">
        <v>39094</v>
      </c>
      <c r="J1386" s="6">
        <v>42220</v>
      </c>
      <c r="K1386" s="6">
        <v>37863</v>
      </c>
      <c r="L1386" s="6">
        <v>32581</v>
      </c>
      <c r="M1386" s="6">
        <v>28647</v>
      </c>
      <c r="N1386" s="6">
        <v>25179</v>
      </c>
      <c r="O1386" s="6">
        <v>22139</v>
      </c>
      <c r="P1386" s="6">
        <v>18406</v>
      </c>
      <c r="Q1386" s="6">
        <v>15738</v>
      </c>
      <c r="R1386" s="6">
        <v>13665</v>
      </c>
      <c r="S1386" s="6">
        <v>11960</v>
      </c>
      <c r="T1386" s="6">
        <v>10474</v>
      </c>
      <c r="U1386" s="6">
        <v>8340</v>
      </c>
      <c r="V1386" s="6">
        <v>7156</v>
      </c>
      <c r="W1386" s="6">
        <v>6266</v>
      </c>
      <c r="X1386" s="6">
        <v>5741</v>
      </c>
      <c r="Y1386" s="6">
        <v>5036</v>
      </c>
      <c r="Z1386" s="6">
        <v>4586</v>
      </c>
      <c r="AA1386" s="6">
        <v>3595</v>
      </c>
      <c r="AB1386" s="6">
        <v>3388</v>
      </c>
      <c r="AC1386" s="6">
        <v>2862</v>
      </c>
      <c r="AD1386" s="6">
        <v>3950</v>
      </c>
      <c r="AE1386" s="6">
        <v>23108</v>
      </c>
      <c r="AF1386" s="6">
        <v>44960</v>
      </c>
      <c r="AG1386" s="6">
        <v>53680</v>
      </c>
    </row>
    <row r="1387" spans="1:33" x14ac:dyDescent="0.35">
      <c r="A1387" t="s">
        <v>1245</v>
      </c>
      <c r="B1387" s="7">
        <v>2.5099999999999998</v>
      </c>
      <c r="C1387" s="7">
        <v>2.4700000000000002</v>
      </c>
      <c r="D1387" s="7">
        <v>2.48</v>
      </c>
      <c r="E1387" s="7">
        <v>2.46</v>
      </c>
      <c r="F1387" s="7">
        <v>2.4700000000000002</v>
      </c>
      <c r="G1387" s="7">
        <v>2.4500000000000002</v>
      </c>
      <c r="H1387" s="7">
        <v>2.42</v>
      </c>
      <c r="I1387" s="7">
        <v>2.39</v>
      </c>
      <c r="J1387" s="7">
        <v>2.37</v>
      </c>
      <c r="K1387" s="7">
        <v>2.16</v>
      </c>
      <c r="L1387" s="7">
        <v>2.19</v>
      </c>
      <c r="M1387" s="7">
        <v>2.23</v>
      </c>
      <c r="N1387" s="7">
        <v>2.1800000000000002</v>
      </c>
      <c r="O1387" s="7">
        <v>2.1800000000000002</v>
      </c>
      <c r="P1387" s="7">
        <v>2.11</v>
      </c>
      <c r="Q1387" s="7">
        <v>2.17</v>
      </c>
      <c r="R1387" s="7">
        <v>2.25</v>
      </c>
      <c r="S1387" s="7">
        <v>2.2400000000000002</v>
      </c>
      <c r="T1387" s="7">
        <v>2.1</v>
      </c>
      <c r="U1387" s="7">
        <v>1.95</v>
      </c>
      <c r="V1387" s="7">
        <v>2.0299999999999998</v>
      </c>
      <c r="W1387" s="7">
        <v>2.15</v>
      </c>
      <c r="X1387" s="7">
        <v>2.04</v>
      </c>
      <c r="Y1387" s="7">
        <v>1.92</v>
      </c>
      <c r="Z1387" s="7">
        <v>2.0099999999999998</v>
      </c>
      <c r="AA1387" s="7">
        <v>2.0299999999999998</v>
      </c>
      <c r="AB1387" s="7">
        <v>2.1800000000000002</v>
      </c>
      <c r="AC1387" s="7">
        <v>2.12</v>
      </c>
      <c r="AD1387" s="7">
        <v>2.15</v>
      </c>
      <c r="AE1387" s="7">
        <v>2.5499999999999998</v>
      </c>
      <c r="AF1387" s="7">
        <v>2.58</v>
      </c>
      <c r="AG1387" s="7">
        <v>2.5499999999999998</v>
      </c>
    </row>
    <row r="1389" spans="1:33" x14ac:dyDescent="0.35">
      <c r="A1389" t="s">
        <v>1240</v>
      </c>
      <c r="B1389" s="5">
        <v>46026</v>
      </c>
      <c r="C1389" s="5">
        <v>46033</v>
      </c>
      <c r="D1389" s="5">
        <v>46040</v>
      </c>
      <c r="E1389" s="5">
        <v>46047</v>
      </c>
      <c r="F1389" s="5">
        <v>46054</v>
      </c>
      <c r="G1389" s="5">
        <v>46061</v>
      </c>
      <c r="H1389" s="5">
        <v>46068</v>
      </c>
      <c r="I1389" s="5">
        <v>46075</v>
      </c>
      <c r="J1389" s="5">
        <v>46082</v>
      </c>
      <c r="K1389" s="5">
        <v>46089</v>
      </c>
      <c r="L1389" s="5">
        <v>46096</v>
      </c>
      <c r="M1389" s="5">
        <v>46103</v>
      </c>
      <c r="N1389" s="5">
        <v>46110</v>
      </c>
      <c r="O1389" s="5">
        <v>46117</v>
      </c>
      <c r="P1389" s="5">
        <v>46124</v>
      </c>
      <c r="Q1389" s="5">
        <v>46131</v>
      </c>
      <c r="R1389" s="5">
        <v>46138</v>
      </c>
      <c r="S1389" s="5">
        <v>46145</v>
      </c>
      <c r="T1389" s="5">
        <v>46152</v>
      </c>
      <c r="U1389" s="5">
        <v>46159</v>
      </c>
      <c r="V1389" s="5">
        <v>46166</v>
      </c>
      <c r="W1389" s="5">
        <v>46173</v>
      </c>
      <c r="X1389" s="5">
        <v>46180</v>
      </c>
      <c r="Y1389" s="5">
        <v>46187</v>
      </c>
      <c r="Z1389" s="5">
        <v>46194</v>
      </c>
      <c r="AA1389" s="5">
        <v>46201</v>
      </c>
      <c r="AB1389" s="5">
        <v>46208</v>
      </c>
      <c r="AC1389" s="5">
        <v>46215</v>
      </c>
      <c r="AD1389" s="5">
        <v>46222</v>
      </c>
      <c r="AE1389" s="5">
        <v>46229</v>
      </c>
      <c r="AF1389" s="5">
        <v>46236</v>
      </c>
      <c r="AG1389" s="5">
        <v>46243</v>
      </c>
    </row>
    <row r="1390" spans="1:33" x14ac:dyDescent="0.35">
      <c r="A1390" t="s">
        <v>1242</v>
      </c>
      <c r="B1390" s="3">
        <v>0.11600000000000001</v>
      </c>
      <c r="C1390" s="3">
        <v>0.121</v>
      </c>
      <c r="D1390" s="3">
        <v>0.30399999999999999</v>
      </c>
      <c r="E1390" s="3">
        <v>0.46200000000000002</v>
      </c>
      <c r="F1390" s="3">
        <v>0.38100000000000001</v>
      </c>
      <c r="G1390" s="3">
        <v>0.40500000000000003</v>
      </c>
      <c r="H1390" s="3">
        <v>0.45300000000000001</v>
      </c>
      <c r="I1390" s="3">
        <v>0.38900000000000001</v>
      </c>
      <c r="J1390" s="3">
        <v>0.32800000000000001</v>
      </c>
      <c r="K1390" s="3">
        <v>0.46500000000000002</v>
      </c>
      <c r="L1390" s="3">
        <v>0.38800000000000001</v>
      </c>
      <c r="M1390" s="3">
        <v>0.371</v>
      </c>
      <c r="N1390" s="3">
        <v>0.379</v>
      </c>
      <c r="O1390" s="3">
        <v>0.38300000000000001</v>
      </c>
      <c r="P1390" s="3">
        <v>0.44400000000000001</v>
      </c>
      <c r="Q1390" s="3">
        <v>0.33600000000000002</v>
      </c>
      <c r="R1390" s="3">
        <v>0.216</v>
      </c>
      <c r="S1390" s="3">
        <v>0.20899999999999999</v>
      </c>
      <c r="T1390" s="3">
        <v>0.32900000000000001</v>
      </c>
      <c r="U1390" s="3">
        <v>0.55200000000000005</v>
      </c>
      <c r="V1390" s="3">
        <v>0.40600000000000003</v>
      </c>
      <c r="W1390" s="3">
        <v>0.312</v>
      </c>
      <c r="X1390" s="3">
        <v>0.38900000000000001</v>
      </c>
      <c r="Y1390" s="3">
        <v>0.53400000000000003</v>
      </c>
      <c r="Z1390" s="3">
        <v>0.38300000000000001</v>
      </c>
      <c r="AA1390" s="3">
        <v>0.34699999999999998</v>
      </c>
      <c r="AB1390" s="3">
        <v>0.217</v>
      </c>
      <c r="AC1390" s="3">
        <v>0.217</v>
      </c>
      <c r="AD1390" s="3">
        <v>0.20899999999999999</v>
      </c>
      <c r="AE1390" s="3">
        <v>9.8000000000000004E-2</v>
      </c>
      <c r="AF1390" s="3">
        <v>0.17399999999999999</v>
      </c>
      <c r="AG1390" s="3">
        <v>0.25600000000000001</v>
      </c>
    </row>
    <row r="1391" spans="1:33" x14ac:dyDescent="0.35">
      <c r="A1391" t="s">
        <v>1247</v>
      </c>
      <c r="B1391" s="3">
        <v>2.1000000000000001E-2</v>
      </c>
      <c r="C1391" s="3">
        <v>1.2E-2</v>
      </c>
      <c r="D1391" s="3">
        <v>0.02</v>
      </c>
      <c r="E1391" s="3">
        <v>2.3E-2</v>
      </c>
      <c r="F1391" s="3">
        <v>1.2E-2</v>
      </c>
      <c r="G1391" s="3">
        <v>1.4999999999999999E-2</v>
      </c>
      <c r="H1391" s="3">
        <v>3.9E-2</v>
      </c>
      <c r="I1391" s="3">
        <v>0.06</v>
      </c>
      <c r="J1391" s="3">
        <v>9.2999999999999999E-2</v>
      </c>
      <c r="K1391" s="3">
        <v>0.23799999999999999</v>
      </c>
      <c r="L1391" s="3">
        <v>0.22700000000000001</v>
      </c>
      <c r="M1391" s="3">
        <v>0.19700000000000001</v>
      </c>
      <c r="N1391" s="3">
        <v>0.25600000000000001</v>
      </c>
      <c r="O1391" s="3">
        <v>0.25900000000000001</v>
      </c>
      <c r="P1391" s="3">
        <v>0.28699999999999998</v>
      </c>
      <c r="Q1391" s="3">
        <v>0.28100000000000003</v>
      </c>
      <c r="R1391" s="3">
        <v>0.26</v>
      </c>
      <c r="S1391" s="3">
        <v>0.31</v>
      </c>
      <c r="T1391" s="3">
        <v>0.36499999999999999</v>
      </c>
      <c r="U1391" s="3">
        <v>0.39600000000000002</v>
      </c>
      <c r="V1391" s="3">
        <v>0.39800000000000002</v>
      </c>
      <c r="W1391" s="3">
        <v>0.34499999999999997</v>
      </c>
      <c r="X1391" s="3">
        <v>0.36</v>
      </c>
      <c r="Y1391" s="3">
        <v>0.43099999999999999</v>
      </c>
      <c r="Z1391" s="3">
        <v>0.40600000000000003</v>
      </c>
      <c r="AA1391" s="3">
        <v>0.36599999999999999</v>
      </c>
      <c r="AB1391" s="3">
        <v>0.35799999999999998</v>
      </c>
      <c r="AC1391" s="3">
        <v>0.41299999999999998</v>
      </c>
      <c r="AD1391" s="3">
        <v>0.42199999999999999</v>
      </c>
      <c r="AE1391" s="3">
        <v>7.4999999999999997E-2</v>
      </c>
      <c r="AF1391" s="3">
        <v>3.1E-2</v>
      </c>
      <c r="AG1391" s="3">
        <v>1.7000000000000001E-2</v>
      </c>
    </row>
    <row r="1392" spans="1:33" x14ac:dyDescent="0.35">
      <c r="A1392" t="s">
        <v>1248</v>
      </c>
      <c r="B1392" s="7">
        <v>0.05</v>
      </c>
      <c r="C1392" s="7">
        <v>0.03</v>
      </c>
      <c r="D1392" s="7">
        <v>0.05</v>
      </c>
      <c r="E1392" s="7">
        <v>0.06</v>
      </c>
      <c r="F1392" s="7">
        <v>0.03</v>
      </c>
      <c r="G1392" s="7">
        <v>0.04</v>
      </c>
      <c r="H1392" s="7">
        <v>0.1</v>
      </c>
      <c r="I1392" s="7">
        <v>0.15</v>
      </c>
      <c r="J1392" s="7">
        <v>0.23</v>
      </c>
      <c r="K1392" s="7">
        <v>0.59</v>
      </c>
      <c r="L1392" s="7">
        <v>0.56000000000000005</v>
      </c>
      <c r="M1392" s="7">
        <v>0.48</v>
      </c>
      <c r="N1392" s="7">
        <v>0.63</v>
      </c>
      <c r="O1392" s="7">
        <v>0.64</v>
      </c>
      <c r="P1392" s="7">
        <v>0.7</v>
      </c>
      <c r="Q1392" s="7">
        <v>0.69</v>
      </c>
      <c r="R1392" s="7">
        <v>0.64</v>
      </c>
      <c r="S1392" s="7">
        <v>0.76</v>
      </c>
      <c r="T1392" s="7">
        <v>0.89</v>
      </c>
      <c r="U1392" s="7">
        <v>0.96</v>
      </c>
      <c r="V1392" s="7">
        <v>0.97</v>
      </c>
      <c r="W1392" s="7">
        <v>0.84</v>
      </c>
      <c r="X1392" s="7">
        <v>0.86</v>
      </c>
      <c r="Y1392" s="7">
        <v>1.04</v>
      </c>
      <c r="Z1392" s="7">
        <v>0.97</v>
      </c>
      <c r="AA1392" s="7">
        <v>0.87</v>
      </c>
      <c r="AB1392" s="7">
        <v>0.87</v>
      </c>
      <c r="AC1392" s="7">
        <v>0.99</v>
      </c>
      <c r="AD1392" s="7">
        <v>1.01</v>
      </c>
      <c r="AE1392" s="7">
        <v>0.2</v>
      </c>
      <c r="AF1392" s="7">
        <v>0.08</v>
      </c>
      <c r="AG1392" s="7">
        <v>0.04</v>
      </c>
    </row>
    <row r="1393" spans="1:33" x14ac:dyDescent="0.35">
      <c r="A1393" t="s">
        <v>1249</v>
      </c>
      <c r="B1393" s="7">
        <v>2.48</v>
      </c>
      <c r="C1393" s="7">
        <v>2.4700000000000002</v>
      </c>
      <c r="D1393" s="7">
        <v>2.48</v>
      </c>
      <c r="E1393" s="7">
        <v>2.46</v>
      </c>
      <c r="F1393" s="7">
        <v>2.4700000000000002</v>
      </c>
      <c r="G1393" s="7">
        <v>2.4300000000000002</v>
      </c>
      <c r="H1393" s="7">
        <v>2.38</v>
      </c>
      <c r="I1393" s="7">
        <v>2.3199999999999998</v>
      </c>
      <c r="J1393" s="7">
        <v>2.2400000000000002</v>
      </c>
      <c r="K1393" s="7">
        <v>1.88</v>
      </c>
      <c r="L1393" s="7">
        <v>1.9</v>
      </c>
      <c r="M1393" s="7">
        <v>1.98</v>
      </c>
      <c r="N1393" s="7">
        <v>1.83</v>
      </c>
      <c r="O1393" s="7">
        <v>1.82</v>
      </c>
      <c r="P1393" s="7">
        <v>1.75</v>
      </c>
      <c r="Q1393" s="7">
        <v>1.77</v>
      </c>
      <c r="R1393" s="7">
        <v>1.81</v>
      </c>
      <c r="S1393" s="7">
        <v>1.69</v>
      </c>
      <c r="T1393" s="7">
        <v>1.55</v>
      </c>
      <c r="U1393" s="7">
        <v>1.47</v>
      </c>
      <c r="V1393" s="7">
        <v>1.47</v>
      </c>
      <c r="W1393" s="7">
        <v>1.59</v>
      </c>
      <c r="X1393" s="7">
        <v>1.53</v>
      </c>
      <c r="Y1393" s="7">
        <v>1.37</v>
      </c>
      <c r="Z1393" s="7">
        <v>1.42</v>
      </c>
      <c r="AA1393" s="7">
        <v>1.5</v>
      </c>
      <c r="AB1393" s="7">
        <v>1.55</v>
      </c>
      <c r="AC1393" s="7">
        <v>1.41</v>
      </c>
      <c r="AD1393" s="7">
        <v>1.39</v>
      </c>
      <c r="AE1393" s="7">
        <v>2.4</v>
      </c>
      <c r="AF1393" s="7">
        <v>2.54</v>
      </c>
      <c r="AG1393" s="7">
        <v>2.5499999999999998</v>
      </c>
    </row>
    <row r="1394" spans="1:33" x14ac:dyDescent="0.35">
      <c r="A1394" t="s">
        <v>1250</v>
      </c>
      <c r="B1394" s="7">
        <v>2.5299999999999998</v>
      </c>
      <c r="C1394" s="7">
        <v>2.5</v>
      </c>
      <c r="D1394" s="7">
        <v>2.5299999999999998</v>
      </c>
      <c r="E1394" s="7">
        <v>2.52</v>
      </c>
      <c r="F1394" s="7">
        <v>2.5</v>
      </c>
      <c r="G1394" s="7">
        <v>2.4700000000000002</v>
      </c>
      <c r="H1394" s="7">
        <v>2.48</v>
      </c>
      <c r="I1394" s="7">
        <v>2.4700000000000002</v>
      </c>
      <c r="J1394" s="7">
        <v>2.4700000000000002</v>
      </c>
      <c r="K1394" s="7">
        <v>2.4700000000000002</v>
      </c>
      <c r="L1394" s="7">
        <v>2.46</v>
      </c>
      <c r="M1394" s="7">
        <v>2.46</v>
      </c>
      <c r="N1394" s="7">
        <v>2.46</v>
      </c>
      <c r="O1394" s="7">
        <v>2.46</v>
      </c>
      <c r="P1394" s="7">
        <v>2.4500000000000002</v>
      </c>
      <c r="Q1394" s="7">
        <v>2.46</v>
      </c>
      <c r="R1394" s="7">
        <v>2.4500000000000002</v>
      </c>
      <c r="S1394" s="7">
        <v>2.4500000000000002</v>
      </c>
      <c r="T1394" s="7">
        <v>2.44</v>
      </c>
      <c r="U1394" s="7">
        <v>2.4300000000000002</v>
      </c>
      <c r="V1394" s="7">
        <v>2.44</v>
      </c>
      <c r="W1394" s="7">
        <v>2.4300000000000002</v>
      </c>
      <c r="X1394" s="7">
        <v>2.39</v>
      </c>
      <c r="Y1394" s="7">
        <v>2.41</v>
      </c>
      <c r="Z1394" s="7">
        <v>2.39</v>
      </c>
      <c r="AA1394" s="7">
        <v>2.36</v>
      </c>
      <c r="AB1394" s="7">
        <v>2.42</v>
      </c>
      <c r="AC1394" s="7">
        <v>2.4</v>
      </c>
      <c r="AD1394" s="7">
        <v>2.4</v>
      </c>
      <c r="AE1394" s="7">
        <v>2.59</v>
      </c>
      <c r="AF1394" s="7">
        <v>2.62</v>
      </c>
      <c r="AG1394" s="7">
        <v>2.6</v>
      </c>
    </row>
    <row r="1395" spans="1:33" x14ac:dyDescent="0.35">
      <c r="A1395" t="s">
        <v>1245</v>
      </c>
      <c r="B1395" s="7">
        <v>2.5099999999999998</v>
      </c>
      <c r="C1395" s="7">
        <v>2.4700000000000002</v>
      </c>
      <c r="D1395" s="7">
        <v>2.48</v>
      </c>
      <c r="E1395" s="7">
        <v>2.46</v>
      </c>
      <c r="F1395" s="7">
        <v>2.4700000000000002</v>
      </c>
      <c r="G1395" s="7">
        <v>2.4500000000000002</v>
      </c>
      <c r="H1395" s="7">
        <v>2.42</v>
      </c>
      <c r="I1395" s="7">
        <v>2.39</v>
      </c>
      <c r="J1395" s="7">
        <v>2.37</v>
      </c>
      <c r="K1395" s="7">
        <v>2.16</v>
      </c>
      <c r="L1395" s="7">
        <v>2.19</v>
      </c>
      <c r="M1395" s="7">
        <v>2.23</v>
      </c>
      <c r="N1395" s="7">
        <v>2.1800000000000002</v>
      </c>
      <c r="O1395" s="7">
        <v>2.1800000000000002</v>
      </c>
      <c r="P1395" s="7">
        <v>2.11</v>
      </c>
      <c r="Q1395" s="7">
        <v>2.17</v>
      </c>
      <c r="R1395" s="7">
        <v>2.25</v>
      </c>
      <c r="S1395" s="7">
        <v>2.2400000000000002</v>
      </c>
      <c r="T1395" s="7">
        <v>2.1</v>
      </c>
      <c r="U1395" s="7">
        <v>1.95</v>
      </c>
      <c r="V1395" s="7">
        <v>2.0299999999999998</v>
      </c>
      <c r="W1395" s="7">
        <v>2.15</v>
      </c>
      <c r="X1395" s="7">
        <v>2.04</v>
      </c>
      <c r="Y1395" s="7">
        <v>1.92</v>
      </c>
      <c r="Z1395" s="7">
        <v>2.0099999999999998</v>
      </c>
      <c r="AA1395" s="7">
        <v>2.0299999999999998</v>
      </c>
      <c r="AB1395" s="7">
        <v>2.1800000000000002</v>
      </c>
      <c r="AC1395" s="7">
        <v>2.12</v>
      </c>
      <c r="AD1395" s="7">
        <v>2.15</v>
      </c>
      <c r="AE1395" s="7">
        <v>2.5499999999999998</v>
      </c>
      <c r="AF1395" s="7">
        <v>2.58</v>
      </c>
      <c r="AG1395" s="7">
        <v>2.5499999999999998</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9F3E4-B499-421D-BBDB-30FBC1809097}">
  <dimension ref="A1:H64"/>
  <sheetViews>
    <sheetView topLeftCell="A50" workbookViewId="0">
      <selection activeCell="B32" sqref="B32"/>
    </sheetView>
  </sheetViews>
  <sheetFormatPr defaultRowHeight="14.5" x14ac:dyDescent="0.35"/>
  <cols>
    <col min="1" max="1" width="34.54296875" customWidth="1"/>
    <col min="2" max="2" width="96.36328125" customWidth="1"/>
    <col min="3" max="8" width="13" customWidth="1"/>
  </cols>
  <sheetData>
    <row r="1" spans="1:8" x14ac:dyDescent="0.35">
      <c r="A1" s="299" t="s">
        <v>1421</v>
      </c>
      <c r="B1" s="299"/>
      <c r="C1" s="299"/>
      <c r="D1" s="299"/>
      <c r="E1" s="299"/>
      <c r="F1" s="299"/>
      <c r="G1" s="299"/>
      <c r="H1" s="299"/>
    </row>
    <row r="2" spans="1:8" x14ac:dyDescent="0.35">
      <c r="A2" s="300" t="s">
        <v>1515</v>
      </c>
      <c r="B2" s="300"/>
      <c r="C2" s="300"/>
      <c r="D2" s="300"/>
      <c r="E2" s="300"/>
      <c r="F2" s="300"/>
      <c r="G2" s="300"/>
      <c r="H2" s="300"/>
    </row>
    <row r="3" spans="1:8" x14ac:dyDescent="0.35">
      <c r="A3" s="91"/>
      <c r="B3" s="91"/>
      <c r="C3" s="91"/>
      <c r="D3" s="91"/>
      <c r="E3" s="91"/>
      <c r="F3" s="91"/>
      <c r="G3" s="91"/>
      <c r="H3" s="91"/>
    </row>
    <row r="4" spans="1:8" x14ac:dyDescent="0.35">
      <c r="A4" s="299" t="s">
        <v>1323</v>
      </c>
      <c r="B4" s="299"/>
      <c r="C4" s="299"/>
      <c r="D4" s="299"/>
      <c r="E4" s="299"/>
      <c r="F4" s="299"/>
      <c r="G4" s="299"/>
      <c r="H4" s="299"/>
    </row>
    <row r="5" spans="1:8" x14ac:dyDescent="0.35">
      <c r="A5" s="91" t="s">
        <v>1324</v>
      </c>
      <c r="B5" s="298" t="s">
        <v>1325</v>
      </c>
      <c r="C5" s="298"/>
      <c r="D5" s="298"/>
      <c r="E5" s="298"/>
      <c r="F5" s="298"/>
      <c r="G5" s="298"/>
      <c r="H5" s="298"/>
    </row>
    <row r="6" spans="1:8" x14ac:dyDescent="0.35">
      <c r="A6" s="91" t="s">
        <v>1326</v>
      </c>
      <c r="B6" s="298" t="s">
        <v>1327</v>
      </c>
      <c r="C6" s="298"/>
      <c r="D6" s="298"/>
      <c r="E6" s="298"/>
      <c r="F6" s="298"/>
      <c r="G6" s="298"/>
      <c r="H6" s="298"/>
    </row>
    <row r="7" spans="1:8" x14ac:dyDescent="0.35">
      <c r="A7" s="123" t="s">
        <v>1328</v>
      </c>
      <c r="B7" s="298" t="s">
        <v>1615</v>
      </c>
      <c r="C7" s="298"/>
      <c r="D7" s="298"/>
      <c r="E7" s="298"/>
      <c r="F7" s="298"/>
      <c r="G7" s="298"/>
      <c r="H7" s="298"/>
    </row>
    <row r="8" spans="1:8" x14ac:dyDescent="0.35">
      <c r="A8" s="91"/>
      <c r="B8" s="91"/>
      <c r="C8" s="91"/>
      <c r="D8" s="91"/>
      <c r="E8" s="91"/>
      <c r="F8" s="91"/>
      <c r="G8" s="91"/>
      <c r="H8" s="91"/>
    </row>
    <row r="9" spans="1:8" x14ac:dyDescent="0.35">
      <c r="A9" s="156"/>
      <c r="B9" s="158" t="s">
        <v>1406</v>
      </c>
    </row>
    <row r="10" spans="1:8" x14ac:dyDescent="0.35">
      <c r="B10" s="117"/>
    </row>
    <row r="11" spans="1:8" ht="43.5" x14ac:dyDescent="0.35">
      <c r="B11" s="118" t="s">
        <v>1516</v>
      </c>
    </row>
    <row r="12" spans="1:8" x14ac:dyDescent="0.35">
      <c r="B12" s="117"/>
    </row>
    <row r="13" spans="1:8" ht="58" x14ac:dyDescent="0.35">
      <c r="B13" s="118" t="s">
        <v>1517</v>
      </c>
    </row>
    <row r="14" spans="1:8" x14ac:dyDescent="0.35">
      <c r="B14" s="119"/>
    </row>
    <row r="15" spans="1:8" x14ac:dyDescent="0.35">
      <c r="B15" s="120" t="s">
        <v>1518</v>
      </c>
    </row>
    <row r="16" spans="1:8" ht="43.5" x14ac:dyDescent="0.35">
      <c r="B16" s="120" t="s">
        <v>1519</v>
      </c>
    </row>
    <row r="17" spans="2:8" ht="58" x14ac:dyDescent="0.35">
      <c r="B17" s="120" t="s">
        <v>1616</v>
      </c>
    </row>
    <row r="18" spans="2:8" ht="116" x14ac:dyDescent="0.35">
      <c r="B18" s="117" t="s">
        <v>1617</v>
      </c>
      <c r="C18" s="107"/>
      <c r="D18" s="107"/>
      <c r="E18" s="107"/>
      <c r="F18" s="107"/>
      <c r="G18" s="107"/>
      <c r="H18" s="107"/>
    </row>
    <row r="19" spans="2:8" ht="72.5" x14ac:dyDescent="0.35">
      <c r="B19" s="118" t="s">
        <v>1556</v>
      </c>
      <c r="C19" s="107"/>
      <c r="D19" s="107"/>
      <c r="E19" s="107"/>
      <c r="F19" s="107"/>
      <c r="G19" s="107"/>
      <c r="H19" s="107"/>
    </row>
    <row r="20" spans="2:8" ht="43.5" x14ac:dyDescent="0.35">
      <c r="B20" s="119" t="s">
        <v>1520</v>
      </c>
      <c r="C20" s="107"/>
      <c r="D20" s="107"/>
      <c r="E20" s="107"/>
      <c r="F20" s="107"/>
      <c r="G20" s="107"/>
      <c r="H20" s="107"/>
    </row>
    <row r="21" spans="2:8" ht="72.5" x14ac:dyDescent="0.35">
      <c r="B21" s="119" t="s">
        <v>1557</v>
      </c>
      <c r="C21" s="107"/>
      <c r="D21" s="107"/>
      <c r="E21" s="107"/>
      <c r="F21" s="107"/>
      <c r="G21" s="107"/>
      <c r="H21" s="107"/>
    </row>
    <row r="22" spans="2:8" x14ac:dyDescent="0.35">
      <c r="B22" s="120" t="s">
        <v>1521</v>
      </c>
      <c r="C22" s="107"/>
      <c r="D22" s="107"/>
      <c r="E22" s="107"/>
      <c r="F22" s="107"/>
      <c r="G22" s="107"/>
      <c r="H22" s="107"/>
    </row>
    <row r="23" spans="2:8" ht="58" x14ac:dyDescent="0.35">
      <c r="B23" s="120" t="s">
        <v>1618</v>
      </c>
      <c r="C23" s="107"/>
      <c r="D23" s="107"/>
      <c r="E23" s="107"/>
      <c r="F23" s="107"/>
      <c r="G23" s="107"/>
      <c r="H23" s="107"/>
    </row>
    <row r="24" spans="2:8" ht="58" x14ac:dyDescent="0.35">
      <c r="B24" s="120" t="s">
        <v>1631</v>
      </c>
      <c r="C24" s="107"/>
      <c r="D24" s="107"/>
      <c r="E24" s="107"/>
      <c r="F24" s="107"/>
      <c r="G24" s="107"/>
      <c r="H24" s="107"/>
    </row>
    <row r="25" spans="2:8" ht="29" x14ac:dyDescent="0.35">
      <c r="B25" s="120" t="s">
        <v>1619</v>
      </c>
      <c r="C25" s="107"/>
      <c r="D25" s="107"/>
      <c r="E25" s="107"/>
      <c r="F25" s="107"/>
      <c r="G25" s="107"/>
      <c r="H25" s="107"/>
    </row>
    <row r="26" spans="2:8" ht="43.5" x14ac:dyDescent="0.35">
      <c r="B26" s="120" t="s">
        <v>1632</v>
      </c>
      <c r="C26" s="107"/>
      <c r="D26" s="107"/>
      <c r="E26" s="107"/>
      <c r="F26" s="107"/>
      <c r="G26" s="107"/>
      <c r="H26" s="107"/>
    </row>
    <row r="27" spans="2:8" ht="29" x14ac:dyDescent="0.35">
      <c r="B27" s="117" t="s">
        <v>1522</v>
      </c>
      <c r="C27" s="107"/>
      <c r="D27" s="107"/>
      <c r="E27" s="107"/>
      <c r="F27" s="107"/>
      <c r="G27" s="107"/>
      <c r="H27" s="107"/>
    </row>
    <row r="28" spans="2:8" ht="72.5" x14ac:dyDescent="0.35">
      <c r="B28" s="117" t="s">
        <v>1620</v>
      </c>
      <c r="C28" s="107"/>
      <c r="D28" s="107"/>
      <c r="E28" s="107"/>
      <c r="F28" s="107"/>
      <c r="G28" s="107"/>
      <c r="H28" s="107"/>
    </row>
    <row r="29" spans="2:8" ht="29" x14ac:dyDescent="0.35">
      <c r="B29" s="118" t="s">
        <v>1610</v>
      </c>
      <c r="C29" s="107"/>
      <c r="D29" s="107"/>
      <c r="E29" s="107"/>
      <c r="F29" s="107"/>
      <c r="G29" s="107"/>
      <c r="H29" s="107"/>
    </row>
    <row r="30" spans="2:8" ht="43.5" x14ac:dyDescent="0.35">
      <c r="B30" s="117" t="s">
        <v>1611</v>
      </c>
      <c r="C30" s="107"/>
      <c r="D30" s="107"/>
      <c r="E30" s="107"/>
      <c r="F30" s="107"/>
      <c r="G30" s="107"/>
      <c r="H30" s="107"/>
    </row>
    <row r="31" spans="2:8" ht="29" x14ac:dyDescent="0.35">
      <c r="B31" s="117" t="s">
        <v>1612</v>
      </c>
      <c r="C31" s="107"/>
      <c r="D31" s="107"/>
      <c r="E31" s="107"/>
      <c r="F31" s="107"/>
      <c r="G31" s="107"/>
      <c r="H31" s="107"/>
    </row>
    <row r="32" spans="2:8" ht="72.5" x14ac:dyDescent="0.35">
      <c r="B32" s="107" t="s">
        <v>1558</v>
      </c>
      <c r="C32" s="107"/>
      <c r="D32" s="107"/>
      <c r="E32" s="107"/>
      <c r="F32" s="107"/>
      <c r="G32" s="107"/>
      <c r="H32" s="107"/>
    </row>
    <row r="33" spans="1:8" ht="72.5" x14ac:dyDescent="0.35">
      <c r="B33" s="107" t="s">
        <v>1623</v>
      </c>
      <c r="C33" s="107"/>
      <c r="D33" s="107"/>
      <c r="E33" s="107"/>
      <c r="F33" s="107"/>
      <c r="G33" s="107"/>
      <c r="H33" s="107"/>
    </row>
    <row r="34" spans="1:8" ht="101.5" x14ac:dyDescent="0.35">
      <c r="B34" s="107" t="s">
        <v>1591</v>
      </c>
      <c r="C34" s="107"/>
      <c r="D34" s="107"/>
      <c r="E34" s="107"/>
      <c r="F34" s="107"/>
      <c r="G34" s="107"/>
      <c r="H34" s="107"/>
    </row>
    <row r="35" spans="1:8" x14ac:dyDescent="0.35">
      <c r="B35" s="107"/>
    </row>
    <row r="36" spans="1:8" ht="15.5" x14ac:dyDescent="0.35">
      <c r="A36" s="294" t="s">
        <v>1506</v>
      </c>
      <c r="B36" s="295"/>
      <c r="C36" s="294"/>
      <c r="D36" s="294"/>
      <c r="E36" s="294"/>
      <c r="F36" s="294"/>
      <c r="G36" s="294"/>
      <c r="H36" s="294"/>
    </row>
    <row r="37" spans="1:8" x14ac:dyDescent="0.35">
      <c r="B37" s="296" t="s">
        <v>1507</v>
      </c>
      <c r="C37" s="297"/>
      <c r="D37" s="297"/>
      <c r="E37" s="297"/>
      <c r="F37" s="297"/>
      <c r="G37" s="297"/>
      <c r="H37" s="297"/>
    </row>
    <row r="38" spans="1:8" ht="409.5" x14ac:dyDescent="0.35">
      <c r="A38" t="s">
        <v>1523</v>
      </c>
      <c r="B38" s="107" t="s">
        <v>1630</v>
      </c>
      <c r="C38" s="107"/>
      <c r="D38" s="107"/>
      <c r="E38" s="107"/>
      <c r="F38" s="107"/>
      <c r="G38" s="107"/>
      <c r="H38" s="107"/>
    </row>
    <row r="40" spans="1:8" x14ac:dyDescent="0.35">
      <c r="A40" s="161"/>
      <c r="B40" s="161"/>
      <c r="C40" s="161"/>
      <c r="D40" s="161"/>
      <c r="E40" s="161"/>
      <c r="F40" s="161"/>
      <c r="G40" s="161"/>
      <c r="H40" s="161"/>
    </row>
    <row r="41" spans="1:8" x14ac:dyDescent="0.35">
      <c r="B41" s="162"/>
      <c r="C41" s="162"/>
      <c r="D41" s="162"/>
      <c r="E41" s="162"/>
      <c r="F41" s="162"/>
      <c r="G41" s="162"/>
      <c r="H41" s="162"/>
    </row>
    <row r="42" spans="1:8" x14ac:dyDescent="0.35">
      <c r="A42" s="4" t="s">
        <v>1432</v>
      </c>
      <c r="B42" s="162"/>
      <c r="C42" s="162"/>
      <c r="D42" s="162"/>
      <c r="E42" s="162"/>
      <c r="F42" s="162"/>
      <c r="G42" s="162"/>
      <c r="H42" s="162"/>
    </row>
    <row r="43" spans="1:8" x14ac:dyDescent="0.35">
      <c r="B43" s="107"/>
    </row>
    <row r="44" spans="1:8" x14ac:dyDescent="0.35">
      <c r="B44" s="124" t="s">
        <v>1431</v>
      </c>
    </row>
    <row r="45" spans="1:8" x14ac:dyDescent="0.35">
      <c r="B45" s="107"/>
    </row>
    <row r="46" spans="1:8" x14ac:dyDescent="0.35">
      <c r="B46" s="125" t="s">
        <v>1431</v>
      </c>
    </row>
    <row r="47" spans="1:8" x14ac:dyDescent="0.35">
      <c r="B47" s="107"/>
    </row>
    <row r="48" spans="1:8" x14ac:dyDescent="0.35">
      <c r="B48" s="291" t="s">
        <v>1559</v>
      </c>
      <c r="C48" s="291"/>
      <c r="D48" s="291"/>
      <c r="E48" s="291"/>
      <c r="F48" s="291"/>
      <c r="G48" s="291"/>
      <c r="H48" s="291"/>
    </row>
    <row r="49" spans="1:8" x14ac:dyDescent="0.35">
      <c r="B49" s="107"/>
    </row>
    <row r="50" spans="1:8" ht="29" x14ac:dyDescent="0.35">
      <c r="B50" s="126" t="s">
        <v>1524</v>
      </c>
    </row>
    <row r="51" spans="1:8" x14ac:dyDescent="0.35">
      <c r="B51" s="107"/>
    </row>
    <row r="52" spans="1:8" ht="58" x14ac:dyDescent="0.35">
      <c r="B52" s="126" t="s">
        <v>1621</v>
      </c>
    </row>
    <row r="53" spans="1:8" x14ac:dyDescent="0.35">
      <c r="B53" s="107"/>
    </row>
    <row r="54" spans="1:8" ht="72.5" x14ac:dyDescent="0.35">
      <c r="B54" s="127" t="s">
        <v>1622</v>
      </c>
    </row>
    <row r="55" spans="1:8" x14ac:dyDescent="0.35">
      <c r="B55" s="127"/>
    </row>
    <row r="56" spans="1:8" ht="43.5" x14ac:dyDescent="0.35">
      <c r="B56" s="107" t="s">
        <v>1560</v>
      </c>
    </row>
    <row r="57" spans="1:8" ht="87" x14ac:dyDescent="0.35">
      <c r="A57" t="s">
        <v>1260</v>
      </c>
      <c r="B57" s="107" t="s">
        <v>1624</v>
      </c>
    </row>
    <row r="58" spans="1:8" ht="29" x14ac:dyDescent="0.35">
      <c r="A58" s="80" t="s">
        <v>1525</v>
      </c>
      <c r="B58" s="107"/>
    </row>
    <row r="59" spans="1:8" ht="29" x14ac:dyDescent="0.35">
      <c r="A59" s="80" t="s">
        <v>1526</v>
      </c>
      <c r="B59" s="107" t="s">
        <v>1527</v>
      </c>
    </row>
    <row r="60" spans="1:8" ht="29" x14ac:dyDescent="0.35">
      <c r="A60" s="80" t="s">
        <v>1528</v>
      </c>
      <c r="B60" s="107" t="s">
        <v>1529</v>
      </c>
    </row>
    <row r="61" spans="1:8" ht="29" x14ac:dyDescent="0.35">
      <c r="A61" s="80" t="s">
        <v>1530</v>
      </c>
      <c r="B61" s="107" t="s">
        <v>1531</v>
      </c>
    </row>
    <row r="62" spans="1:8" x14ac:dyDescent="0.35">
      <c r="A62" s="292" t="s">
        <v>1592</v>
      </c>
      <c r="B62" s="292"/>
      <c r="C62" s="292"/>
      <c r="D62" s="292"/>
      <c r="E62" s="292"/>
      <c r="F62" s="292"/>
      <c r="G62" s="292"/>
      <c r="H62" s="292"/>
    </row>
    <row r="63" spans="1:8" x14ac:dyDescent="0.35">
      <c r="B63" s="293" t="s">
        <v>1593</v>
      </c>
      <c r="C63" s="293"/>
      <c r="D63" s="293"/>
      <c r="E63" s="293"/>
      <c r="F63" s="293"/>
      <c r="G63" s="293"/>
      <c r="H63" s="293"/>
    </row>
    <row r="64" spans="1:8" x14ac:dyDescent="0.35">
      <c r="B64" s="293" t="s">
        <v>1625</v>
      </c>
      <c r="C64" s="293"/>
      <c r="D64" s="293"/>
      <c r="E64" s="293"/>
      <c r="F64" s="293"/>
      <c r="G64" s="293"/>
      <c r="H64" s="293"/>
    </row>
  </sheetData>
  <mergeCells count="12">
    <mergeCell ref="B7:H7"/>
    <mergeCell ref="A1:H1"/>
    <mergeCell ref="A2:H2"/>
    <mergeCell ref="A4:H4"/>
    <mergeCell ref="B5:H5"/>
    <mergeCell ref="B6:H6"/>
    <mergeCell ref="B48:H48"/>
    <mergeCell ref="A62:H62"/>
    <mergeCell ref="B63:H63"/>
    <mergeCell ref="B64:H64"/>
    <mergeCell ref="A36:H36"/>
    <mergeCell ref="B37:H3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E636E-2EB9-4182-A880-FB3535DE44E3}">
  <dimension ref="A1:E131"/>
  <sheetViews>
    <sheetView workbookViewId="0"/>
  </sheetViews>
  <sheetFormatPr defaultRowHeight="14.5" x14ac:dyDescent="0.35"/>
  <cols>
    <col min="1" max="1" width="12.08984375" bestFit="1" customWidth="1"/>
    <col min="2" max="2" width="9.54296875" bestFit="1" customWidth="1"/>
    <col min="3" max="3" width="15.81640625" bestFit="1" customWidth="1"/>
    <col min="4" max="4" width="6.81640625" bestFit="1" customWidth="1"/>
    <col min="5" max="5" width="16.81640625" bestFit="1" customWidth="1"/>
  </cols>
  <sheetData>
    <row r="1" spans="1:5" x14ac:dyDescent="0.35">
      <c r="A1" s="151" t="s">
        <v>0</v>
      </c>
      <c r="B1" s="151" t="s">
        <v>1226</v>
      </c>
      <c r="C1" s="151" t="s">
        <v>1227</v>
      </c>
      <c r="D1" s="151" t="s">
        <v>1347</v>
      </c>
      <c r="E1" s="151" t="s">
        <v>1346</v>
      </c>
    </row>
    <row r="2" spans="1:5" x14ac:dyDescent="0.35">
      <c r="A2">
        <v>1422</v>
      </c>
      <c r="B2" s="6">
        <v>3482</v>
      </c>
      <c r="C2" s="6">
        <v>942</v>
      </c>
      <c r="D2" s="148">
        <v>0.27053417576105687</v>
      </c>
      <c r="E2" s="148">
        <v>5.5609756097560997E-2</v>
      </c>
    </row>
    <row r="3" spans="1:5" x14ac:dyDescent="0.35">
      <c r="A3">
        <v>1434</v>
      </c>
      <c r="B3" s="6">
        <v>2768</v>
      </c>
      <c r="C3" s="6">
        <v>694</v>
      </c>
      <c r="D3" s="148">
        <v>0.25072254335260113</v>
      </c>
      <c r="E3" s="148">
        <v>3.5363457760314299E-2</v>
      </c>
    </row>
    <row r="4" spans="1:5" x14ac:dyDescent="0.35">
      <c r="A4">
        <v>1435</v>
      </c>
      <c r="B4" s="6">
        <v>1470</v>
      </c>
      <c r="C4" s="6">
        <v>83</v>
      </c>
      <c r="D4" s="148">
        <v>5.6462585034013607E-2</v>
      </c>
      <c r="E4" s="148">
        <v>0.199424736337488</v>
      </c>
    </row>
    <row r="5" spans="1:5" x14ac:dyDescent="0.35">
      <c r="A5">
        <v>1433</v>
      </c>
      <c r="B5" s="6">
        <v>3237</v>
      </c>
      <c r="C5" s="6">
        <v>2634</v>
      </c>
      <c r="D5" s="148">
        <v>0.81371640407784984</v>
      </c>
      <c r="E5" s="148">
        <v>0.12224448897795599</v>
      </c>
    </row>
    <row r="6" spans="1:5" x14ac:dyDescent="0.35">
      <c r="A6">
        <v>1331</v>
      </c>
      <c r="B6" s="6">
        <v>1402</v>
      </c>
      <c r="C6" s="6">
        <v>612</v>
      </c>
      <c r="D6" s="148">
        <v>0.43651925820256776</v>
      </c>
      <c r="E6" s="148">
        <v>0.121580547112462</v>
      </c>
    </row>
    <row r="7" spans="1:5" x14ac:dyDescent="0.35">
      <c r="A7">
        <v>1403</v>
      </c>
      <c r="B7" s="6">
        <v>1640</v>
      </c>
      <c r="C7" s="6">
        <v>889</v>
      </c>
      <c r="D7" s="148">
        <v>0.54207317073170735</v>
      </c>
      <c r="E7" s="148">
        <v>0.24012158054711197</v>
      </c>
    </row>
    <row r="8" spans="1:5" x14ac:dyDescent="0.35">
      <c r="A8">
        <v>1332</v>
      </c>
      <c r="B8" s="6">
        <v>1741</v>
      </c>
      <c r="C8" s="6">
        <v>1577</v>
      </c>
      <c r="D8" s="148">
        <v>0.90580126364158531</v>
      </c>
      <c r="E8" s="148">
        <v>0.240121580547112</v>
      </c>
    </row>
    <row r="9" spans="1:5" x14ac:dyDescent="0.35">
      <c r="A9">
        <v>1404</v>
      </c>
      <c r="B9" s="6">
        <v>1163</v>
      </c>
      <c r="C9" s="6">
        <v>394</v>
      </c>
      <c r="D9" s="148">
        <v>0.33877901977644026</v>
      </c>
      <c r="E9" s="148">
        <v>6.0790273556231098E-3</v>
      </c>
    </row>
    <row r="10" spans="1:5" x14ac:dyDescent="0.35">
      <c r="A10">
        <v>1333</v>
      </c>
      <c r="B10" s="6">
        <v>1541</v>
      </c>
      <c r="C10" s="6">
        <v>1773</v>
      </c>
      <c r="D10" s="148">
        <v>1.1505515898767034</v>
      </c>
      <c r="E10" s="148">
        <v>0.240121580547112</v>
      </c>
    </row>
    <row r="11" spans="1:5" x14ac:dyDescent="0.35">
      <c r="A11">
        <v>1424</v>
      </c>
      <c r="B11" s="6">
        <v>8836</v>
      </c>
      <c r="C11" s="6">
        <v>4500</v>
      </c>
      <c r="D11" s="148">
        <v>0.50928021729289275</v>
      </c>
      <c r="E11" s="148">
        <v>8.1452404317958804E-2</v>
      </c>
    </row>
    <row r="12" spans="1:5" x14ac:dyDescent="0.35">
      <c r="A12" t="s">
        <v>1367</v>
      </c>
      <c r="B12" s="6">
        <v>1765</v>
      </c>
      <c r="C12" s="6">
        <v>5503</v>
      </c>
      <c r="D12" s="148">
        <v>3.1178470254957507</v>
      </c>
      <c r="E12" s="148">
        <v>0.44188481675392705</v>
      </c>
    </row>
    <row r="13" spans="1:5" x14ac:dyDescent="0.35">
      <c r="A13" t="s">
        <v>1366</v>
      </c>
      <c r="B13" s="6">
        <v>582</v>
      </c>
      <c r="C13" s="6">
        <v>439</v>
      </c>
      <c r="D13" s="148">
        <v>0.75429553264604809</v>
      </c>
      <c r="E13" s="148">
        <v>0.2</v>
      </c>
    </row>
    <row r="14" spans="1:5" x14ac:dyDescent="0.35">
      <c r="A14" t="s">
        <v>1369</v>
      </c>
      <c r="B14" s="6">
        <v>5563</v>
      </c>
      <c r="C14" s="6">
        <v>2324</v>
      </c>
      <c r="D14" s="148">
        <v>0.41776020133021752</v>
      </c>
      <c r="E14" s="148">
        <v>0.12345679012345701</v>
      </c>
    </row>
    <row r="15" spans="1:5" x14ac:dyDescent="0.35">
      <c r="A15" t="s">
        <v>1368</v>
      </c>
      <c r="B15" s="6">
        <v>588</v>
      </c>
      <c r="C15" s="6">
        <v>111</v>
      </c>
      <c r="D15" s="148">
        <v>0.18877551020408162</v>
      </c>
      <c r="E15" s="148">
        <v>0.39175257731958801</v>
      </c>
    </row>
    <row r="16" spans="1:5" x14ac:dyDescent="0.35">
      <c r="A16">
        <v>1463</v>
      </c>
      <c r="B16" s="6">
        <v>6228</v>
      </c>
      <c r="C16" s="6">
        <v>2172</v>
      </c>
      <c r="D16" s="148">
        <v>0.34874759152215801</v>
      </c>
      <c r="E16" s="148">
        <v>7.5975359342915799E-2</v>
      </c>
    </row>
    <row r="17" spans="1:5" x14ac:dyDescent="0.35">
      <c r="A17">
        <v>1464</v>
      </c>
      <c r="B17" s="6">
        <v>8536</v>
      </c>
      <c r="C17" s="6">
        <v>2277</v>
      </c>
      <c r="D17" s="148">
        <v>0.26675257731958762</v>
      </c>
      <c r="E17" s="148">
        <v>9.6311475409836006E-2</v>
      </c>
    </row>
    <row r="18" spans="1:5" x14ac:dyDescent="0.35">
      <c r="A18">
        <v>1465</v>
      </c>
      <c r="B18" s="6">
        <v>6848</v>
      </c>
      <c r="C18" s="6">
        <v>4193</v>
      </c>
      <c r="D18" s="148">
        <v>0.61229556074766356</v>
      </c>
      <c r="E18" s="148">
        <v>9.4377510040160789E-2</v>
      </c>
    </row>
    <row r="19" spans="1:5" x14ac:dyDescent="0.35">
      <c r="A19">
        <v>1467</v>
      </c>
      <c r="B19" s="6">
        <v>6180</v>
      </c>
      <c r="C19" s="6">
        <v>2940</v>
      </c>
      <c r="D19" s="148">
        <v>0.47572815533980584</v>
      </c>
      <c r="E19" s="148">
        <v>0.21957913998170198</v>
      </c>
    </row>
    <row r="20" spans="1:5" x14ac:dyDescent="0.35">
      <c r="A20">
        <v>1468</v>
      </c>
      <c r="B20" s="6">
        <v>2412</v>
      </c>
      <c r="C20" s="6">
        <v>659</v>
      </c>
      <c r="D20" s="148">
        <v>0.27321724709784412</v>
      </c>
      <c r="E20" s="148">
        <v>0.105211406096362</v>
      </c>
    </row>
    <row r="21" spans="1:5" x14ac:dyDescent="0.35">
      <c r="A21" t="s">
        <v>1470</v>
      </c>
      <c r="B21" s="6">
        <v>270</v>
      </c>
      <c r="C21" s="6">
        <v>267</v>
      </c>
      <c r="D21" s="148">
        <v>0.98888888888888893</v>
      </c>
      <c r="E21" s="148">
        <v>0.50671140939597303</v>
      </c>
    </row>
    <row r="22" spans="1:5" x14ac:dyDescent="0.35">
      <c r="A22" t="s">
        <v>1471</v>
      </c>
      <c r="B22" s="6">
        <v>8678</v>
      </c>
      <c r="C22" s="6">
        <v>2134</v>
      </c>
      <c r="D22" s="148">
        <v>0.24590919566720443</v>
      </c>
      <c r="E22" s="148">
        <v>0.112214498510427</v>
      </c>
    </row>
    <row r="23" spans="1:5" x14ac:dyDescent="0.35">
      <c r="A23">
        <v>936</v>
      </c>
      <c r="B23" s="6">
        <v>5757</v>
      </c>
      <c r="C23" s="6">
        <v>2654</v>
      </c>
      <c r="D23" s="148">
        <v>0.46100399513635576</v>
      </c>
      <c r="E23" s="148">
        <v>8.4967320261437995E-2</v>
      </c>
    </row>
    <row r="24" spans="1:5" x14ac:dyDescent="0.35">
      <c r="A24">
        <v>941</v>
      </c>
      <c r="B24" s="6">
        <v>628</v>
      </c>
      <c r="C24" s="6">
        <v>148</v>
      </c>
      <c r="D24" s="148">
        <v>0.2356687898089172</v>
      </c>
      <c r="E24" s="148">
        <v>4.5454545454545497E-2</v>
      </c>
    </row>
    <row r="25" spans="1:5" x14ac:dyDescent="0.35">
      <c r="A25">
        <v>937</v>
      </c>
      <c r="B25" s="6">
        <v>9412</v>
      </c>
      <c r="C25" s="6">
        <v>2013</v>
      </c>
      <c r="D25" s="148">
        <v>0.21387590310242244</v>
      </c>
      <c r="E25" s="148">
        <v>8.0000000000000099E-2</v>
      </c>
    </row>
    <row r="26" spans="1:5" x14ac:dyDescent="0.35">
      <c r="A26">
        <v>942</v>
      </c>
      <c r="B26" s="6">
        <v>910</v>
      </c>
      <c r="C26" s="6">
        <v>160</v>
      </c>
      <c r="D26" s="148">
        <v>0.17582417582417584</v>
      </c>
      <c r="E26" s="148">
        <v>2.9795158286778395E-2</v>
      </c>
    </row>
    <row r="27" spans="1:5" x14ac:dyDescent="0.35">
      <c r="A27">
        <v>1218</v>
      </c>
      <c r="B27" s="6">
        <v>21704</v>
      </c>
      <c r="C27" s="6">
        <v>15353</v>
      </c>
      <c r="D27" s="148">
        <v>0.7073811279026907</v>
      </c>
      <c r="E27" s="148">
        <v>0.145454545454545</v>
      </c>
    </row>
    <row r="28" spans="1:5" x14ac:dyDescent="0.35">
      <c r="A28">
        <v>1219</v>
      </c>
      <c r="B28" s="6">
        <v>28341</v>
      </c>
      <c r="C28" s="6">
        <v>13385</v>
      </c>
      <c r="D28" s="148">
        <v>0.47228397021982288</v>
      </c>
      <c r="E28" s="148">
        <v>0.19387755102040799</v>
      </c>
    </row>
    <row r="29" spans="1:5" x14ac:dyDescent="0.35">
      <c r="A29">
        <v>1222</v>
      </c>
      <c r="B29" s="6">
        <v>4488</v>
      </c>
      <c r="C29" s="6">
        <v>767</v>
      </c>
      <c r="D29" s="148">
        <v>0.17090017825311943</v>
      </c>
      <c r="E29" s="148">
        <v>6.0894386298763092E-2</v>
      </c>
    </row>
    <row r="30" spans="1:5" x14ac:dyDescent="0.35">
      <c r="A30">
        <v>1223</v>
      </c>
      <c r="B30" s="6">
        <v>3868</v>
      </c>
      <c r="C30" s="6">
        <v>1439</v>
      </c>
      <c r="D30" s="148">
        <v>0.37202688728024819</v>
      </c>
      <c r="E30" s="148">
        <v>9.0909090909090898E-2</v>
      </c>
    </row>
    <row r="31" spans="1:5" x14ac:dyDescent="0.35">
      <c r="A31">
        <v>1220</v>
      </c>
      <c r="B31" s="6">
        <v>15028</v>
      </c>
      <c r="C31" s="6">
        <v>6296</v>
      </c>
      <c r="D31" s="148">
        <v>0.41895129092360928</v>
      </c>
      <c r="E31" s="148">
        <v>0.13620071684587801</v>
      </c>
    </row>
    <row r="32" spans="1:5" x14ac:dyDescent="0.35">
      <c r="A32" t="s">
        <v>1446</v>
      </c>
      <c r="B32" s="6">
        <v>6873</v>
      </c>
      <c r="C32" s="6">
        <v>2283</v>
      </c>
      <c r="D32" s="148">
        <v>0.3321693583587953</v>
      </c>
      <c r="E32" s="148">
        <v>0.22972972972972999</v>
      </c>
    </row>
    <row r="33" spans="1:5" x14ac:dyDescent="0.35">
      <c r="A33" t="s">
        <v>1447</v>
      </c>
      <c r="B33" s="6">
        <v>527</v>
      </c>
      <c r="C33" s="6">
        <v>114</v>
      </c>
      <c r="D33" s="148">
        <v>0.21631878557874762</v>
      </c>
      <c r="E33" s="148">
        <v>8.1952920662598197E-2</v>
      </c>
    </row>
    <row r="34" spans="1:5" x14ac:dyDescent="0.35">
      <c r="A34" t="s">
        <v>1449</v>
      </c>
      <c r="B34" s="6">
        <v>1126</v>
      </c>
      <c r="C34" s="6">
        <v>138</v>
      </c>
      <c r="D34" s="148">
        <v>0.12255772646536411</v>
      </c>
      <c r="E34" s="148">
        <v>3.9007092198581499E-2</v>
      </c>
    </row>
    <row r="35" spans="1:5" x14ac:dyDescent="0.35">
      <c r="A35" t="s">
        <v>1450</v>
      </c>
      <c r="B35" s="6">
        <v>314</v>
      </c>
      <c r="C35" s="6">
        <v>74</v>
      </c>
      <c r="D35" s="148">
        <v>0.2356687898089172</v>
      </c>
      <c r="E35" s="148">
        <v>9.0081892629663304E-2</v>
      </c>
    </row>
    <row r="36" spans="1:5" x14ac:dyDescent="0.35">
      <c r="A36">
        <v>1238</v>
      </c>
      <c r="B36" s="6">
        <v>58232</v>
      </c>
      <c r="C36" s="6">
        <v>20676</v>
      </c>
      <c r="D36" s="148">
        <v>0.35506250858634431</v>
      </c>
      <c r="E36" s="148">
        <v>0.14714714714714702</v>
      </c>
    </row>
    <row r="37" spans="1:5" x14ac:dyDescent="0.35">
      <c r="A37">
        <v>1239</v>
      </c>
      <c r="B37" s="6">
        <v>81953</v>
      </c>
      <c r="C37" s="6">
        <v>28387</v>
      </c>
      <c r="D37" s="148">
        <v>0.34638146254560542</v>
      </c>
      <c r="E37" s="148">
        <v>0.146341463414634</v>
      </c>
    </row>
    <row r="38" spans="1:5" x14ac:dyDescent="0.35">
      <c r="A38">
        <v>1042</v>
      </c>
      <c r="B38" s="6">
        <v>8303</v>
      </c>
      <c r="C38" s="6">
        <v>5300</v>
      </c>
      <c r="D38" s="148">
        <v>0.63832349753101292</v>
      </c>
      <c r="E38" s="148">
        <v>0.117117117117117</v>
      </c>
    </row>
    <row r="39" spans="1:5" x14ac:dyDescent="0.35">
      <c r="A39">
        <v>1041</v>
      </c>
      <c r="B39" s="6">
        <v>3695</v>
      </c>
      <c r="C39" s="6">
        <v>817</v>
      </c>
      <c r="D39" s="148">
        <v>0.22110960757780784</v>
      </c>
      <c r="E39" s="148">
        <v>7.6999999999999999E-2</v>
      </c>
    </row>
    <row r="40" spans="1:5" x14ac:dyDescent="0.35">
      <c r="A40">
        <v>1040</v>
      </c>
      <c r="B40" s="6">
        <v>5377</v>
      </c>
      <c r="C40" s="6">
        <v>3119</v>
      </c>
      <c r="D40" s="148">
        <v>0.58006323228566115</v>
      </c>
      <c r="E40" s="148">
        <v>0.11515151515151499</v>
      </c>
    </row>
    <row r="41" spans="1:5" x14ac:dyDescent="0.35">
      <c r="A41">
        <v>1039</v>
      </c>
      <c r="B41" s="6">
        <v>3936</v>
      </c>
      <c r="C41" s="6">
        <v>390</v>
      </c>
      <c r="D41" s="148">
        <v>9.9085365853658541E-2</v>
      </c>
      <c r="E41" s="148">
        <v>4.0991420400381298E-2</v>
      </c>
    </row>
    <row r="42" spans="1:5" x14ac:dyDescent="0.35">
      <c r="A42">
        <v>1046</v>
      </c>
      <c r="B42" s="6">
        <v>8908</v>
      </c>
      <c r="C42" s="6">
        <v>7295</v>
      </c>
      <c r="D42" s="148">
        <v>0.81892680736416701</v>
      </c>
      <c r="E42" s="148">
        <v>0.13017751479289899</v>
      </c>
    </row>
    <row r="43" spans="1:5" x14ac:dyDescent="0.35">
      <c r="A43">
        <v>1048</v>
      </c>
      <c r="B43" s="6">
        <v>12486</v>
      </c>
      <c r="C43" s="6">
        <v>8639</v>
      </c>
      <c r="D43" s="148">
        <v>0.69189492231299055</v>
      </c>
      <c r="E43" s="148">
        <v>7.3654390934844105E-2</v>
      </c>
    </row>
    <row r="44" spans="1:5" x14ac:dyDescent="0.35">
      <c r="A44">
        <v>1242</v>
      </c>
      <c r="B44" s="6">
        <v>5170</v>
      </c>
      <c r="C44" s="6">
        <v>2655</v>
      </c>
      <c r="D44" s="148">
        <v>0.51353965183752415</v>
      </c>
      <c r="E44" s="148">
        <v>0.23344947735191598</v>
      </c>
    </row>
    <row r="45" spans="1:5" x14ac:dyDescent="0.35">
      <c r="A45">
        <v>1246</v>
      </c>
      <c r="B45" s="6">
        <v>640</v>
      </c>
      <c r="C45" s="6">
        <v>283</v>
      </c>
      <c r="D45" s="148">
        <v>0.44218750000000001</v>
      </c>
      <c r="E45" s="148">
        <v>6.8480300187617305E-2</v>
      </c>
    </row>
    <row r="46" spans="1:5" x14ac:dyDescent="0.35">
      <c r="A46">
        <v>1243</v>
      </c>
      <c r="B46" s="6">
        <v>4434</v>
      </c>
      <c r="C46" s="6">
        <v>2320</v>
      </c>
      <c r="D46" s="148">
        <v>0.52322958953540821</v>
      </c>
      <c r="E46" s="148">
        <v>0.13588850174216</v>
      </c>
    </row>
    <row r="47" spans="1:5" x14ac:dyDescent="0.35">
      <c r="A47">
        <v>1247</v>
      </c>
      <c r="B47" s="6">
        <v>545</v>
      </c>
      <c r="C47" s="6">
        <v>185</v>
      </c>
      <c r="D47" s="148">
        <v>0.33944954128440369</v>
      </c>
      <c r="E47" s="148">
        <v>7.5489282385834106E-2</v>
      </c>
    </row>
    <row r="48" spans="1:5" x14ac:dyDescent="0.35">
      <c r="A48">
        <v>1170</v>
      </c>
      <c r="B48" s="6">
        <v>20878</v>
      </c>
      <c r="C48" s="6">
        <v>5435</v>
      </c>
      <c r="D48" s="148">
        <v>0.260321869910911</v>
      </c>
      <c r="E48" s="148">
        <v>0.18338108882521501</v>
      </c>
    </row>
    <row r="49" spans="1:5" x14ac:dyDescent="0.35">
      <c r="A49">
        <v>1250</v>
      </c>
      <c r="B49" s="6">
        <v>8601</v>
      </c>
      <c r="C49" s="6">
        <v>2988</v>
      </c>
      <c r="D49" s="148">
        <v>0.34740146494593654</v>
      </c>
      <c r="E49" s="148">
        <v>0.18229166666666699</v>
      </c>
    </row>
    <row r="50" spans="1:5" x14ac:dyDescent="0.35">
      <c r="A50">
        <v>1252</v>
      </c>
      <c r="B50" s="6">
        <v>1038</v>
      </c>
      <c r="C50" s="6">
        <v>262</v>
      </c>
      <c r="D50" s="148">
        <v>0.25240847784200388</v>
      </c>
      <c r="E50" s="148"/>
    </row>
    <row r="51" spans="1:5" x14ac:dyDescent="0.35">
      <c r="A51">
        <v>949</v>
      </c>
      <c r="B51" s="6">
        <v>2001</v>
      </c>
      <c r="C51" s="6">
        <v>1064</v>
      </c>
      <c r="D51" s="148">
        <v>0.53173413293353322</v>
      </c>
      <c r="E51" s="148">
        <v>0.17056856187291</v>
      </c>
    </row>
    <row r="52" spans="1:5" x14ac:dyDescent="0.35">
      <c r="A52">
        <v>950</v>
      </c>
      <c r="B52" s="6">
        <v>8726</v>
      </c>
      <c r="C52" s="6">
        <v>6665</v>
      </c>
      <c r="D52" s="148">
        <v>0.76380930552372217</v>
      </c>
      <c r="E52" s="148">
        <v>0.24666666666666698</v>
      </c>
    </row>
    <row r="53" spans="1:5" x14ac:dyDescent="0.35">
      <c r="A53">
        <v>954</v>
      </c>
      <c r="B53" s="6">
        <v>1308</v>
      </c>
      <c r="C53" s="6">
        <v>894</v>
      </c>
      <c r="D53" s="148">
        <v>0.6834862385321101</v>
      </c>
      <c r="E53" s="148">
        <v>0.25</v>
      </c>
    </row>
    <row r="54" spans="1:5" x14ac:dyDescent="0.35">
      <c r="A54">
        <v>959</v>
      </c>
      <c r="B54" s="6">
        <v>430</v>
      </c>
      <c r="C54" s="6">
        <v>271</v>
      </c>
      <c r="D54" s="148">
        <v>0.63023255813953494</v>
      </c>
      <c r="E54" s="148">
        <v>0.25020850708924097</v>
      </c>
    </row>
    <row r="55" spans="1:5" x14ac:dyDescent="0.35">
      <c r="A55">
        <v>955</v>
      </c>
      <c r="B55" s="6">
        <v>1530</v>
      </c>
      <c r="C55" s="6">
        <v>776</v>
      </c>
      <c r="D55" s="148">
        <v>0.50718954248366011</v>
      </c>
      <c r="E55" s="148">
        <v>0.16666666666666699</v>
      </c>
    </row>
    <row r="56" spans="1:5" x14ac:dyDescent="0.35">
      <c r="A56">
        <v>1179</v>
      </c>
      <c r="B56" s="6">
        <v>13178</v>
      </c>
      <c r="C56" s="6">
        <v>5331</v>
      </c>
      <c r="D56" s="148">
        <v>0.40453786614053727</v>
      </c>
      <c r="E56" s="148">
        <v>0.19197707736389702</v>
      </c>
    </row>
    <row r="57" spans="1:5" x14ac:dyDescent="0.35">
      <c r="A57">
        <v>1062</v>
      </c>
      <c r="B57" s="6">
        <v>14744</v>
      </c>
      <c r="C57" s="6">
        <v>12141</v>
      </c>
      <c r="D57" s="148">
        <v>0.82345360824742264</v>
      </c>
      <c r="E57" s="148">
        <v>0.27272727272727298</v>
      </c>
    </row>
    <row r="58" spans="1:5" x14ac:dyDescent="0.35">
      <c r="A58">
        <v>1063</v>
      </c>
      <c r="B58" s="6">
        <v>11971</v>
      </c>
      <c r="C58" s="6">
        <v>9567</v>
      </c>
      <c r="D58" s="148">
        <v>0.79918135494110765</v>
      </c>
      <c r="E58" s="148">
        <v>0.28315412186379901</v>
      </c>
    </row>
    <row r="59" spans="1:5" x14ac:dyDescent="0.35">
      <c r="A59">
        <v>1066</v>
      </c>
      <c r="B59" s="6">
        <v>28285</v>
      </c>
      <c r="C59" s="6">
        <v>13772</v>
      </c>
      <c r="D59" s="148">
        <v>0.48690118437334279</v>
      </c>
      <c r="E59" s="148">
        <v>0.31103678929765899</v>
      </c>
    </row>
    <row r="60" spans="1:5" x14ac:dyDescent="0.35">
      <c r="A60">
        <v>1065</v>
      </c>
      <c r="B60" s="6">
        <v>28153</v>
      </c>
      <c r="C60" s="6">
        <v>10852</v>
      </c>
      <c r="D60" s="148">
        <v>0.3854651369303449</v>
      </c>
      <c r="E60" s="148">
        <v>0.141891891891892</v>
      </c>
    </row>
    <row r="61" spans="1:5" x14ac:dyDescent="0.35">
      <c r="A61">
        <v>962</v>
      </c>
      <c r="B61" s="6">
        <v>5761</v>
      </c>
      <c r="C61" s="6">
        <v>16935</v>
      </c>
      <c r="D61" s="148">
        <v>2.9395938205172714</v>
      </c>
      <c r="E61" s="148">
        <v>0.27759197324414697</v>
      </c>
    </row>
    <row r="62" spans="1:5" x14ac:dyDescent="0.35">
      <c r="A62">
        <v>963</v>
      </c>
      <c r="B62" s="6">
        <v>4803</v>
      </c>
      <c r="C62" s="6">
        <v>13988</v>
      </c>
      <c r="D62" s="148">
        <v>2.912346450135332</v>
      </c>
      <c r="E62" s="148">
        <v>0.15</v>
      </c>
    </row>
    <row r="63" spans="1:5" x14ac:dyDescent="0.35">
      <c r="A63">
        <v>1071</v>
      </c>
      <c r="B63" s="6">
        <v>14908</v>
      </c>
      <c r="C63" s="6">
        <v>11014</v>
      </c>
      <c r="D63" s="148">
        <v>0.73879796082640192</v>
      </c>
      <c r="E63" s="148">
        <v>0.27240143369175601</v>
      </c>
    </row>
    <row r="64" spans="1:5" x14ac:dyDescent="0.35">
      <c r="A64">
        <v>1070</v>
      </c>
      <c r="B64" s="6">
        <v>16549</v>
      </c>
      <c r="C64" s="6">
        <v>15676</v>
      </c>
      <c r="D64" s="148">
        <v>0.94724756782887187</v>
      </c>
      <c r="E64" s="148">
        <v>0.24372759856630799</v>
      </c>
    </row>
    <row r="65" spans="1:5" x14ac:dyDescent="0.35">
      <c r="A65">
        <v>1269</v>
      </c>
      <c r="B65" s="6">
        <v>16846</v>
      </c>
      <c r="C65" s="6">
        <v>12291</v>
      </c>
      <c r="D65" s="148">
        <v>0.72960940282559661</v>
      </c>
      <c r="E65" s="148">
        <v>0.199288256227758</v>
      </c>
    </row>
    <row r="66" spans="1:5" x14ac:dyDescent="0.35">
      <c r="A66">
        <v>1270</v>
      </c>
      <c r="B66" s="6">
        <v>7435</v>
      </c>
      <c r="C66" s="6">
        <v>12120</v>
      </c>
      <c r="D66" s="148">
        <v>1.6301277740416946</v>
      </c>
      <c r="E66" s="148">
        <v>0.39426523297491001</v>
      </c>
    </row>
    <row r="67" spans="1:5" x14ac:dyDescent="0.35">
      <c r="A67">
        <v>1274</v>
      </c>
      <c r="B67" s="6">
        <v>2413</v>
      </c>
      <c r="C67" s="6">
        <v>515</v>
      </c>
      <c r="D67" s="148">
        <v>0.21342726895980108</v>
      </c>
      <c r="E67" s="148">
        <v>9.2178770949720698E-2</v>
      </c>
    </row>
    <row r="68" spans="1:5" x14ac:dyDescent="0.35">
      <c r="A68">
        <v>1275</v>
      </c>
      <c r="B68" s="6">
        <v>2832</v>
      </c>
      <c r="C68" s="6">
        <v>483</v>
      </c>
      <c r="D68" s="148">
        <v>0.17055084745762711</v>
      </c>
      <c r="E68" s="148">
        <v>8.6592178770949699E-2</v>
      </c>
    </row>
    <row r="69" spans="1:5" x14ac:dyDescent="0.35">
      <c r="A69">
        <v>1277</v>
      </c>
      <c r="B69" s="6">
        <v>3203</v>
      </c>
      <c r="C69" s="6">
        <v>391</v>
      </c>
      <c r="D69" s="148">
        <v>0.12207305650952233</v>
      </c>
      <c r="E69" s="148">
        <v>3.7634408602150601E-2</v>
      </c>
    </row>
    <row r="70" spans="1:5" x14ac:dyDescent="0.35">
      <c r="A70">
        <v>1076</v>
      </c>
      <c r="B70" s="6">
        <v>4468</v>
      </c>
      <c r="C70" s="6">
        <v>1929</v>
      </c>
      <c r="D70" s="148">
        <v>0.43173679498657119</v>
      </c>
      <c r="E70" s="148">
        <v>0.100719424460432</v>
      </c>
    </row>
    <row r="71" spans="1:5" x14ac:dyDescent="0.35">
      <c r="A71" t="s">
        <v>1348</v>
      </c>
      <c r="B71" s="6">
        <v>9904</v>
      </c>
      <c r="C71" s="6">
        <v>2854</v>
      </c>
      <c r="D71" s="148">
        <v>0.28816639741518579</v>
      </c>
      <c r="E71" s="148">
        <v>0.161073825503356</v>
      </c>
    </row>
    <row r="72" spans="1:5" x14ac:dyDescent="0.35">
      <c r="A72" t="s">
        <v>1349</v>
      </c>
      <c r="B72" s="6">
        <v>4939</v>
      </c>
      <c r="C72" s="6">
        <v>3038</v>
      </c>
      <c r="D72" s="148">
        <v>0.61510427211986229</v>
      </c>
      <c r="E72" s="148">
        <v>0.23255813953488402</v>
      </c>
    </row>
    <row r="73" spans="1:5" x14ac:dyDescent="0.35">
      <c r="A73">
        <v>1074</v>
      </c>
      <c r="B73" s="6">
        <v>7250</v>
      </c>
      <c r="C73" s="6">
        <v>5611</v>
      </c>
      <c r="D73" s="148">
        <v>0.77393103448275857</v>
      </c>
      <c r="E73" s="148">
        <v>0.208695652173913</v>
      </c>
    </row>
    <row r="74" spans="1:5" x14ac:dyDescent="0.35">
      <c r="A74">
        <v>1297</v>
      </c>
      <c r="B74" s="6">
        <v>13306</v>
      </c>
      <c r="C74" s="6">
        <v>2943</v>
      </c>
      <c r="D74" s="148">
        <v>0.22117841575229219</v>
      </c>
      <c r="E74" s="148">
        <v>8.0128205128205093E-2</v>
      </c>
    </row>
    <row r="75" spans="1:5" x14ac:dyDescent="0.35">
      <c r="A75">
        <v>1186</v>
      </c>
      <c r="B75" s="6">
        <v>19957</v>
      </c>
      <c r="C75" s="6">
        <v>7260</v>
      </c>
      <c r="D75" s="148">
        <v>0.36378213158290323</v>
      </c>
      <c r="E75" s="148">
        <v>8.8174273858921307E-2</v>
      </c>
    </row>
    <row r="76" spans="1:5" x14ac:dyDescent="0.35">
      <c r="A76">
        <v>1188</v>
      </c>
      <c r="B76" s="6">
        <v>15590</v>
      </c>
      <c r="C76" s="6">
        <v>4687</v>
      </c>
      <c r="D76" s="148">
        <v>0.30064143681847338</v>
      </c>
      <c r="E76" s="148">
        <v>0.110416666666667</v>
      </c>
    </row>
    <row r="77" spans="1:5" x14ac:dyDescent="0.35">
      <c r="A77">
        <v>1189</v>
      </c>
      <c r="B77" s="6">
        <v>12358</v>
      </c>
      <c r="C77" s="6">
        <v>3501</v>
      </c>
      <c r="D77" s="148">
        <v>0.28329826832820842</v>
      </c>
      <c r="E77" s="148">
        <v>5.0223214285714406E-2</v>
      </c>
    </row>
    <row r="78" spans="1:5" x14ac:dyDescent="0.35">
      <c r="A78">
        <v>971</v>
      </c>
      <c r="B78" s="6">
        <v>1868</v>
      </c>
      <c r="C78" s="6">
        <v>2641</v>
      </c>
      <c r="D78" s="148">
        <v>1.4138115631691648</v>
      </c>
      <c r="E78" s="148">
        <v>0.44072948328267497</v>
      </c>
    </row>
    <row r="79" spans="1:5" x14ac:dyDescent="0.35">
      <c r="A79">
        <v>972</v>
      </c>
      <c r="B79" s="6">
        <v>1625</v>
      </c>
      <c r="C79" s="6">
        <v>842</v>
      </c>
      <c r="D79" s="148">
        <v>0.51815384615384619</v>
      </c>
      <c r="E79" s="148">
        <v>0.21630094043887099</v>
      </c>
    </row>
    <row r="80" spans="1:5" x14ac:dyDescent="0.35">
      <c r="A80">
        <v>1302</v>
      </c>
      <c r="B80" s="6">
        <v>1739</v>
      </c>
      <c r="C80" s="6">
        <v>699</v>
      </c>
      <c r="D80" s="148">
        <v>0.40195514663599768</v>
      </c>
      <c r="E80" s="148">
        <v>0.13712374581939801</v>
      </c>
    </row>
    <row r="81" spans="1:5" x14ac:dyDescent="0.35">
      <c r="A81">
        <v>1303</v>
      </c>
      <c r="B81" s="6">
        <v>2037</v>
      </c>
      <c r="C81" s="6">
        <v>834</v>
      </c>
      <c r="D81" s="148">
        <v>0.40942562592047127</v>
      </c>
      <c r="E81" s="148">
        <v>0.13043478260869601</v>
      </c>
    </row>
    <row r="82" spans="1:5" x14ac:dyDescent="0.35">
      <c r="A82">
        <v>914</v>
      </c>
      <c r="B82" s="6">
        <v>12897</v>
      </c>
      <c r="C82" s="6">
        <v>18473</v>
      </c>
      <c r="D82" s="148">
        <v>1.4323486082034582</v>
      </c>
      <c r="E82" s="148">
        <v>0.182893539581438</v>
      </c>
    </row>
    <row r="83" spans="1:5" x14ac:dyDescent="0.35">
      <c r="A83">
        <v>908</v>
      </c>
      <c r="B83" s="6">
        <v>40143</v>
      </c>
      <c r="C83" s="6">
        <v>327451</v>
      </c>
      <c r="D83" s="148">
        <v>8.1571133198814234</v>
      </c>
      <c r="E83" s="148">
        <v>0.49626865671641801</v>
      </c>
    </row>
    <row r="84" spans="1:5" x14ac:dyDescent="0.35">
      <c r="A84">
        <v>1414</v>
      </c>
      <c r="B84" s="6">
        <v>12198</v>
      </c>
      <c r="C84" s="6">
        <v>17960</v>
      </c>
      <c r="D84" s="148">
        <v>1.47237252008526</v>
      </c>
      <c r="E84" s="148">
        <v>1.49253731343284E-2</v>
      </c>
    </row>
    <row r="85" spans="1:5" x14ac:dyDescent="0.35">
      <c r="A85">
        <v>978</v>
      </c>
      <c r="B85" s="6">
        <v>8280</v>
      </c>
      <c r="C85" s="6">
        <v>4176</v>
      </c>
      <c r="D85" s="148">
        <v>0.5043478260869565</v>
      </c>
      <c r="E85" s="148">
        <v>0.18729096989966601</v>
      </c>
    </row>
    <row r="86" spans="1:5" x14ac:dyDescent="0.35">
      <c r="A86">
        <v>979</v>
      </c>
      <c r="B86" s="6">
        <v>9837</v>
      </c>
      <c r="C86" s="6">
        <v>4644</v>
      </c>
      <c r="D86" s="148">
        <v>0.47209515096065874</v>
      </c>
      <c r="E86" s="148">
        <v>0.19127516778523501</v>
      </c>
    </row>
    <row r="87" spans="1:5" x14ac:dyDescent="0.35">
      <c r="A87">
        <v>981</v>
      </c>
      <c r="B87" s="6">
        <v>8888</v>
      </c>
      <c r="C87" s="6">
        <v>3886</v>
      </c>
      <c r="D87" s="148">
        <v>0.43721872187218724</v>
      </c>
      <c r="E87" s="148">
        <v>0.19191919191919199</v>
      </c>
    </row>
    <row r="88" spans="1:5" x14ac:dyDescent="0.35">
      <c r="A88">
        <v>1093</v>
      </c>
      <c r="B88" s="6">
        <v>28999</v>
      </c>
      <c r="C88" s="6">
        <v>8938</v>
      </c>
      <c r="D88" s="148">
        <v>0.30821752474223252</v>
      </c>
      <c r="E88" s="148">
        <v>0.15100671140939601</v>
      </c>
    </row>
    <row r="89" spans="1:5" x14ac:dyDescent="0.35">
      <c r="A89">
        <v>1096</v>
      </c>
      <c r="B89" s="6">
        <v>17706</v>
      </c>
      <c r="C89" s="6">
        <v>7311</v>
      </c>
      <c r="D89" s="148">
        <v>0.41291087766858692</v>
      </c>
      <c r="E89" s="148">
        <v>0.157190635451505</v>
      </c>
    </row>
    <row r="90" spans="1:5" x14ac:dyDescent="0.35">
      <c r="A90">
        <v>1564</v>
      </c>
      <c r="B90" s="6">
        <v>442994</v>
      </c>
      <c r="C90" s="6">
        <v>358698</v>
      </c>
      <c r="D90" s="148">
        <v>0.80971299837018107</v>
      </c>
      <c r="E90" s="148">
        <v>0.16641604010025099</v>
      </c>
    </row>
    <row r="91" spans="1:5" x14ac:dyDescent="0.35">
      <c r="A91">
        <v>986</v>
      </c>
      <c r="B91" s="6">
        <v>41745</v>
      </c>
      <c r="C91" s="6">
        <v>23645</v>
      </c>
      <c r="D91" s="148">
        <v>0.5664151395376692</v>
      </c>
      <c r="E91" s="148">
        <v>0.36280487804877998</v>
      </c>
    </row>
    <row r="92" spans="1:5" x14ac:dyDescent="0.35">
      <c r="A92">
        <v>987</v>
      </c>
      <c r="B92" s="6">
        <v>7412</v>
      </c>
      <c r="C92" s="6">
        <v>3159</v>
      </c>
      <c r="D92" s="148">
        <v>0.42620075553157044</v>
      </c>
      <c r="E92" s="148">
        <v>0.232704402515723</v>
      </c>
    </row>
    <row r="93" spans="1:5" x14ac:dyDescent="0.35">
      <c r="A93">
        <v>1032</v>
      </c>
      <c r="B93" s="6">
        <v>4517</v>
      </c>
      <c r="C93" s="6">
        <v>527</v>
      </c>
      <c r="D93" s="148">
        <v>0.11667035643125968</v>
      </c>
      <c r="E93" s="148">
        <v>0.31152647975077902</v>
      </c>
    </row>
    <row r="94" spans="1:5" x14ac:dyDescent="0.35">
      <c r="A94">
        <v>1306</v>
      </c>
      <c r="B94" s="6">
        <v>9374</v>
      </c>
      <c r="C94" s="6">
        <v>8698</v>
      </c>
      <c r="D94" s="148">
        <v>0.92788564113505445</v>
      </c>
      <c r="E94" s="148">
        <v>0.3</v>
      </c>
    </row>
    <row r="95" spans="1:5" x14ac:dyDescent="0.35">
      <c r="A95">
        <v>1313</v>
      </c>
      <c r="B95" s="6">
        <v>1753</v>
      </c>
      <c r="C95" s="6">
        <v>769</v>
      </c>
      <c r="D95" s="148">
        <v>0.43867655447803766</v>
      </c>
      <c r="E95" s="148">
        <v>0.12825278810408899</v>
      </c>
    </row>
    <row r="96" spans="1:5" x14ac:dyDescent="0.35">
      <c r="A96">
        <v>1307</v>
      </c>
      <c r="B96" s="6">
        <v>3388</v>
      </c>
      <c r="C96" s="6">
        <v>2011</v>
      </c>
      <c r="D96" s="148">
        <v>0.59356552538370722</v>
      </c>
      <c r="E96" s="148">
        <v>0.12802768166090001</v>
      </c>
    </row>
    <row r="97" spans="1:5" x14ac:dyDescent="0.35">
      <c r="A97">
        <v>1308</v>
      </c>
      <c r="B97" s="6">
        <v>3004</v>
      </c>
      <c r="C97" s="6">
        <v>1691</v>
      </c>
      <c r="D97" s="148">
        <v>0.56291611185086554</v>
      </c>
      <c r="E97" s="148">
        <v>0.13058419243986299</v>
      </c>
    </row>
    <row r="98" spans="1:5" x14ac:dyDescent="0.35">
      <c r="A98">
        <v>1314</v>
      </c>
      <c r="B98" s="6">
        <v>1831</v>
      </c>
      <c r="C98" s="6">
        <v>994</v>
      </c>
      <c r="D98" s="148">
        <v>0.54287274713271438</v>
      </c>
      <c r="E98" s="148">
        <v>0.15477293790546801</v>
      </c>
    </row>
    <row r="99" spans="1:5" x14ac:dyDescent="0.35">
      <c r="A99">
        <v>1315</v>
      </c>
      <c r="B99" s="6">
        <v>1562</v>
      </c>
      <c r="C99" s="6">
        <v>551</v>
      </c>
      <c r="D99" s="148">
        <v>0.352752880921895</v>
      </c>
      <c r="E99" s="148">
        <v>0.14656771799628901</v>
      </c>
    </row>
    <row r="100" spans="1:5" x14ac:dyDescent="0.35">
      <c r="A100">
        <v>1309</v>
      </c>
      <c r="B100" s="6">
        <v>4305</v>
      </c>
      <c r="C100" s="6">
        <v>1223</v>
      </c>
      <c r="D100" s="148">
        <v>0.28408826945412313</v>
      </c>
      <c r="E100" s="148">
        <v>0.194630872483222</v>
      </c>
    </row>
    <row r="101" spans="1:5" x14ac:dyDescent="0.35">
      <c r="A101">
        <v>1203</v>
      </c>
      <c r="B101" s="6">
        <v>3369</v>
      </c>
      <c r="C101" s="6">
        <v>290</v>
      </c>
      <c r="D101" s="148">
        <v>8.6078955179578504E-2</v>
      </c>
      <c r="E101" s="148">
        <v>0.15415019762845802</v>
      </c>
    </row>
    <row r="102" spans="1:5" x14ac:dyDescent="0.35">
      <c r="A102">
        <v>1204</v>
      </c>
      <c r="B102" s="6">
        <v>5973</v>
      </c>
      <c r="C102" s="6">
        <v>1651</v>
      </c>
      <c r="D102" s="148">
        <v>0.27641051397957478</v>
      </c>
      <c r="E102" s="148">
        <v>6.8000000000000005E-2</v>
      </c>
    </row>
    <row r="103" spans="1:5" x14ac:dyDescent="0.35">
      <c r="A103">
        <v>1206</v>
      </c>
      <c r="B103" s="6">
        <v>5192</v>
      </c>
      <c r="C103" s="6">
        <v>1609</v>
      </c>
      <c r="D103" s="148">
        <v>0.30989984591679509</v>
      </c>
      <c r="E103" s="148">
        <v>7.9365079365079402E-2</v>
      </c>
    </row>
    <row r="104" spans="1:5" x14ac:dyDescent="0.35">
      <c r="A104">
        <v>1000</v>
      </c>
      <c r="B104" s="6">
        <v>49440</v>
      </c>
      <c r="C104" s="6">
        <v>27579</v>
      </c>
      <c r="D104" s="148">
        <v>0.55782766990291266</v>
      </c>
      <c r="E104" s="148">
        <v>0.20066889632106999</v>
      </c>
    </row>
    <row r="105" spans="1:5" x14ac:dyDescent="0.35">
      <c r="A105">
        <v>1001</v>
      </c>
      <c r="B105" s="6">
        <v>44648</v>
      </c>
      <c r="C105" s="6">
        <v>14348</v>
      </c>
      <c r="D105" s="148">
        <v>0.32135817953771728</v>
      </c>
      <c r="E105" s="148">
        <v>0.163879598662207</v>
      </c>
    </row>
    <row r="106" spans="1:5" x14ac:dyDescent="0.35">
      <c r="A106">
        <v>1110</v>
      </c>
      <c r="B106" s="6">
        <v>15438</v>
      </c>
      <c r="C106" s="6">
        <v>4435</v>
      </c>
      <c r="D106" s="148">
        <v>0.28727814483741415</v>
      </c>
      <c r="E106" s="148">
        <v>0.12666666666666701</v>
      </c>
    </row>
    <row r="107" spans="1:5" x14ac:dyDescent="0.35">
      <c r="A107">
        <v>1109</v>
      </c>
      <c r="B107" s="6">
        <v>5802</v>
      </c>
      <c r="C107" s="6">
        <v>2148</v>
      </c>
      <c r="D107" s="148">
        <v>0.3702171664943123</v>
      </c>
      <c r="E107" s="148">
        <v>8.7272727272727293E-2</v>
      </c>
    </row>
    <row r="108" spans="1:5" x14ac:dyDescent="0.35">
      <c r="A108">
        <v>1113</v>
      </c>
      <c r="B108" s="6">
        <v>20005</v>
      </c>
      <c r="C108" s="6">
        <v>10372</v>
      </c>
      <c r="D108" s="148">
        <v>0.51847038240439891</v>
      </c>
      <c r="E108" s="148">
        <v>0.18394648829431401</v>
      </c>
    </row>
    <row r="109" spans="1:5" x14ac:dyDescent="0.35">
      <c r="A109">
        <v>1112</v>
      </c>
      <c r="B109" s="6">
        <v>6359</v>
      </c>
      <c r="C109" s="6">
        <v>2464</v>
      </c>
      <c r="D109" s="148">
        <v>0.38748230853907845</v>
      </c>
      <c r="E109" s="148">
        <v>8.7272727272727293E-2</v>
      </c>
    </row>
    <row r="110" spans="1:5" x14ac:dyDescent="0.35">
      <c r="A110">
        <v>1408</v>
      </c>
      <c r="B110" s="6">
        <v>76538</v>
      </c>
      <c r="C110" s="6">
        <v>100147</v>
      </c>
      <c r="D110" s="148">
        <v>1.3084611565496878</v>
      </c>
      <c r="E110" s="148">
        <v>9.8998887652947801E-2</v>
      </c>
    </row>
    <row r="111" spans="1:5" x14ac:dyDescent="0.35">
      <c r="A111">
        <v>1419</v>
      </c>
      <c r="B111" s="6">
        <v>78668</v>
      </c>
      <c r="C111" s="6">
        <v>172439</v>
      </c>
      <c r="D111" s="148">
        <v>2.1919840341689123</v>
      </c>
      <c r="E111" s="148">
        <v>0.16129032258064499</v>
      </c>
    </row>
    <row r="112" spans="1:5" x14ac:dyDescent="0.35">
      <c r="A112">
        <v>1420</v>
      </c>
      <c r="B112" s="6">
        <v>442933</v>
      </c>
      <c r="C112" s="6">
        <v>468937</v>
      </c>
      <c r="D112" s="148">
        <v>1.0587086534532311</v>
      </c>
      <c r="E112" s="148">
        <v>6.7853170189098894E-2</v>
      </c>
    </row>
    <row r="113" spans="1:5" x14ac:dyDescent="0.35">
      <c r="A113">
        <v>1421</v>
      </c>
      <c r="B113" s="6">
        <v>485228</v>
      </c>
      <c r="C113" s="6">
        <v>154132</v>
      </c>
      <c r="D113" s="148">
        <v>0.31764861055009191</v>
      </c>
      <c r="E113" s="148">
        <v>0.10011123470522799</v>
      </c>
    </row>
    <row r="114" spans="1:5" x14ac:dyDescent="0.35">
      <c r="A114">
        <v>1344</v>
      </c>
      <c r="B114" s="6">
        <v>6114</v>
      </c>
      <c r="C114" s="6">
        <v>2888</v>
      </c>
      <c r="D114" s="148">
        <v>0.47235852142623486</v>
      </c>
      <c r="E114" s="148">
        <v>0.18566775244299699</v>
      </c>
    </row>
    <row r="115" spans="1:5" x14ac:dyDescent="0.35">
      <c r="A115">
        <v>1518</v>
      </c>
      <c r="B115" s="6">
        <v>5296</v>
      </c>
      <c r="C115" s="6">
        <v>1783</v>
      </c>
      <c r="D115" s="148">
        <v>0.33666918429003023</v>
      </c>
      <c r="E115" s="148">
        <v>0.169381107491857</v>
      </c>
    </row>
    <row r="116" spans="1:5" x14ac:dyDescent="0.35">
      <c r="A116">
        <v>1519</v>
      </c>
      <c r="B116" s="6">
        <v>4393</v>
      </c>
      <c r="C116" s="6">
        <v>1041</v>
      </c>
      <c r="D116" s="148">
        <v>0.23696790348281357</v>
      </c>
      <c r="E116" s="148">
        <v>0.24012158054711202</v>
      </c>
    </row>
    <row r="117" spans="1:5" x14ac:dyDescent="0.35">
      <c r="A117">
        <v>1119</v>
      </c>
      <c r="B117" s="6">
        <v>28285</v>
      </c>
      <c r="C117" s="6">
        <v>13772</v>
      </c>
      <c r="D117" s="148">
        <v>0.48690118437334279</v>
      </c>
      <c r="E117" s="148">
        <v>0.30872483221476499</v>
      </c>
    </row>
    <row r="118" spans="1:5" x14ac:dyDescent="0.35">
      <c r="A118">
        <v>1118</v>
      </c>
      <c r="B118" s="6">
        <v>3501</v>
      </c>
      <c r="C118" s="6">
        <v>2380</v>
      </c>
      <c r="D118" s="148">
        <v>0.6798057697800628</v>
      </c>
      <c r="E118" s="148">
        <v>9.3186372745491006E-2</v>
      </c>
    </row>
    <row r="119" spans="1:5" x14ac:dyDescent="0.35">
      <c r="A119">
        <v>1116</v>
      </c>
      <c r="B119" s="6">
        <v>28153</v>
      </c>
      <c r="C119" s="6">
        <v>10852</v>
      </c>
      <c r="D119" s="148">
        <v>0.3854651369303449</v>
      </c>
      <c r="E119" s="148">
        <v>0.15050167224080299</v>
      </c>
    </row>
    <row r="120" spans="1:5" x14ac:dyDescent="0.35">
      <c r="A120">
        <v>1121</v>
      </c>
      <c r="B120" s="6">
        <v>4422</v>
      </c>
      <c r="C120" s="6">
        <v>1947</v>
      </c>
      <c r="D120" s="148">
        <v>0.44029850746268656</v>
      </c>
      <c r="E120" s="148">
        <v>9.5190380761523197E-2</v>
      </c>
    </row>
    <row r="121" spans="1:5" x14ac:dyDescent="0.35">
      <c r="A121">
        <v>1013</v>
      </c>
      <c r="B121" s="6">
        <v>639</v>
      </c>
      <c r="C121" s="6">
        <v>380</v>
      </c>
      <c r="D121" s="148">
        <v>0.59467918622848204</v>
      </c>
      <c r="E121" s="148">
        <v>0.14285714285714299</v>
      </c>
    </row>
    <row r="122" spans="1:5" x14ac:dyDescent="0.35">
      <c r="A122">
        <v>1014</v>
      </c>
      <c r="B122" s="6">
        <v>778</v>
      </c>
      <c r="C122" s="6">
        <v>370</v>
      </c>
      <c r="D122" s="148">
        <v>0.47557840616966579</v>
      </c>
      <c r="E122" s="148">
        <v>0.28133704735375997</v>
      </c>
    </row>
    <row r="123" spans="1:5" x14ac:dyDescent="0.35">
      <c r="A123">
        <v>1136</v>
      </c>
      <c r="B123" s="6">
        <v>36078</v>
      </c>
      <c r="C123" s="6">
        <v>66610</v>
      </c>
      <c r="D123" s="148">
        <v>1.8462775098397917</v>
      </c>
      <c r="E123" s="148">
        <v>0.37792642140468202</v>
      </c>
    </row>
    <row r="124" spans="1:5" x14ac:dyDescent="0.35">
      <c r="A124">
        <v>1138</v>
      </c>
      <c r="B124" s="6">
        <v>41919</v>
      </c>
      <c r="C124" s="6">
        <v>21411</v>
      </c>
      <c r="D124" s="148">
        <v>0.51077077220353539</v>
      </c>
      <c r="E124" s="148">
        <v>0.29765886287625398</v>
      </c>
    </row>
    <row r="125" spans="1:5" x14ac:dyDescent="0.35">
      <c r="A125">
        <v>1139</v>
      </c>
      <c r="B125" s="6">
        <v>16991</v>
      </c>
      <c r="C125" s="6">
        <v>12351</v>
      </c>
      <c r="D125" s="148">
        <v>0.72691424871991051</v>
      </c>
      <c r="E125" s="148">
        <v>0.36102236421725198</v>
      </c>
    </row>
    <row r="126" spans="1:5" x14ac:dyDescent="0.35">
      <c r="A126">
        <v>1142</v>
      </c>
      <c r="B126" s="6">
        <v>44002</v>
      </c>
      <c r="C126" s="6">
        <v>11639</v>
      </c>
      <c r="D126" s="148">
        <v>0.26451070405890642</v>
      </c>
      <c r="E126" s="148">
        <v>0.14736842105263201</v>
      </c>
    </row>
    <row r="127" spans="1:5" x14ac:dyDescent="0.35">
      <c r="A127">
        <v>1143</v>
      </c>
      <c r="B127" s="6">
        <v>37694</v>
      </c>
      <c r="C127" s="6">
        <v>10180</v>
      </c>
      <c r="D127" s="148">
        <v>0.27006950708335542</v>
      </c>
      <c r="E127" s="148">
        <v>0.121527777777778</v>
      </c>
    </row>
    <row r="128" spans="1:5" x14ac:dyDescent="0.35">
      <c r="A128">
        <v>1211</v>
      </c>
      <c r="B128" s="6">
        <v>42776</v>
      </c>
      <c r="C128" s="6">
        <v>2763</v>
      </c>
      <c r="D128" s="148">
        <v>6.4592294744716658E-2</v>
      </c>
      <c r="E128" s="148">
        <v>1.5873015873015799E-2</v>
      </c>
    </row>
    <row r="129" spans="1:5" x14ac:dyDescent="0.35">
      <c r="A129">
        <v>1212</v>
      </c>
      <c r="B129" s="6">
        <v>122031</v>
      </c>
      <c r="C129" s="6">
        <v>48550</v>
      </c>
      <c r="D129" s="148">
        <v>0.3978497267087871</v>
      </c>
      <c r="E129" s="148">
        <v>6.3492063492063405E-2</v>
      </c>
    </row>
    <row r="130" spans="1:5" x14ac:dyDescent="0.35">
      <c r="A130">
        <v>1150</v>
      </c>
      <c r="B130" s="6">
        <v>1935</v>
      </c>
      <c r="C130" s="6">
        <v>722</v>
      </c>
      <c r="D130" s="148">
        <v>0.37312661498708011</v>
      </c>
      <c r="E130" s="148">
        <v>7.0631970260222998E-2</v>
      </c>
    </row>
    <row r="131" spans="1:5" x14ac:dyDescent="0.35">
      <c r="A131">
        <v>1152</v>
      </c>
      <c r="B131" s="6">
        <v>3509</v>
      </c>
      <c r="C131" s="6">
        <v>1198</v>
      </c>
      <c r="D131" s="148">
        <v>0.34140780849244801</v>
      </c>
      <c r="E131" s="148">
        <v>9.2092092092092098E-2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36EFD-7CE2-44AE-BC80-286409B6C957}">
  <dimension ref="A1:J45"/>
  <sheetViews>
    <sheetView showGridLines="0" topLeftCell="A24" workbookViewId="0">
      <selection activeCell="F325" sqref="F325"/>
    </sheetView>
  </sheetViews>
  <sheetFormatPr defaultRowHeight="14.5" x14ac:dyDescent="0.35"/>
  <cols>
    <col min="1" max="1" width="35.1796875" customWidth="1"/>
    <col min="2" max="3" width="28.6328125" customWidth="1"/>
    <col min="4" max="4" width="40.81640625" customWidth="1"/>
    <col min="5" max="5" width="48.08984375" customWidth="1"/>
    <col min="6" max="6" width="15.81640625" customWidth="1"/>
    <col min="7" max="10" width="16.36328125" customWidth="1"/>
  </cols>
  <sheetData>
    <row r="1" spans="1:10" ht="30" customHeight="1" x14ac:dyDescent="0.35">
      <c r="A1" s="268" t="s">
        <v>1634</v>
      </c>
      <c r="B1" s="268"/>
      <c r="C1" s="268"/>
      <c r="D1" s="268"/>
      <c r="E1" s="268"/>
      <c r="F1" s="268"/>
      <c r="G1" s="268"/>
      <c r="H1" s="268"/>
      <c r="I1" s="268"/>
      <c r="J1" s="268"/>
    </row>
    <row r="2" spans="1:10" x14ac:dyDescent="0.35">
      <c r="A2" s="269" t="s">
        <v>1635</v>
      </c>
      <c r="B2" s="269"/>
      <c r="C2" s="269"/>
      <c r="D2" s="269"/>
      <c r="E2" s="269"/>
      <c r="F2" s="269"/>
      <c r="G2" s="269"/>
      <c r="H2" s="269"/>
      <c r="I2" s="269"/>
      <c r="J2" s="269"/>
    </row>
    <row r="3" spans="1:10" ht="42" customHeight="1" x14ac:dyDescent="0.35">
      <c r="A3" s="212" t="s">
        <v>1636</v>
      </c>
      <c r="B3" s="270" t="s">
        <v>1637</v>
      </c>
      <c r="C3" s="270"/>
      <c r="D3" s="270"/>
      <c r="E3" s="270"/>
      <c r="F3" s="270"/>
      <c r="G3" s="270"/>
      <c r="H3" s="270"/>
      <c r="I3" s="270"/>
      <c r="J3" s="270"/>
    </row>
    <row r="4" spans="1:10" x14ac:dyDescent="0.35">
      <c r="A4" s="211" t="s">
        <v>1638</v>
      </c>
      <c r="B4" s="211" t="s">
        <v>1639</v>
      </c>
      <c r="C4" s="211" t="s">
        <v>0</v>
      </c>
      <c r="D4" s="211" t="s">
        <v>1334</v>
      </c>
      <c r="E4" s="211" t="s">
        <v>1344</v>
      </c>
      <c r="F4" s="211" t="s">
        <v>1640</v>
      </c>
      <c r="G4" s="211" t="s">
        <v>1347</v>
      </c>
      <c r="H4" s="211" t="s">
        <v>1227</v>
      </c>
      <c r="I4" s="211" t="s">
        <v>1641</v>
      </c>
      <c r="J4" s="211" t="s">
        <v>1642</v>
      </c>
    </row>
    <row r="5" spans="1:10" x14ac:dyDescent="0.35">
      <c r="A5" s="214" t="s">
        <v>1643</v>
      </c>
      <c r="B5" s="215">
        <v>1</v>
      </c>
      <c r="C5" s="214" t="s">
        <v>1470</v>
      </c>
      <c r="D5" s="214" t="s">
        <v>141</v>
      </c>
      <c r="E5" s="214" t="s">
        <v>154</v>
      </c>
      <c r="F5" s="214" t="s">
        <v>24</v>
      </c>
      <c r="G5" s="216">
        <v>0.98888888890000004</v>
      </c>
      <c r="H5" s="217">
        <v>267</v>
      </c>
      <c r="I5" s="216">
        <v>0.50671140940000003</v>
      </c>
      <c r="J5" s="218">
        <v>0.48888888889999998</v>
      </c>
    </row>
    <row r="6" spans="1:10" x14ac:dyDescent="0.35">
      <c r="A6" s="214" t="s">
        <v>1643</v>
      </c>
      <c r="B6" s="215">
        <v>2</v>
      </c>
      <c r="C6" s="214" t="s">
        <v>1366</v>
      </c>
      <c r="D6" s="214" t="s">
        <v>244</v>
      </c>
      <c r="E6" s="214" t="s">
        <v>702</v>
      </c>
      <c r="F6" s="214" t="s">
        <v>24</v>
      </c>
      <c r="G6" s="216">
        <v>0.75429553260000004</v>
      </c>
      <c r="H6" s="217">
        <v>439</v>
      </c>
      <c r="I6" s="216">
        <v>0.2</v>
      </c>
      <c r="J6" s="218">
        <v>-0.24570446739999999</v>
      </c>
    </row>
    <row r="7" spans="1:10" x14ac:dyDescent="0.35">
      <c r="A7" s="219" t="s">
        <v>1644</v>
      </c>
      <c r="B7" s="220">
        <v>1</v>
      </c>
      <c r="C7" s="219">
        <v>908</v>
      </c>
      <c r="D7" s="219" t="s">
        <v>66</v>
      </c>
      <c r="E7" s="219" t="s">
        <v>401</v>
      </c>
      <c r="F7" s="219" t="s">
        <v>24</v>
      </c>
      <c r="G7" s="221">
        <v>8.1571133199000005</v>
      </c>
      <c r="H7" s="222">
        <v>327451</v>
      </c>
      <c r="I7" s="221">
        <v>0.49626865669999998</v>
      </c>
      <c r="J7" s="223">
        <v>2.1571133199000001</v>
      </c>
    </row>
    <row r="8" spans="1:10" x14ac:dyDescent="0.35">
      <c r="A8" s="219" t="s">
        <v>1644</v>
      </c>
      <c r="B8" s="220">
        <v>2</v>
      </c>
      <c r="C8" s="219">
        <v>1136</v>
      </c>
      <c r="D8" s="219" t="s">
        <v>121</v>
      </c>
      <c r="E8" s="219" t="s">
        <v>548</v>
      </c>
      <c r="F8" s="219" t="s">
        <v>24</v>
      </c>
      <c r="G8" s="221">
        <v>1.8462775097999999</v>
      </c>
      <c r="H8" s="222">
        <v>66610</v>
      </c>
      <c r="I8" s="221">
        <v>0.37792642139999999</v>
      </c>
      <c r="J8" s="223">
        <v>1.4462775098</v>
      </c>
    </row>
    <row r="9" spans="1:10" x14ac:dyDescent="0.35">
      <c r="A9" s="224" t="s">
        <v>1645</v>
      </c>
      <c r="B9" s="225">
        <v>1</v>
      </c>
      <c r="C9" s="224">
        <v>1277</v>
      </c>
      <c r="D9" s="224" t="s">
        <v>234</v>
      </c>
      <c r="E9" s="224" t="s">
        <v>544</v>
      </c>
      <c r="F9" s="224" t="s">
        <v>24</v>
      </c>
      <c r="G9" s="226">
        <v>0.1220730565</v>
      </c>
      <c r="H9" s="227">
        <v>391</v>
      </c>
      <c r="I9" s="226">
        <v>3.7634408600000002E-2</v>
      </c>
      <c r="J9" s="228">
        <v>-1.0279269435</v>
      </c>
    </row>
    <row r="10" spans="1:10" x14ac:dyDescent="0.35">
      <c r="A10" s="224" t="s">
        <v>1645</v>
      </c>
      <c r="B10" s="225">
        <v>2</v>
      </c>
      <c r="C10" s="224">
        <v>1211</v>
      </c>
      <c r="D10" s="224" t="s">
        <v>265</v>
      </c>
      <c r="E10" s="224" t="s">
        <v>736</v>
      </c>
      <c r="F10" s="224" t="s">
        <v>24</v>
      </c>
      <c r="G10" s="226">
        <v>6.4592294699999997E-2</v>
      </c>
      <c r="H10" s="227">
        <v>2763</v>
      </c>
      <c r="I10" s="226">
        <v>1.5873015899999999E-2</v>
      </c>
      <c r="J10" s="228">
        <v>-0.4354077053</v>
      </c>
    </row>
    <row r="11" spans="1:10" x14ac:dyDescent="0.35">
      <c r="A11" s="229" t="s">
        <v>1646</v>
      </c>
      <c r="B11" s="230">
        <v>1</v>
      </c>
      <c r="C11" s="229">
        <v>1404</v>
      </c>
      <c r="D11" s="229" t="s">
        <v>293</v>
      </c>
      <c r="E11" s="229" t="s">
        <v>1012</v>
      </c>
      <c r="F11" s="229" t="s">
        <v>24</v>
      </c>
      <c r="G11" s="231">
        <v>0.33877901980000003</v>
      </c>
      <c r="H11" s="232">
        <v>394</v>
      </c>
      <c r="I11" s="231">
        <v>6.0790274E-3</v>
      </c>
      <c r="J11" s="233" t="s">
        <v>1505</v>
      </c>
    </row>
    <row r="12" spans="1:10" x14ac:dyDescent="0.35">
      <c r="A12" s="229" t="s">
        <v>1646</v>
      </c>
      <c r="B12" s="230">
        <v>2</v>
      </c>
      <c r="C12" s="229">
        <v>1465</v>
      </c>
      <c r="D12" s="229" t="s">
        <v>27</v>
      </c>
      <c r="E12" s="229" t="s">
        <v>28</v>
      </c>
      <c r="F12" s="229" t="s">
        <v>29</v>
      </c>
      <c r="G12" s="231">
        <v>0.61229556070000002</v>
      </c>
      <c r="H12" s="232">
        <v>4193</v>
      </c>
      <c r="I12" s="231">
        <v>9.4377509999999998E-2</v>
      </c>
      <c r="J12" s="233">
        <v>0.2122955607</v>
      </c>
    </row>
    <row r="13" spans="1:10" x14ac:dyDescent="0.35">
      <c r="A13" s="234" t="s">
        <v>1647</v>
      </c>
      <c r="B13" s="235" t="s">
        <v>1648</v>
      </c>
      <c r="C13" s="234">
        <v>963</v>
      </c>
      <c r="D13" s="234" t="s">
        <v>90</v>
      </c>
      <c r="E13" s="234" t="s">
        <v>1649</v>
      </c>
      <c r="F13" s="234" t="s">
        <v>24</v>
      </c>
      <c r="G13" s="236">
        <v>2.9123464500999998</v>
      </c>
      <c r="H13" s="237">
        <v>13988</v>
      </c>
      <c r="I13" s="236">
        <v>0.15</v>
      </c>
      <c r="J13" s="238">
        <v>2.6623464500999998</v>
      </c>
    </row>
    <row r="14" spans="1:10" x14ac:dyDescent="0.35">
      <c r="A14" s="234" t="s">
        <v>1647</v>
      </c>
      <c r="B14" s="235" t="s">
        <v>1650</v>
      </c>
      <c r="C14" s="234">
        <v>1252</v>
      </c>
      <c r="D14" s="234" t="s">
        <v>786</v>
      </c>
      <c r="E14" s="234" t="s">
        <v>1185</v>
      </c>
      <c r="F14" s="234" t="s">
        <v>24</v>
      </c>
      <c r="G14" s="236">
        <v>0.25240847779999998</v>
      </c>
      <c r="H14" s="237">
        <v>262</v>
      </c>
      <c r="I14" s="236">
        <v>0.19791666669999999</v>
      </c>
      <c r="J14" s="238">
        <v>-4.75915222E-2</v>
      </c>
    </row>
    <row r="15" spans="1:10" x14ac:dyDescent="0.35">
      <c r="A15" s="234" t="s">
        <v>1647</v>
      </c>
      <c r="B15" s="235" t="s">
        <v>1651</v>
      </c>
      <c r="C15" s="234">
        <v>1414</v>
      </c>
      <c r="D15" s="234" t="s">
        <v>66</v>
      </c>
      <c r="E15" s="234" t="s">
        <v>464</v>
      </c>
      <c r="F15" s="234" t="s">
        <v>24</v>
      </c>
      <c r="G15" s="236">
        <v>1.4723725201</v>
      </c>
      <c r="H15" s="237">
        <v>17960</v>
      </c>
      <c r="I15" s="236">
        <v>1.49253731E-2</v>
      </c>
      <c r="J15" s="238" t="s">
        <v>1505</v>
      </c>
    </row>
    <row r="16" spans="1:10" x14ac:dyDescent="0.35">
      <c r="A16" s="239" t="s">
        <v>1647</v>
      </c>
      <c r="B16" s="240" t="s">
        <v>1652</v>
      </c>
      <c r="C16" s="239">
        <v>1277</v>
      </c>
      <c r="D16" s="239" t="s">
        <v>234</v>
      </c>
      <c r="E16" s="239" t="s">
        <v>544</v>
      </c>
      <c r="F16" s="239" t="s">
        <v>24</v>
      </c>
      <c r="G16" s="241">
        <v>0.1220730565</v>
      </c>
      <c r="H16" s="242">
        <v>391</v>
      </c>
      <c r="I16" s="241">
        <v>3.7634408600000002E-2</v>
      </c>
      <c r="J16" s="243">
        <v>-1.0279269435</v>
      </c>
    </row>
    <row r="17" spans="1:10" ht="48" customHeight="1" x14ac:dyDescent="0.35">
      <c r="A17" s="213" t="s">
        <v>1653</v>
      </c>
      <c r="B17" s="271" t="s">
        <v>1654</v>
      </c>
      <c r="C17" s="271"/>
      <c r="D17" s="271"/>
      <c r="E17" s="271"/>
      <c r="F17" s="271"/>
      <c r="G17" s="271"/>
      <c r="H17" s="271"/>
      <c r="I17" s="271"/>
      <c r="J17" s="271"/>
    </row>
    <row r="20" spans="1:10" ht="18.5" x14ac:dyDescent="0.45">
      <c r="A20" s="272" t="s">
        <v>1655</v>
      </c>
      <c r="B20" s="272"/>
      <c r="C20" s="272"/>
      <c r="D20" s="272"/>
      <c r="E20" s="273"/>
      <c r="F20" s="273"/>
      <c r="G20" s="273"/>
      <c r="H20" s="273"/>
      <c r="I20" s="273"/>
      <c r="J20" s="273"/>
    </row>
    <row r="21" spans="1:10" x14ac:dyDescent="0.35">
      <c r="A21" s="244" t="s">
        <v>1656</v>
      </c>
      <c r="B21" s="252" t="s">
        <v>1657</v>
      </c>
      <c r="C21" s="252" t="s">
        <v>1658</v>
      </c>
      <c r="D21" s="244" t="s">
        <v>1659</v>
      </c>
    </row>
    <row r="22" spans="1:10" x14ac:dyDescent="0.35">
      <c r="A22" s="245" t="s">
        <v>1334</v>
      </c>
      <c r="B22" s="41" t="s">
        <v>234</v>
      </c>
      <c r="C22" s="41" t="s">
        <v>234</v>
      </c>
      <c r="D22" s="91" t="s">
        <v>1660</v>
      </c>
    </row>
    <row r="23" spans="1:10" x14ac:dyDescent="0.35">
      <c r="A23" s="245" t="s">
        <v>1661</v>
      </c>
      <c r="B23" s="253">
        <v>46023</v>
      </c>
      <c r="C23" s="253">
        <v>46174</v>
      </c>
      <c r="D23" s="91" t="s">
        <v>1662</v>
      </c>
    </row>
    <row r="24" spans="1:10" x14ac:dyDescent="0.35">
      <c r="A24" s="245" t="s">
        <v>1663</v>
      </c>
      <c r="B24" s="41" t="s">
        <v>1664</v>
      </c>
      <c r="C24" s="41" t="s">
        <v>1664</v>
      </c>
      <c r="D24" s="91" t="s">
        <v>1665</v>
      </c>
    </row>
    <row r="25" spans="1:10" x14ac:dyDescent="0.35">
      <c r="A25" s="245" t="s">
        <v>1544</v>
      </c>
      <c r="B25" s="41" t="s">
        <v>1229</v>
      </c>
      <c r="C25" s="41" t="s">
        <v>1251</v>
      </c>
      <c r="D25" s="91" t="s">
        <v>1666</v>
      </c>
    </row>
    <row r="26" spans="1:10" x14ac:dyDescent="0.35">
      <c r="A26" s="245" t="s">
        <v>1346</v>
      </c>
      <c r="B26" s="254">
        <v>9.2178770949720698E-2</v>
      </c>
      <c r="C26" s="254">
        <v>3.7634408602150601E-2</v>
      </c>
      <c r="D26" s="247">
        <v>-5.4544362347570097E-2</v>
      </c>
    </row>
    <row r="27" spans="1:10" x14ac:dyDescent="0.35">
      <c r="A27" s="245" t="s">
        <v>1246</v>
      </c>
      <c r="B27" s="255">
        <v>3.25</v>
      </c>
      <c r="C27" s="255">
        <v>3.58</v>
      </c>
      <c r="D27" s="248">
        <v>0.33</v>
      </c>
    </row>
    <row r="28" spans="1:10" x14ac:dyDescent="0.35">
      <c r="A28" s="245" t="s">
        <v>1543</v>
      </c>
      <c r="B28" s="254">
        <v>0.21342726895980099</v>
      </c>
      <c r="C28" s="254">
        <v>0.12207305650952199</v>
      </c>
      <c r="D28" s="247">
        <v>-9.1354212450278999E-2</v>
      </c>
    </row>
    <row r="29" spans="1:10" x14ac:dyDescent="0.35">
      <c r="A29" s="245" t="s">
        <v>1226</v>
      </c>
      <c r="B29" s="256">
        <v>2413</v>
      </c>
      <c r="C29" s="256">
        <v>3203</v>
      </c>
      <c r="D29" s="249">
        <v>790</v>
      </c>
    </row>
    <row r="30" spans="1:10" x14ac:dyDescent="0.35">
      <c r="A30" s="245" t="s">
        <v>1227</v>
      </c>
      <c r="B30" s="256">
        <v>515</v>
      </c>
      <c r="C30" s="256">
        <v>391</v>
      </c>
      <c r="D30" s="249">
        <v>-124</v>
      </c>
    </row>
    <row r="31" spans="1:10" x14ac:dyDescent="0.35">
      <c r="A31" s="245" t="s">
        <v>1463</v>
      </c>
      <c r="B31" s="254">
        <v>0.15</v>
      </c>
      <c r="C31" s="254">
        <v>1.1499999999999999</v>
      </c>
      <c r="D31" s="246">
        <v>1</v>
      </c>
    </row>
    <row r="32" spans="1:10" x14ac:dyDescent="0.35">
      <c r="A32" s="245" t="s">
        <v>1464</v>
      </c>
      <c r="B32" s="257">
        <v>6.3427268959801095E-2</v>
      </c>
      <c r="C32" s="257">
        <v>-1.0279269434904801</v>
      </c>
      <c r="D32" s="247">
        <v>-1.0913542124502811</v>
      </c>
    </row>
    <row r="33" spans="1:4" x14ac:dyDescent="0.35">
      <c r="A33" s="250" t="s">
        <v>1465</v>
      </c>
      <c r="B33" s="258" t="s">
        <v>1460</v>
      </c>
      <c r="C33" s="258" t="s">
        <v>1461</v>
      </c>
      <c r="D33" s="251" t="s">
        <v>1667</v>
      </c>
    </row>
    <row r="34" spans="1:4" ht="44" customHeight="1" x14ac:dyDescent="0.35">
      <c r="A34" s="265" t="s">
        <v>1668</v>
      </c>
      <c r="B34" s="265"/>
      <c r="C34" s="265"/>
      <c r="D34" s="265"/>
    </row>
    <row r="37" spans="1:4" ht="18.5" x14ac:dyDescent="0.35">
      <c r="A37" s="266" t="s">
        <v>1669</v>
      </c>
      <c r="B37" s="266"/>
      <c r="C37" s="266"/>
      <c r="D37" s="266"/>
    </row>
    <row r="38" spans="1:4" ht="42" customHeight="1" x14ac:dyDescent="0.35">
      <c r="A38" s="259" t="s">
        <v>1670</v>
      </c>
      <c r="B38" s="267" t="s">
        <v>1679</v>
      </c>
      <c r="C38" s="267"/>
      <c r="D38" s="267"/>
    </row>
    <row r="39" spans="1:4" x14ac:dyDescent="0.35">
      <c r="A39" s="260" t="s">
        <v>1671</v>
      </c>
      <c r="B39" s="260" t="s">
        <v>1335</v>
      </c>
      <c r="C39" s="260" t="s">
        <v>1672</v>
      </c>
      <c r="D39" s="260" t="s">
        <v>1653</v>
      </c>
    </row>
    <row r="40" spans="1:4" x14ac:dyDescent="0.35">
      <c r="A40" s="123" t="s">
        <v>1673</v>
      </c>
      <c r="B40" s="261">
        <v>58</v>
      </c>
      <c r="C40" s="246">
        <v>0.38410596026490068</v>
      </c>
      <c r="D40" s="91" t="s">
        <v>1680</v>
      </c>
    </row>
    <row r="41" spans="1:4" x14ac:dyDescent="0.35">
      <c r="A41" s="123" t="s">
        <v>1674</v>
      </c>
      <c r="B41" s="261">
        <v>93</v>
      </c>
      <c r="C41" s="246">
        <v>0.61589403973509937</v>
      </c>
      <c r="D41" s="91" t="s">
        <v>1681</v>
      </c>
    </row>
    <row r="42" spans="1:4" x14ac:dyDescent="0.35">
      <c r="A42" s="123" t="s">
        <v>1675</v>
      </c>
      <c r="B42" s="261">
        <v>42</v>
      </c>
      <c r="C42" s="246">
        <v>0.27814569536423839</v>
      </c>
      <c r="D42" s="91" t="s">
        <v>1682</v>
      </c>
    </row>
    <row r="43" spans="1:4" x14ac:dyDescent="0.35">
      <c r="A43" s="123" t="s">
        <v>1676</v>
      </c>
      <c r="B43" s="261">
        <v>43</v>
      </c>
      <c r="C43" s="246">
        <v>0.28476821192052981</v>
      </c>
      <c r="D43" s="91" t="s">
        <v>1683</v>
      </c>
    </row>
    <row r="44" spans="1:4" x14ac:dyDescent="0.35">
      <c r="A44" s="123" t="s">
        <v>1677</v>
      </c>
      <c r="B44" s="261">
        <v>8</v>
      </c>
      <c r="C44" s="246">
        <v>5.2980132450331126E-2</v>
      </c>
      <c r="D44" s="91" t="s">
        <v>1684</v>
      </c>
    </row>
    <row r="45" spans="1:4" x14ac:dyDescent="0.35">
      <c r="A45" s="262" t="s">
        <v>1678</v>
      </c>
      <c r="B45" s="263">
        <v>0</v>
      </c>
      <c r="C45" s="264">
        <v>0</v>
      </c>
      <c r="D45" s="251" t="s">
        <v>1685</v>
      </c>
    </row>
  </sheetData>
  <mergeCells count="8">
    <mergeCell ref="A34:D34"/>
    <mergeCell ref="A37:D37"/>
    <mergeCell ref="B38:D38"/>
    <mergeCell ref="A1:J1"/>
    <mergeCell ref="A2:J2"/>
    <mergeCell ref="B3:J3"/>
    <mergeCell ref="B17:J17"/>
    <mergeCell ref="A20:J2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254ca55-9a6e-4554-8b5f-425bb5dbe018">
      <Terms xmlns="http://schemas.microsoft.com/office/infopath/2007/PartnerControls"/>
    </lcf76f155ced4ddcb4097134ff3c332f>
    <TaxCatchAll xmlns="de507e17-9ce1-430b-ad2a-d39d943d329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698891FCB6FF146A4DB8EF9DC344297" ma:contentTypeVersion="15" ma:contentTypeDescription="Create a new document." ma:contentTypeScope="" ma:versionID="6f32aadb775bef1cafafc50cf597db21">
  <xsd:schema xmlns:xsd="http://www.w3.org/2001/XMLSchema" xmlns:xs="http://www.w3.org/2001/XMLSchema" xmlns:p="http://schemas.microsoft.com/office/2006/metadata/properties" xmlns:ns2="d254ca55-9a6e-4554-8b5f-425bb5dbe018" xmlns:ns3="de507e17-9ce1-430b-ad2a-d39d943d3297" targetNamespace="http://schemas.microsoft.com/office/2006/metadata/properties" ma:root="true" ma:fieldsID="cf86b68d289be9bd9faf4f2a57e6b69f" ns2:_="" ns3:_="">
    <xsd:import namespace="d254ca55-9a6e-4554-8b5f-425bb5dbe018"/>
    <xsd:import namespace="de507e17-9ce1-430b-ad2a-d39d943d329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54ca55-9a6e-4554-8b5f-425bb5dbe0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f49e4b71-be60-44a7-9980-7e9e31fdaf0a"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e507e17-9ce1-430b-ad2a-d39d943d329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6709955-abdc-4450-a123-a721d33be7e6}" ma:internalName="TaxCatchAll" ma:showField="CatchAllData" ma:web="de507e17-9ce1-430b-ad2a-d39d943d329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323D7C7-7F09-41D6-8FFC-86689C0A162C}">
  <ds:schemaRefs>
    <ds:schemaRef ds:uri="http://schemas.microsoft.com/sharepoint/v3/contenttype/forms"/>
  </ds:schemaRefs>
</ds:datastoreItem>
</file>

<file path=customXml/itemProps2.xml><?xml version="1.0" encoding="utf-8"?>
<ds:datastoreItem xmlns:ds="http://schemas.openxmlformats.org/officeDocument/2006/customXml" ds:itemID="{D53030F4-A296-4C04-8D76-F632960E2758}">
  <ds:schemaRefs>
    <ds:schemaRef ds:uri="http://schemas.microsoft.com/office/2006/metadata/properties"/>
    <ds:schemaRef ds:uri="http://schemas.microsoft.com/office/infopath/2007/PartnerControls"/>
    <ds:schemaRef ds:uri="d254ca55-9a6e-4554-8b5f-425bb5dbe018"/>
    <ds:schemaRef ds:uri="de507e17-9ce1-430b-ad2a-d39d943d3297"/>
  </ds:schemaRefs>
</ds:datastoreItem>
</file>

<file path=customXml/itemProps3.xml><?xml version="1.0" encoding="utf-8"?>
<ds:datastoreItem xmlns:ds="http://schemas.openxmlformats.org/officeDocument/2006/customXml" ds:itemID="{35311CD2-DF2E-4CFC-8EF5-70B86F45B6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54ca55-9a6e-4554-8b5f-425bb5dbe018"/>
    <ds:schemaRef ds:uri="de507e17-9ce1-430b-ad2a-d39d943d329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 Page</vt:lpstr>
      <vt:lpstr>Promotion Insights</vt:lpstr>
      <vt:lpstr>How It Works</vt:lpstr>
      <vt:lpstr>Events</vt:lpstr>
      <vt:lpstr>Reference</vt:lpstr>
      <vt:lpstr>Prompt Catalog</vt:lpstr>
      <vt:lpstr>Discount Calculations</vt:lpstr>
      <vt:lpstr>Planning Diagnostics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Cluster</dc:creator>
  <cp:lastModifiedBy>Brian Cluster</cp:lastModifiedBy>
  <dcterms:created xsi:type="dcterms:W3CDTF">2026-08-07T22:38:49Z</dcterms:created>
  <dcterms:modified xsi:type="dcterms:W3CDTF">2026-09-11T22:14:15Z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0x010100E698891FCB6FF146A4DB8EF9DC344297</vt:lpwstr>
  </property>
  <property fmtid="{D5CDD505-2E9C-101B-9397-08002B2CF9AE}" pid="3" name="MediaServiceImageTags">
    <vt:lpwstr/>
  </property>
</Properties>
</file>